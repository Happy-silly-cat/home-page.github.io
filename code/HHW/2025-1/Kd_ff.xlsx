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/>
  <mc:AlternateContent xmlns:mc="http://schemas.openxmlformats.org/markup-compatibility/2006">
    <mc:Choice Requires="x15">
      <x15ac:absPath xmlns:x15ac="http://schemas.microsoft.com/office/spreadsheetml/2010/11/ac" url="/Users/minweixie/Nutstore Files/03.胡洪威/数据处理/第三章 水动力变化实验/21. Kd/"/>
    </mc:Choice>
  </mc:AlternateContent>
  <xr:revisionPtr revIDLastSave="0" documentId="13_ncr:1_{B9CA2B20-3063-6944-B3DB-4FAD78BD8BF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oncentration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5" l="1"/>
</calcChain>
</file>

<file path=xl/sharedStrings.xml><?xml version="1.0" encoding="utf-8"?>
<sst xmlns="http://schemas.openxmlformats.org/spreadsheetml/2006/main" count="73" uniqueCount="48">
  <si>
    <t>C4_PW_1</t>
  </si>
  <si>
    <t>C4_PW_40</t>
  </si>
  <si>
    <t>C2_PW_40</t>
  </si>
  <si>
    <t>C5_PW_30</t>
  </si>
  <si>
    <t>C3_PW_40</t>
  </si>
  <si>
    <t>C2_PW_20</t>
  </si>
  <si>
    <t>C5_PW_10</t>
  </si>
  <si>
    <t>C3_PW_10</t>
  </si>
  <si>
    <t>C6_PW_20</t>
  </si>
  <si>
    <t>C2_PW_30</t>
  </si>
  <si>
    <t>C4_PW_10</t>
  </si>
  <si>
    <t>C6_PW_1</t>
  </si>
  <si>
    <t>C6_PW_10</t>
  </si>
  <si>
    <t>C5_PW_20</t>
  </si>
  <si>
    <t>C1_PW_40</t>
  </si>
  <si>
    <t>C3_PW_30</t>
  </si>
  <si>
    <t>C4_PW_20</t>
  </si>
  <si>
    <t>C4_PW_30</t>
  </si>
  <si>
    <t>C1_PW_30</t>
  </si>
  <si>
    <t>C5_PW_1</t>
  </si>
  <si>
    <t>C6_PW_40</t>
  </si>
  <si>
    <t>C1_PW_1</t>
  </si>
  <si>
    <t>C5_PW_40</t>
  </si>
  <si>
    <t>C2_PW_10</t>
  </si>
  <si>
    <t>C1_PW_10</t>
  </si>
  <si>
    <t>C3_PW_1</t>
  </si>
  <si>
    <t>Sample Id</t>
  </si>
  <si>
    <t>C1_PW_20</t>
  </si>
  <si>
    <t>C2_PW_1</t>
  </si>
  <si>
    <t>C3_PW_20</t>
  </si>
  <si>
    <t>C6_PW_30</t>
  </si>
  <si>
    <t>Chamber</t>
    <phoneticPr fontId="4" type="noConversion"/>
  </si>
  <si>
    <t>Zn</t>
    <phoneticPr fontId="4" type="noConversion"/>
  </si>
  <si>
    <t>Ni</t>
    <phoneticPr fontId="4" type="noConversion"/>
  </si>
  <si>
    <t>Cu</t>
    <phoneticPr fontId="4" type="noConversion"/>
  </si>
  <si>
    <t>Pb</t>
    <phoneticPr fontId="4" type="noConversion"/>
  </si>
  <si>
    <t>Cd</t>
    <phoneticPr fontId="4" type="noConversion"/>
  </si>
  <si>
    <t>Time</t>
    <phoneticPr fontId="4" type="noConversion"/>
  </si>
  <si>
    <t>Shear</t>
    <phoneticPr fontId="4" type="noConversion"/>
  </si>
  <si>
    <t>Time2</t>
    <phoneticPr fontId="4" type="noConversion"/>
  </si>
  <si>
    <t>Treatment</t>
    <phoneticPr fontId="4" type="noConversion"/>
  </si>
  <si>
    <t>Replicate</t>
    <phoneticPr fontId="4" type="noConversion"/>
  </si>
  <si>
    <t>Phase</t>
    <phoneticPr fontId="4" type="noConversion"/>
  </si>
  <si>
    <t>Fine-size</t>
  </si>
  <si>
    <t>Medium-size</t>
    <phoneticPr fontId="4" type="noConversion"/>
  </si>
  <si>
    <t>Coarse-size</t>
    <phoneticPr fontId="4" type="noConversion"/>
  </si>
  <si>
    <t>Medium-size</t>
  </si>
  <si>
    <t>Coarse-size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</si>
</sst>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 "/>
  </numFmts>
  <fonts count="6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rgb="FFEBFFD0"/>
        <bgColor indexed="12"/>
      </patternFill>
    </fill>
    <fill>
      <patternFill patternType="solid">
        <fgColor indexed="11"/>
        <bgColor indexed="1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/>
    </xf>
    <xf numFmtId="0" fontId="2" fillId="4" borderId="2" xfId="1" applyFont="1" applyFill="1" applyBorder="1" applyAlignment="1">
      <alignment horizontal="left" vertical="center"/>
    </xf>
    <xf numFmtId="176" fontId="2" fillId="0" borderId="2" xfId="1" applyNumberFormat="1" applyFont="1" applyBorder="1" applyAlignment="1">
      <alignment horizontal="left" vertical="center"/>
    </xf>
    <xf numFmtId="176" fontId="2" fillId="4" borderId="2" xfId="1" applyNumberFormat="1" applyFont="1" applyFill="1" applyBorder="1" applyAlignment="1">
      <alignment horizontal="left" vertical="center"/>
    </xf>
    <xf numFmtId="0" fontId="1" fillId="3" borderId="3" xfId="1" applyFont="1" applyFill="1" applyBorder="1" applyAlignment="1">
      <alignment horizontal="center" vertical="center" wrapText="1"/>
    </xf>
    <xf numFmtId="176" fontId="2" fillId="4" borderId="4" xfId="1" applyNumberFormat="1" applyFont="1" applyFill="1" applyBorder="1" applyAlignment="1">
      <alignment horizontal="left" vertical="center"/>
    </xf>
    <xf numFmtId="176" fontId="2" fillId="0" borderId="4" xfId="1" applyNumberFormat="1" applyFont="1" applyBorder="1" applyAlignment="1">
      <alignment horizontal="left" vertical="center"/>
    </xf>
    <xf numFmtId="177" fontId="2" fillId="4" borderId="4" xfId="1" applyNumberFormat="1" applyFont="1" applyFill="1" applyBorder="1" applyAlignment="1">
      <alignment horizontal="left" vertical="center"/>
    </xf>
    <xf numFmtId="0" fontId="5" fillId="0" borderId="0" xfId="0" applyFont="1"/>
    <xf numFmtId="177" fontId="1" fillId="3" borderId="3" xfId="1" applyNumberFormat="1" applyFont="1" applyFill="1" applyBorder="1" applyAlignment="1">
      <alignment horizontal="center" vertical="center" wrapText="1"/>
    </xf>
    <xf numFmtId="177" fontId="0" fillId="0" borderId="0" xfId="0" applyNumberFormat="1"/>
    <xf numFmtId="1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D700"/>
      <rgbColor rgb="00FFA500"/>
      <rgbColor rgb="007CFC00"/>
      <rgbColor rgb="00FF00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33"/>
  <sheetViews>
    <sheetView tabSelected="1" zoomScale="160" zoomScaleNormal="160" workbookViewId="0">
      <selection activeCell="F12" sqref="F12"/>
    </sheetView>
  </sheetViews>
  <sheetFormatPr baseColWidth="10" defaultColWidth="9.1640625" defaultRowHeight="13"/>
  <cols>
    <col min="1" max="1" width="21.5" customWidth="1"/>
    <col min="2" max="6" width="10.83203125" customWidth="1"/>
    <col min="9" max="9" width="9.1640625" style="11"/>
    <col min="10" max="10" width="9.1640625" style="13"/>
    <col min="11" max="11" width="11.83203125" bestFit="1" customWidth="1"/>
    <col min="15" max="15" width="9.5" bestFit="1" customWidth="1"/>
  </cols>
  <sheetData>
    <row r="1" spans="1:19" ht="38.25" customHeight="1">
      <c r="A1" s="1" t="s">
        <v>26</v>
      </c>
      <c r="B1" s="2" t="s">
        <v>36</v>
      </c>
      <c r="C1" s="2" t="s">
        <v>35</v>
      </c>
      <c r="D1" s="2" t="s">
        <v>34</v>
      </c>
      <c r="E1" s="2" t="s">
        <v>33</v>
      </c>
      <c r="F1" s="2" t="s">
        <v>32</v>
      </c>
      <c r="G1" s="7" t="s">
        <v>31</v>
      </c>
      <c r="H1" s="7" t="s">
        <v>37</v>
      </c>
      <c r="I1" s="7" t="s">
        <v>38</v>
      </c>
      <c r="J1" s="12" t="s">
        <v>39</v>
      </c>
      <c r="K1" s="7" t="s">
        <v>40</v>
      </c>
      <c r="L1" s="7" t="s">
        <v>41</v>
      </c>
      <c r="M1" s="7" t="s">
        <v>42</v>
      </c>
    </row>
    <row r="2" spans="1:19">
      <c r="A2" s="3" t="s">
        <v>25</v>
      </c>
      <c r="B2" s="5">
        <v>123211.84406791515</v>
      </c>
      <c r="C2" s="5">
        <v>442924.36245684733</v>
      </c>
      <c r="D2" s="5">
        <v>3381796.3985903794</v>
      </c>
      <c r="E2" s="5">
        <v>65198.33011132761</v>
      </c>
      <c r="F2" s="5">
        <v>7690.7155265539168</v>
      </c>
      <c r="G2" s="8">
        <v>3</v>
      </c>
      <c r="H2" s="10">
        <v>0.02</v>
      </c>
      <c r="I2" s="11">
        <v>0</v>
      </c>
      <c r="J2" s="13">
        <v>0.02</v>
      </c>
      <c r="K2" t="s">
        <v>44</v>
      </c>
      <c r="L2">
        <v>1</v>
      </c>
      <c r="M2">
        <v>0</v>
      </c>
      <c r="O2" s="14"/>
      <c r="P2" s="14"/>
      <c r="Q2" s="14"/>
      <c r="R2" s="14"/>
      <c r="S2" s="14"/>
    </row>
    <row r="3" spans="1:19">
      <c r="A3" s="4" t="s">
        <v>0</v>
      </c>
      <c r="B3" s="6">
        <v>118434.18701522963</v>
      </c>
      <c r="C3" s="6">
        <v>499257.20279274572</v>
      </c>
      <c r="D3" s="6">
        <v>7300179.2068875898</v>
      </c>
      <c r="E3" s="6">
        <v>64764.532672238718</v>
      </c>
      <c r="F3" s="6">
        <v>8367.8935735100276</v>
      </c>
      <c r="G3" s="9">
        <v>4</v>
      </c>
      <c r="H3" s="10">
        <v>0.02</v>
      </c>
      <c r="I3" s="11">
        <v>0</v>
      </c>
      <c r="J3" s="13">
        <v>0.02</v>
      </c>
      <c r="K3" t="s">
        <v>44</v>
      </c>
      <c r="L3">
        <v>2</v>
      </c>
      <c r="M3">
        <v>0</v>
      </c>
      <c r="O3" s="14"/>
      <c r="P3" s="14"/>
      <c r="Q3" s="14"/>
      <c r="R3" s="14"/>
      <c r="S3" s="14"/>
    </row>
    <row r="4" spans="1:19">
      <c r="A4" s="3" t="s">
        <v>7</v>
      </c>
      <c r="B4" s="5">
        <v>114645.01299499732</v>
      </c>
      <c r="C4" s="5">
        <v>599552.41857267369</v>
      </c>
      <c r="D4" s="5">
        <v>1860928.8012017992</v>
      </c>
      <c r="E4" s="5">
        <v>43564.708680932585</v>
      </c>
      <c r="F4" s="5">
        <v>18626.619219925593</v>
      </c>
      <c r="G4" s="8">
        <v>3</v>
      </c>
      <c r="H4" s="10">
        <v>7.01</v>
      </c>
      <c r="I4" s="11">
        <v>0.02</v>
      </c>
      <c r="J4" s="13">
        <v>7.01</v>
      </c>
      <c r="K4" t="s">
        <v>46</v>
      </c>
      <c r="L4">
        <v>1</v>
      </c>
      <c r="M4">
        <v>1</v>
      </c>
      <c r="O4" s="14"/>
      <c r="P4" s="14"/>
      <c r="Q4" s="14"/>
      <c r="R4" s="14"/>
      <c r="S4" s="14"/>
    </row>
    <row r="5" spans="1:19">
      <c r="A5" s="4" t="s">
        <v>10</v>
      </c>
      <c r="B5" s="6">
        <v>201110.27508297411</v>
      </c>
      <c r="C5" s="6">
        <v>568881.11344153527</v>
      </c>
      <c r="D5" s="6">
        <v>1609975.0883026761</v>
      </c>
      <c r="E5" s="6">
        <v>48586.791025493891</v>
      </c>
      <c r="F5" s="6">
        <v>17840.315203536215</v>
      </c>
      <c r="G5" s="9">
        <v>4</v>
      </c>
      <c r="H5" s="10">
        <v>7.01</v>
      </c>
      <c r="I5" s="11">
        <v>0.02</v>
      </c>
      <c r="J5" s="13">
        <v>7.01</v>
      </c>
      <c r="K5" t="s">
        <v>46</v>
      </c>
      <c r="L5">
        <v>2</v>
      </c>
      <c r="M5">
        <v>1</v>
      </c>
      <c r="O5" s="14"/>
      <c r="P5" s="14"/>
      <c r="Q5" s="14"/>
      <c r="R5" s="14"/>
      <c r="S5" s="14"/>
    </row>
    <row r="6" spans="1:19">
      <c r="A6" s="3" t="s">
        <v>29</v>
      </c>
      <c r="B6" s="5">
        <v>200976.26873938576</v>
      </c>
      <c r="C6" s="5">
        <v>790292.76387902896</v>
      </c>
      <c r="D6" s="5">
        <v>879390.44613640069</v>
      </c>
      <c r="E6" s="5">
        <v>29705.505936858921</v>
      </c>
      <c r="F6" s="5">
        <v>11994.200835263848</v>
      </c>
      <c r="G6" s="8">
        <v>3</v>
      </c>
      <c r="H6" s="10">
        <v>7</v>
      </c>
      <c r="I6" s="11">
        <v>0.06</v>
      </c>
      <c r="J6" s="13">
        <v>15.01</v>
      </c>
      <c r="K6" t="s">
        <v>46</v>
      </c>
      <c r="L6">
        <v>1</v>
      </c>
      <c r="M6">
        <v>2</v>
      </c>
      <c r="O6" s="14"/>
      <c r="P6" s="14"/>
      <c r="Q6" s="14"/>
      <c r="R6" s="14"/>
      <c r="S6" s="14"/>
    </row>
    <row r="7" spans="1:19">
      <c r="A7" s="4" t="s">
        <v>16</v>
      </c>
      <c r="B7" s="6">
        <v>251032.42341542197</v>
      </c>
      <c r="C7" s="6">
        <v>541867.36682464089</v>
      </c>
      <c r="D7" s="6">
        <v>2133497.0080352402</v>
      </c>
      <c r="E7" s="6">
        <v>37241.864383696695</v>
      </c>
      <c r="F7" s="6">
        <v>26139.204194516518</v>
      </c>
      <c r="G7" s="9">
        <v>4</v>
      </c>
      <c r="H7" s="10">
        <v>7</v>
      </c>
      <c r="I7" s="11">
        <v>0.06</v>
      </c>
      <c r="J7" s="13">
        <v>15.01</v>
      </c>
      <c r="K7" t="s">
        <v>46</v>
      </c>
      <c r="L7">
        <v>2</v>
      </c>
      <c r="M7">
        <v>2</v>
      </c>
      <c r="O7" s="14"/>
      <c r="P7" s="14"/>
      <c r="Q7" s="14"/>
      <c r="R7" s="14"/>
      <c r="S7" s="14"/>
    </row>
    <row r="8" spans="1:19">
      <c r="A8" s="3" t="s">
        <v>15</v>
      </c>
      <c r="B8" s="5">
        <v>110355.19780072567</v>
      </c>
      <c r="C8" s="5">
        <v>419325.67889999284</v>
      </c>
      <c r="D8" s="5">
        <v>593652.54070182412</v>
      </c>
      <c r="E8" s="5">
        <v>19972.794271001174</v>
      </c>
      <c r="F8" s="5">
        <v>18036.56441431908</v>
      </c>
      <c r="G8" s="8">
        <v>3</v>
      </c>
      <c r="H8" s="10">
        <v>6.99</v>
      </c>
      <c r="I8" s="11">
        <v>0.16</v>
      </c>
      <c r="J8" s="13">
        <v>23</v>
      </c>
      <c r="K8" t="s">
        <v>46</v>
      </c>
      <c r="L8">
        <v>1</v>
      </c>
      <c r="M8">
        <v>3</v>
      </c>
      <c r="O8" s="14"/>
      <c r="P8" s="14"/>
      <c r="Q8" s="14"/>
      <c r="R8" s="14"/>
      <c r="S8" s="14"/>
    </row>
    <row r="9" spans="1:19">
      <c r="A9" s="4" t="s">
        <v>17</v>
      </c>
      <c r="B9" s="6">
        <v>138893.14060281316</v>
      </c>
      <c r="C9" s="6">
        <v>388593.58342308423</v>
      </c>
      <c r="D9" s="6">
        <v>1279677.5107226081</v>
      </c>
      <c r="E9" s="6">
        <v>45973.868088098796</v>
      </c>
      <c r="F9" s="6">
        <v>23544.626045121178</v>
      </c>
      <c r="G9" s="9">
        <v>4</v>
      </c>
      <c r="H9" s="10">
        <v>6.99</v>
      </c>
      <c r="I9" s="11">
        <v>0.16</v>
      </c>
      <c r="J9" s="13">
        <v>23</v>
      </c>
      <c r="K9" t="s">
        <v>46</v>
      </c>
      <c r="L9">
        <v>2</v>
      </c>
      <c r="M9">
        <v>3</v>
      </c>
      <c r="O9" s="14"/>
      <c r="P9" s="14"/>
      <c r="Q9" s="14"/>
      <c r="R9" s="14"/>
      <c r="S9" s="14"/>
    </row>
    <row r="10" spans="1:19">
      <c r="A10" s="3" t="s">
        <v>4</v>
      </c>
      <c r="B10" s="5">
        <v>28727.824103354902</v>
      </c>
      <c r="C10" s="5">
        <v>337037.85581204592</v>
      </c>
      <c r="D10" s="5">
        <v>513922.35388593905</v>
      </c>
      <c r="E10" s="5">
        <v>24816.336209945235</v>
      </c>
      <c r="F10" s="5">
        <v>11401.043725287385</v>
      </c>
      <c r="G10" s="8">
        <v>3</v>
      </c>
      <c r="H10" s="10">
        <v>6.99</v>
      </c>
      <c r="I10" s="11">
        <v>0.28000000000000003</v>
      </c>
      <c r="J10" s="13">
        <v>31.03</v>
      </c>
      <c r="K10" t="s">
        <v>46</v>
      </c>
      <c r="L10">
        <v>1</v>
      </c>
      <c r="M10">
        <v>4</v>
      </c>
      <c r="O10" s="14"/>
      <c r="P10" s="14"/>
      <c r="Q10" s="14"/>
      <c r="R10" s="14"/>
      <c r="S10" s="14"/>
    </row>
    <row r="11" spans="1:19">
      <c r="A11" s="4" t="s">
        <v>1</v>
      </c>
      <c r="B11" s="6">
        <v>150128.49906852527</v>
      </c>
      <c r="C11" s="6">
        <v>3160173.8165021124</v>
      </c>
      <c r="D11" s="6">
        <v>1811257.4196054926</v>
      </c>
      <c r="E11" s="6">
        <v>47039.275930274256</v>
      </c>
      <c r="F11" s="6">
        <v>35642.168479434869</v>
      </c>
      <c r="G11" s="9">
        <v>4</v>
      </c>
      <c r="H11" s="10">
        <v>6.99</v>
      </c>
      <c r="I11" s="11">
        <v>0.28000000000000003</v>
      </c>
      <c r="J11" s="13">
        <v>31.03</v>
      </c>
      <c r="K11" t="s">
        <v>46</v>
      </c>
      <c r="L11">
        <v>2</v>
      </c>
      <c r="M11">
        <v>4</v>
      </c>
      <c r="O11" s="14"/>
      <c r="P11" s="14"/>
      <c r="Q11" s="14"/>
      <c r="R11" s="14"/>
      <c r="S11" s="14"/>
    </row>
    <row r="12" spans="1:19">
      <c r="A12" s="3" t="s">
        <v>21</v>
      </c>
      <c r="B12" s="5">
        <v>161708.30393517495</v>
      </c>
      <c r="C12" s="5">
        <v>240857.26170874233</v>
      </c>
      <c r="D12" s="5">
        <v>2560854.0783418673</v>
      </c>
      <c r="E12" s="5">
        <v>40416.139593866734</v>
      </c>
      <c r="F12" s="3">
        <v>7441.8604651162786</v>
      </c>
      <c r="G12" s="8">
        <v>1</v>
      </c>
      <c r="H12" s="10">
        <v>0.02</v>
      </c>
      <c r="I12" s="11">
        <v>0</v>
      </c>
      <c r="J12" s="13">
        <v>0.02</v>
      </c>
      <c r="K12" t="s">
        <v>43</v>
      </c>
      <c r="L12">
        <v>1</v>
      </c>
      <c r="M12">
        <v>0</v>
      </c>
      <c r="O12" s="14"/>
      <c r="P12" s="14"/>
      <c r="Q12" s="14"/>
      <c r="R12" s="14"/>
      <c r="S12" s="14"/>
    </row>
    <row r="13" spans="1:19">
      <c r="A13" s="4" t="s">
        <v>28</v>
      </c>
      <c r="B13" s="6">
        <v>235892.90969094576</v>
      </c>
      <c r="C13" s="6">
        <v>909197.83520855091</v>
      </c>
      <c r="D13" s="6">
        <v>7360242.5152395628</v>
      </c>
      <c r="E13" s="6">
        <v>53515.572171459731</v>
      </c>
      <c r="F13" s="6">
        <v>26116.390916468037</v>
      </c>
      <c r="G13" s="9">
        <v>2</v>
      </c>
      <c r="H13" s="10">
        <v>0.02</v>
      </c>
      <c r="I13" s="11">
        <v>0</v>
      </c>
      <c r="J13" s="13">
        <v>0.02</v>
      </c>
      <c r="K13" t="s">
        <v>43</v>
      </c>
      <c r="L13">
        <v>2</v>
      </c>
      <c r="M13">
        <v>0</v>
      </c>
      <c r="O13" s="14"/>
      <c r="P13" s="14"/>
      <c r="Q13" s="14"/>
      <c r="R13" s="14"/>
      <c r="S13" s="14"/>
    </row>
    <row r="14" spans="1:19">
      <c r="A14" s="3" t="s">
        <v>24</v>
      </c>
      <c r="B14" s="5">
        <v>144836.9163423306</v>
      </c>
      <c r="C14" s="5">
        <v>297893.38902780076</v>
      </c>
      <c r="D14" s="5">
        <v>1068482.1533228969</v>
      </c>
      <c r="E14" s="5">
        <v>22056.412761571948</v>
      </c>
      <c r="F14" s="5">
        <v>7499.1099742857386</v>
      </c>
      <c r="G14" s="8">
        <v>1</v>
      </c>
      <c r="H14" s="10">
        <v>7.01</v>
      </c>
      <c r="I14" s="11">
        <v>0.02</v>
      </c>
      <c r="J14" s="13">
        <v>7.01</v>
      </c>
      <c r="K14" t="s">
        <v>43</v>
      </c>
      <c r="L14">
        <v>1</v>
      </c>
      <c r="M14">
        <v>1</v>
      </c>
      <c r="O14" s="14"/>
      <c r="P14" s="14"/>
      <c r="Q14" s="14"/>
      <c r="R14" s="14"/>
      <c r="S14" s="14"/>
    </row>
    <row r="15" spans="1:19">
      <c r="A15" s="4" t="s">
        <v>23</v>
      </c>
      <c r="B15" s="6">
        <v>339255.06452133291</v>
      </c>
      <c r="C15" s="6">
        <v>449519.45999662171</v>
      </c>
      <c r="D15" s="6">
        <v>1254027.1576606664</v>
      </c>
      <c r="E15" s="6">
        <v>29860.009174429455</v>
      </c>
      <c r="F15" s="6">
        <v>27848.553657895358</v>
      </c>
      <c r="G15" s="9">
        <v>2</v>
      </c>
      <c r="H15" s="10">
        <v>7.01</v>
      </c>
      <c r="I15" s="11">
        <v>0.02</v>
      </c>
      <c r="J15" s="13">
        <v>7.01</v>
      </c>
      <c r="K15" t="s">
        <v>43</v>
      </c>
      <c r="L15">
        <v>2</v>
      </c>
      <c r="M15">
        <v>1</v>
      </c>
      <c r="O15" s="14"/>
      <c r="P15" s="14"/>
      <c r="Q15" s="14"/>
      <c r="R15" s="14"/>
      <c r="S15" s="14"/>
    </row>
    <row r="16" spans="1:19">
      <c r="A16" s="3" t="s">
        <v>27</v>
      </c>
      <c r="B16" s="5">
        <v>54201.643215738331</v>
      </c>
      <c r="C16" s="5">
        <v>454365.22912087606</v>
      </c>
      <c r="D16" s="5">
        <v>488824.14506612642</v>
      </c>
      <c r="E16" s="5">
        <v>18369.034369072007</v>
      </c>
      <c r="F16" s="5">
        <v>7709.1305619477216</v>
      </c>
      <c r="G16" s="8">
        <v>1</v>
      </c>
      <c r="H16" s="10">
        <v>7</v>
      </c>
      <c r="I16" s="11">
        <v>0.06</v>
      </c>
      <c r="J16" s="13">
        <v>15.01</v>
      </c>
      <c r="K16" t="s">
        <v>43</v>
      </c>
      <c r="L16">
        <v>1</v>
      </c>
      <c r="M16">
        <v>2</v>
      </c>
      <c r="O16" s="14"/>
      <c r="P16" s="14"/>
      <c r="Q16" s="14"/>
      <c r="R16" s="14"/>
      <c r="S16" s="14"/>
    </row>
    <row r="17" spans="1:19">
      <c r="A17" s="4" t="s">
        <v>5</v>
      </c>
      <c r="B17" s="6">
        <v>97210.241941677436</v>
      </c>
      <c r="C17" s="6">
        <v>310895.86896008492</v>
      </c>
      <c r="D17" s="6">
        <v>752479.74898912467</v>
      </c>
      <c r="E17" s="6">
        <v>15274.209891582195</v>
      </c>
      <c r="F17" s="6">
        <v>21463.514382215264</v>
      </c>
      <c r="G17" s="9">
        <v>2</v>
      </c>
      <c r="H17" s="10">
        <v>7</v>
      </c>
      <c r="I17" s="11">
        <v>0.06</v>
      </c>
      <c r="J17" s="13">
        <v>15.01</v>
      </c>
      <c r="K17" t="s">
        <v>43</v>
      </c>
      <c r="L17">
        <v>2</v>
      </c>
      <c r="M17">
        <v>2</v>
      </c>
      <c r="O17" s="14"/>
      <c r="P17" s="14"/>
      <c r="Q17" s="14"/>
      <c r="R17" s="14"/>
      <c r="S17" s="14"/>
    </row>
    <row r="18" spans="1:19">
      <c r="A18" s="3" t="s">
        <v>18</v>
      </c>
      <c r="B18" s="5">
        <v>23267.505403106021</v>
      </c>
      <c r="C18" s="5">
        <v>318242.89109746669</v>
      </c>
      <c r="D18" s="5">
        <v>632554.15484367078</v>
      </c>
      <c r="E18" s="5">
        <v>11342.290436492724</v>
      </c>
      <c r="F18" s="5">
        <v>9112.5133572473824</v>
      </c>
      <c r="G18" s="8">
        <v>1</v>
      </c>
      <c r="H18" s="10">
        <v>6.99</v>
      </c>
      <c r="I18" s="11">
        <v>0.16</v>
      </c>
      <c r="J18" s="13">
        <v>23</v>
      </c>
      <c r="K18" t="s">
        <v>43</v>
      </c>
      <c r="L18">
        <v>1</v>
      </c>
      <c r="M18">
        <v>3</v>
      </c>
      <c r="O18" s="14"/>
      <c r="P18" s="14"/>
      <c r="Q18" s="14"/>
      <c r="R18" s="14"/>
      <c r="S18" s="14"/>
    </row>
    <row r="19" spans="1:19">
      <c r="A19" s="4" t="s">
        <v>9</v>
      </c>
      <c r="B19" s="6">
        <v>36039.026142268456</v>
      </c>
      <c r="C19" s="6">
        <v>1186971.0915316718</v>
      </c>
      <c r="D19" s="6">
        <v>669556.93014264794</v>
      </c>
      <c r="E19" s="6">
        <v>11338.495883307298</v>
      </c>
      <c r="F19" s="6">
        <v>17073.396344504079</v>
      </c>
      <c r="G19" s="9">
        <v>2</v>
      </c>
      <c r="H19" s="10">
        <v>6.99</v>
      </c>
      <c r="I19" s="11">
        <v>0.16</v>
      </c>
      <c r="J19" s="13">
        <v>23</v>
      </c>
      <c r="K19" t="s">
        <v>43</v>
      </c>
      <c r="L19">
        <v>2</v>
      </c>
      <c r="M19">
        <v>3</v>
      </c>
      <c r="O19" s="14"/>
      <c r="P19" s="14"/>
      <c r="Q19" s="14"/>
      <c r="R19" s="14"/>
      <c r="S19" s="14"/>
    </row>
    <row r="20" spans="1:19">
      <c r="A20" s="3" t="s">
        <v>14</v>
      </c>
      <c r="B20" s="5">
        <v>46970.008757286181</v>
      </c>
      <c r="C20" s="5">
        <v>661507.39841440017</v>
      </c>
      <c r="D20" s="5">
        <v>650422.01438429556</v>
      </c>
      <c r="E20" s="5">
        <v>14373.153060092156</v>
      </c>
      <c r="F20" s="5">
        <v>8099.6294843794803</v>
      </c>
      <c r="G20" s="8">
        <v>1</v>
      </c>
      <c r="H20" s="10">
        <v>6.99</v>
      </c>
      <c r="I20" s="11">
        <v>0.28000000000000003</v>
      </c>
      <c r="J20" s="13">
        <v>31.03</v>
      </c>
      <c r="K20" t="s">
        <v>43</v>
      </c>
      <c r="L20">
        <v>1</v>
      </c>
      <c r="M20">
        <v>4</v>
      </c>
      <c r="O20" s="14"/>
      <c r="P20" s="14"/>
      <c r="Q20" s="14"/>
      <c r="R20" s="14"/>
      <c r="S20" s="14"/>
    </row>
    <row r="21" spans="1:19">
      <c r="A21" s="4" t="s">
        <v>2</v>
      </c>
      <c r="B21" s="6">
        <v>55364.385305282609</v>
      </c>
      <c r="C21" s="6">
        <v>1230634.0461651396</v>
      </c>
      <c r="D21" s="6">
        <v>708829.46669800801</v>
      </c>
      <c r="E21" s="6">
        <f>140/12.345*1000</f>
        <v>11340.623734305387</v>
      </c>
      <c r="F21" s="6">
        <v>18550.559203576737</v>
      </c>
      <c r="G21" s="9">
        <v>2</v>
      </c>
      <c r="H21" s="10">
        <v>6.99</v>
      </c>
      <c r="I21" s="11">
        <v>0.28000000000000003</v>
      </c>
      <c r="J21" s="13">
        <v>31.03</v>
      </c>
      <c r="K21" t="s">
        <v>43</v>
      </c>
      <c r="L21">
        <v>2</v>
      </c>
      <c r="M21">
        <v>4</v>
      </c>
      <c r="O21" s="14"/>
      <c r="P21" s="14"/>
      <c r="Q21" s="14"/>
      <c r="R21" s="14"/>
      <c r="S21" s="14"/>
    </row>
    <row r="22" spans="1:19">
      <c r="A22" s="3" t="s">
        <v>19</v>
      </c>
      <c r="B22" s="5">
        <v>176098.32171564028</v>
      </c>
      <c r="C22" s="5">
        <v>219027.6748185812</v>
      </c>
      <c r="D22" s="5">
        <v>4672806.1431901632</v>
      </c>
      <c r="E22" s="5">
        <v>102995.82570024877</v>
      </c>
      <c r="F22" s="5">
        <v>8364.9406145750236</v>
      </c>
      <c r="G22" s="8">
        <v>5</v>
      </c>
      <c r="H22" s="10">
        <v>0.02</v>
      </c>
      <c r="I22" s="11">
        <v>0</v>
      </c>
      <c r="J22" s="13">
        <v>0.02</v>
      </c>
      <c r="K22" t="s">
        <v>45</v>
      </c>
      <c r="L22">
        <v>2</v>
      </c>
      <c r="M22">
        <v>0</v>
      </c>
      <c r="O22" s="14"/>
      <c r="P22" s="14"/>
      <c r="Q22" s="14"/>
      <c r="R22" s="14"/>
      <c r="S22" s="14"/>
    </row>
    <row r="23" spans="1:19">
      <c r="A23" s="4" t="s">
        <v>11</v>
      </c>
      <c r="B23" s="6">
        <v>173862.00413600082</v>
      </c>
      <c r="C23" s="6">
        <v>145750.83073277591</v>
      </c>
      <c r="D23" s="6">
        <v>1249581.8428152595</v>
      </c>
      <c r="E23" s="6">
        <v>59963.884474451224</v>
      </c>
      <c r="F23" s="6">
        <v>10244.681079377066</v>
      </c>
      <c r="G23" s="9">
        <v>6</v>
      </c>
      <c r="H23" s="10">
        <v>0.02</v>
      </c>
      <c r="I23" s="11">
        <v>0</v>
      </c>
      <c r="J23" s="13">
        <v>0.02</v>
      </c>
      <c r="K23" t="s">
        <v>45</v>
      </c>
      <c r="L23">
        <v>1</v>
      </c>
      <c r="M23">
        <v>0</v>
      </c>
      <c r="O23" s="14"/>
      <c r="P23" s="14"/>
      <c r="Q23" s="14"/>
      <c r="R23" s="14"/>
      <c r="S23" s="14"/>
    </row>
    <row r="24" spans="1:19">
      <c r="A24" s="3" t="s">
        <v>6</v>
      </c>
      <c r="B24" s="5">
        <v>124577.9349290431</v>
      </c>
      <c r="C24" s="5">
        <v>116474.04732850393</v>
      </c>
      <c r="D24" s="5">
        <v>1064264.4777416636</v>
      </c>
      <c r="E24" s="5">
        <v>48720.176163037744</v>
      </c>
      <c r="F24" s="5">
        <v>22059.402519241183</v>
      </c>
      <c r="G24" s="8">
        <v>5</v>
      </c>
      <c r="H24" s="10">
        <v>7.01</v>
      </c>
      <c r="I24" s="11">
        <v>0.02</v>
      </c>
      <c r="J24" s="13">
        <v>7.01</v>
      </c>
      <c r="K24" t="s">
        <v>47</v>
      </c>
      <c r="L24">
        <v>2</v>
      </c>
      <c r="M24">
        <v>1</v>
      </c>
      <c r="O24" s="14"/>
      <c r="P24" s="14"/>
      <c r="Q24" s="14"/>
      <c r="R24" s="14"/>
      <c r="S24" s="14"/>
    </row>
    <row r="25" spans="1:19">
      <c r="A25" s="4" t="s">
        <v>12</v>
      </c>
      <c r="B25" s="6">
        <v>44975.736537838689</v>
      </c>
      <c r="C25" s="6">
        <v>391309.39266932948</v>
      </c>
      <c r="D25" s="6">
        <v>447353.13522268541</v>
      </c>
      <c r="E25" s="6">
        <v>16898.487672259489</v>
      </c>
      <c r="F25" s="6">
        <v>15870.900510263675</v>
      </c>
      <c r="G25" s="9">
        <v>6</v>
      </c>
      <c r="H25" s="10">
        <v>7.01</v>
      </c>
      <c r="I25" s="11">
        <v>0.02</v>
      </c>
      <c r="J25" s="13">
        <v>7.01</v>
      </c>
      <c r="K25" t="s">
        <v>47</v>
      </c>
      <c r="L25">
        <v>1</v>
      </c>
      <c r="M25">
        <v>1</v>
      </c>
      <c r="O25" s="14"/>
      <c r="P25" s="14"/>
      <c r="Q25" s="14"/>
      <c r="R25" s="14"/>
      <c r="S25" s="14"/>
    </row>
    <row r="26" spans="1:19">
      <c r="A26" s="3" t="s">
        <v>13</v>
      </c>
      <c r="B26" s="5">
        <v>203206.99475919499</v>
      </c>
      <c r="C26" s="5">
        <v>267099.22717063694</v>
      </c>
      <c r="D26" s="5">
        <v>1060324.2260614561</v>
      </c>
      <c r="E26" s="5">
        <v>42823.611321399432</v>
      </c>
      <c r="F26" s="5">
        <v>20474.635241461907</v>
      </c>
      <c r="G26" s="8">
        <v>5</v>
      </c>
      <c r="H26" s="10">
        <v>7</v>
      </c>
      <c r="I26" s="11">
        <v>0.06</v>
      </c>
      <c r="J26" s="13">
        <v>15.01</v>
      </c>
      <c r="K26" t="s">
        <v>47</v>
      </c>
      <c r="L26">
        <v>2</v>
      </c>
      <c r="M26">
        <v>2</v>
      </c>
      <c r="O26" s="14"/>
      <c r="P26" s="14"/>
      <c r="Q26" s="14"/>
      <c r="R26" s="14"/>
      <c r="S26" s="14"/>
    </row>
    <row r="27" spans="1:19">
      <c r="A27" s="4" t="s">
        <v>8</v>
      </c>
      <c r="B27" s="6">
        <v>42222.419883530965</v>
      </c>
      <c r="C27" s="6">
        <v>291141.14589018142</v>
      </c>
      <c r="D27" s="6">
        <v>506586.09748543601</v>
      </c>
      <c r="E27" s="6">
        <v>17155.536632886524</v>
      </c>
      <c r="F27" s="6">
        <v>14917.886403870261</v>
      </c>
      <c r="G27" s="9">
        <v>6</v>
      </c>
      <c r="H27" s="10">
        <v>7</v>
      </c>
      <c r="I27" s="11">
        <v>0.06</v>
      </c>
      <c r="J27" s="13">
        <v>15.01</v>
      </c>
      <c r="K27" t="s">
        <v>47</v>
      </c>
      <c r="L27">
        <v>1</v>
      </c>
      <c r="M27">
        <v>2</v>
      </c>
      <c r="O27" s="14"/>
      <c r="P27" s="14"/>
      <c r="Q27" s="14"/>
      <c r="R27" s="14"/>
      <c r="S27" s="14"/>
    </row>
    <row r="28" spans="1:19">
      <c r="A28" s="3" t="s">
        <v>3</v>
      </c>
      <c r="B28" s="5">
        <v>189894.40521742892</v>
      </c>
      <c r="C28" s="5">
        <v>221842.08048919094</v>
      </c>
      <c r="D28" s="5">
        <v>941582.93360088207</v>
      </c>
      <c r="E28" s="5">
        <v>46855.642939280733</v>
      </c>
      <c r="F28" s="5">
        <v>17575.951757251623</v>
      </c>
      <c r="G28" s="8">
        <v>5</v>
      </c>
      <c r="H28" s="10">
        <v>6.99</v>
      </c>
      <c r="I28" s="11">
        <v>0.16</v>
      </c>
      <c r="J28" s="13">
        <v>23</v>
      </c>
      <c r="K28" t="s">
        <v>47</v>
      </c>
      <c r="L28">
        <v>2</v>
      </c>
      <c r="M28">
        <v>3</v>
      </c>
      <c r="O28" s="14"/>
      <c r="P28" s="14"/>
      <c r="Q28" s="14"/>
      <c r="R28" s="14"/>
      <c r="S28" s="14"/>
    </row>
    <row r="29" spans="1:19">
      <c r="A29" s="4" t="s">
        <v>30</v>
      </c>
      <c r="B29" s="6">
        <v>53502.995343989503</v>
      </c>
      <c r="C29" s="6">
        <v>117127.78579055458</v>
      </c>
      <c r="D29" s="6">
        <v>631090.5517003662</v>
      </c>
      <c r="E29" s="6">
        <v>14201.784740937837</v>
      </c>
      <c r="F29" s="6">
        <v>16348.967869294331</v>
      </c>
      <c r="G29" s="9">
        <v>6</v>
      </c>
      <c r="H29" s="10">
        <v>6.99</v>
      </c>
      <c r="I29" s="11">
        <v>0.16</v>
      </c>
      <c r="J29" s="13">
        <v>23</v>
      </c>
      <c r="K29" t="s">
        <v>47</v>
      </c>
      <c r="L29">
        <v>1</v>
      </c>
      <c r="M29">
        <v>3</v>
      </c>
      <c r="O29" s="14"/>
      <c r="P29" s="14"/>
      <c r="Q29" s="14"/>
      <c r="R29" s="14"/>
      <c r="S29" s="14"/>
    </row>
    <row r="30" spans="1:19">
      <c r="A30" s="3" t="s">
        <v>22</v>
      </c>
      <c r="B30" s="5">
        <v>173988.75703237311</v>
      </c>
      <c r="C30" s="5">
        <v>517548.363109497</v>
      </c>
      <c r="D30" s="5">
        <v>949965.05895497208</v>
      </c>
      <c r="E30" s="5">
        <v>64149.76020140294</v>
      </c>
      <c r="F30" s="5">
        <v>26548.561124344178</v>
      </c>
      <c r="G30" s="8">
        <v>5</v>
      </c>
      <c r="H30" s="10">
        <v>6.99</v>
      </c>
      <c r="I30" s="11">
        <v>0.28000000000000003</v>
      </c>
      <c r="J30" s="13">
        <v>31.03</v>
      </c>
      <c r="K30" t="s">
        <v>47</v>
      </c>
      <c r="L30">
        <v>2</v>
      </c>
      <c r="M30">
        <v>4</v>
      </c>
      <c r="O30" s="14"/>
      <c r="P30" s="14"/>
      <c r="Q30" s="14"/>
      <c r="R30" s="14"/>
      <c r="S30" s="14"/>
    </row>
    <row r="31" spans="1:19">
      <c r="A31" s="4" t="s">
        <v>20</v>
      </c>
      <c r="B31" s="6">
        <v>51621.817009675557</v>
      </c>
      <c r="C31" s="6">
        <v>337908.58363559499</v>
      </c>
      <c r="D31" s="6">
        <v>502518.64114371914</v>
      </c>
      <c r="E31" s="6">
        <v>10665.144796526272</v>
      </c>
      <c r="F31" s="6">
        <v>13378.477981392032</v>
      </c>
      <c r="G31" s="9">
        <v>6</v>
      </c>
      <c r="H31" s="10">
        <v>6.99</v>
      </c>
      <c r="I31" s="11">
        <v>0.28000000000000003</v>
      </c>
      <c r="J31" s="13">
        <v>31.03</v>
      </c>
      <c r="K31" t="s">
        <v>47</v>
      </c>
      <c r="L31">
        <v>1</v>
      </c>
      <c r="M31">
        <v>4</v>
      </c>
      <c r="O31" s="14"/>
      <c r="P31" s="14"/>
      <c r="Q31" s="14"/>
      <c r="R31" s="14"/>
      <c r="S31" s="14"/>
    </row>
    <row r="33" spans="2:6">
      <c r="B33" s="6"/>
      <c r="C33" s="6"/>
      <c r="D33" s="6"/>
      <c r="E33" s="6"/>
      <c r="F33" s="6"/>
    </row>
  </sheetData>
  <sortState xmlns:xlrd2="http://schemas.microsoft.com/office/spreadsheetml/2017/richdata2" ref="A2:M31">
    <sortCondition descending="1" ref="K2:K31"/>
  </sortState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Minwei Xie</cp:lastModifiedBy>
  <dcterms:created xsi:type="dcterms:W3CDTF">2023-04-18T13:13:33Z</dcterms:created>
  <dcterms:modified xsi:type="dcterms:W3CDTF">2024-12-04T01:49:06Z</dcterms:modified>
</cp:coreProperties>
</file>