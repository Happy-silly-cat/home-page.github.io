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xmueducn-my.sharepoint.com/personal/33120211152209_stu_xmu_edu_cn/Documents/02.实验/sediment-TK-TD/data/computed by R/08.model_sed/02.AR_model/04. predic by R/"/>
    </mc:Choice>
  </mc:AlternateContent>
  <xr:revisionPtr revIDLastSave="183" documentId="8_{A41784FD-76B2-4B92-9048-08D380C67184}" xr6:coauthVersionLast="47" xr6:coauthVersionMax="47" xr10:uidLastSave="{26E1788F-AE90-4E96-A2A0-BBBDE004D5EC}"/>
  <bookViews>
    <workbookView xWindow="-110" yWindow="-110" windowWidth="19420" windowHeight="10420" firstSheet="1" activeTab="4" xr2:uid="{38CBA111-6135-4FED-AD72-F30C59B91911}"/>
  </bookViews>
  <sheets>
    <sheet name="background" sheetId="1" r:id="rId1"/>
    <sheet name="TK" sheetId="2" r:id="rId2"/>
    <sheet name="TK-water" sheetId="3" r:id="rId3"/>
    <sheet name="labeling" sheetId="4" r:id="rId4"/>
    <sheet name="non_label" sheetId="5" r:id="rId5"/>
    <sheet name="DGT" sheetId="6" r:id="rId6"/>
    <sheet name="AEM" sheetId="7" r:id="rId7"/>
    <sheet name="Bioa-overwater" sheetId="8" r:id="rId8"/>
    <sheet name="TD-overwater" sheetId="9" r:id="rId9"/>
  </sheets>
  <definedNames>
    <definedName name="_xlnm._FilterDatabase" localSheetId="3" hidden="1">labeling!$A$1:$P$561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A7" i="3"/>
  <c r="A5" i="3"/>
  <c r="A4" i="3"/>
  <c r="A3" i="3"/>
  <c r="B23" i="2"/>
  <c r="B22" i="2"/>
  <c r="B21" i="2"/>
  <c r="B20" i="2"/>
  <c r="B19" i="2"/>
  <c r="B18" i="2"/>
  <c r="B17" i="2"/>
  <c r="B16" i="2"/>
  <c r="B15" i="2"/>
  <c r="B14" i="2"/>
  <c r="B13" i="2"/>
  <c r="B12" i="2"/>
</calcChain>
</file>

<file path=xl/sharedStrings.xml><?xml version="1.0" encoding="utf-8"?>
<sst xmlns="http://schemas.openxmlformats.org/spreadsheetml/2006/main" count="2642" uniqueCount="1131">
  <si>
    <t>sample</t>
  </si>
  <si>
    <t>length_mm</t>
  </si>
  <si>
    <t>width_mm</t>
  </si>
  <si>
    <t>height_mm</t>
  </si>
  <si>
    <t>total_g</t>
  </si>
  <si>
    <t>ww_g</t>
  </si>
  <si>
    <t>dw_g</t>
  </si>
  <si>
    <t>0h-2</t>
  </si>
  <si>
    <t>0h-3</t>
  </si>
  <si>
    <t>0h-4</t>
  </si>
  <si>
    <t>0h-5</t>
  </si>
  <si>
    <t>0h-6</t>
  </si>
  <si>
    <t>0h-7</t>
  </si>
  <si>
    <t>0h-8</t>
  </si>
  <si>
    <t>0h-9</t>
  </si>
  <si>
    <t>0h-10</t>
  </si>
  <si>
    <t>sample</t>
    <phoneticPr fontId="3" type="noConversion"/>
  </si>
  <si>
    <t>time</t>
    <phoneticPr fontId="3" type="noConversion"/>
  </si>
  <si>
    <t>tab</t>
    <phoneticPr fontId="1" type="noConversion"/>
  </si>
  <si>
    <t>length_mm</t>
    <phoneticPr fontId="3" type="noConversion"/>
  </si>
  <si>
    <t>width_mm</t>
    <phoneticPr fontId="3" type="noConversion"/>
  </si>
  <si>
    <t>height_mm</t>
    <phoneticPr fontId="3" type="noConversion"/>
  </si>
  <si>
    <t>total_g</t>
    <phoneticPr fontId="3" type="noConversion"/>
  </si>
  <si>
    <t>ww_g</t>
    <phoneticPr fontId="3" type="noConversion"/>
  </si>
  <si>
    <t>dw_g</t>
    <phoneticPr fontId="3" type="noConversion"/>
  </si>
  <si>
    <t>0h-1</t>
    <phoneticPr fontId="3" type="noConversion"/>
  </si>
  <si>
    <t>Bioa-backgroud-1</t>
  </si>
  <si>
    <t>Bioa-backgroud-2</t>
  </si>
  <si>
    <t>Bioa-backgroud-3</t>
  </si>
  <si>
    <t>Bioa-backgroud-4</t>
  </si>
  <si>
    <t>Bioa-backgroud-5</t>
  </si>
  <si>
    <t>Bioa-backgroud-6</t>
  </si>
  <si>
    <t>Bioa-backgroud-7</t>
  </si>
  <si>
    <t>Bioa-backgroud-8</t>
  </si>
  <si>
    <t>Bioa-backgroud-9</t>
  </si>
  <si>
    <t>Bioa-backgroud-10</t>
  </si>
  <si>
    <t>TD-backgroud-1</t>
  </si>
  <si>
    <t>TD-backgroud-2</t>
  </si>
  <si>
    <t>TD-backgroud-3</t>
  </si>
  <si>
    <t>TD-backgroud-4</t>
  </si>
  <si>
    <t>TD-backgroud-5</t>
  </si>
  <si>
    <t>TD-backgroud-6</t>
  </si>
  <si>
    <t>TD-backgroud-7</t>
  </si>
  <si>
    <t>TD-backgroud-8</t>
  </si>
  <si>
    <t>TD-backgroud-9</t>
  </si>
  <si>
    <t>TD-backgroud-10</t>
  </si>
  <si>
    <t>dilut_L</t>
  </si>
  <si>
    <t>Cd_ug_g</t>
  </si>
  <si>
    <t>Pb_ug_g</t>
  </si>
  <si>
    <t>Cu_ug_g</t>
  </si>
  <si>
    <t>Ni_ug_g</t>
  </si>
  <si>
    <t>Zn_ug_g</t>
  </si>
  <si>
    <t>TK-0h-1</t>
  </si>
  <si>
    <t>TK-0h-2</t>
  </si>
  <si>
    <t>TK-0h-3</t>
  </si>
  <si>
    <t>TK-0h-4</t>
  </si>
  <si>
    <t>TK-0h-5</t>
  </si>
  <si>
    <t>TK-0h-6</t>
  </si>
  <si>
    <t>TK-0h-7</t>
  </si>
  <si>
    <t>TK-0h-8</t>
  </si>
  <si>
    <t>TK-0h-9</t>
  </si>
  <si>
    <t>TK-0h-10</t>
  </si>
  <si>
    <t>TK-3h-1-2</t>
  </si>
  <si>
    <t>TK-3h-2-1</t>
  </si>
  <si>
    <t>TK-3h-2-2</t>
  </si>
  <si>
    <t>TK-3h-3-1</t>
  </si>
  <si>
    <t>TK-3h-3-2</t>
  </si>
  <si>
    <t>TK-7h-1-1</t>
  </si>
  <si>
    <t>TK-7h-1-2</t>
  </si>
  <si>
    <t>TK-7h-2-1</t>
  </si>
  <si>
    <t>TK-7h-2-2</t>
  </si>
  <si>
    <t>TK-7h-3-1</t>
  </si>
  <si>
    <t>TK-7h-3-2</t>
  </si>
  <si>
    <t>TK-12h-1-1</t>
  </si>
  <si>
    <t>TK-12h-1-2</t>
  </si>
  <si>
    <t>TK-12h-2-1</t>
  </si>
  <si>
    <t>TK-12h-2-2</t>
  </si>
  <si>
    <t>TK-12h-3-1</t>
  </si>
  <si>
    <t>TK-12h-3-2</t>
  </si>
  <si>
    <t>TK-1d-1-1</t>
  </si>
  <si>
    <t>TK-1d-1-2</t>
  </si>
  <si>
    <t>TK-1d-2-2</t>
  </si>
  <si>
    <t>TK-1d-3-1</t>
  </si>
  <si>
    <t>TK-1d-3-2</t>
  </si>
  <si>
    <t>TK-1.5d-1-1</t>
  </si>
  <si>
    <t>TK-1.5d-1-2</t>
  </si>
  <si>
    <t>TK-1.5d-2-1</t>
  </si>
  <si>
    <t>TK-1.5d-2-2</t>
  </si>
  <si>
    <t>TK-1.5d-3-1</t>
  </si>
  <si>
    <t>TK-1.5d-3-2</t>
  </si>
  <si>
    <t>TK-2d-1-1</t>
  </si>
  <si>
    <t>TK-2d-1-2</t>
  </si>
  <si>
    <t>TK-2d-2-1</t>
  </si>
  <si>
    <t>TK-2d-2-2</t>
  </si>
  <si>
    <t>TK-2d-3-1</t>
  </si>
  <si>
    <t>TK-2d-3-2</t>
  </si>
  <si>
    <t>TK-2.5d-1-1</t>
  </si>
  <si>
    <t>TK-2.5d-1-2</t>
  </si>
  <si>
    <t>TK-2.5d-2-1</t>
  </si>
  <si>
    <t>TK-2.5d-2-2</t>
  </si>
  <si>
    <t>TK-2.5d-3-1</t>
  </si>
  <si>
    <t>TK-2.5d-3-2</t>
  </si>
  <si>
    <t>TK-3d-1-1</t>
  </si>
  <si>
    <t>TK-3d-1-2</t>
  </si>
  <si>
    <t>TK-3d-2-1</t>
  </si>
  <si>
    <t>TK-3d-2-2</t>
  </si>
  <si>
    <t>TK-3d-3-1</t>
  </si>
  <si>
    <t>TK-3d-3-2</t>
  </si>
  <si>
    <t>TK-4d-1-1</t>
  </si>
  <si>
    <t>TK-4d-1-2</t>
  </si>
  <si>
    <t>TK-4d-2-1</t>
  </si>
  <si>
    <t>TK-4d-2-2</t>
  </si>
  <si>
    <t>TK-4d-3-1</t>
  </si>
  <si>
    <t>TK-4d-3-2</t>
  </si>
  <si>
    <t>TK-6d-1-1</t>
  </si>
  <si>
    <t>TK-6d-1-2</t>
  </si>
  <si>
    <t>TK-6d-2-1</t>
  </si>
  <si>
    <t>TK-6d-2-2</t>
  </si>
  <si>
    <t>TK-6d-3-1</t>
  </si>
  <si>
    <t>TK-6d-3-2</t>
  </si>
  <si>
    <t>TK-9d-1-1</t>
  </si>
  <si>
    <t>TK-9d-1-2</t>
  </si>
  <si>
    <t>TK-9d-2-1</t>
  </si>
  <si>
    <t>TK-9d-2-2</t>
  </si>
  <si>
    <t>TK-9d-3-1</t>
  </si>
  <si>
    <t>TK-9d-3-2</t>
  </si>
  <si>
    <t>TK-12d-1-1</t>
  </si>
  <si>
    <t>TK-12d-1-2</t>
  </si>
  <si>
    <t>TK-12d-2-1</t>
  </si>
  <si>
    <t>TK-12d-2-2</t>
  </si>
  <si>
    <t>TK-12d-3-1</t>
  </si>
  <si>
    <t>TK-12d-3-2</t>
  </si>
  <si>
    <t>TK-16d-1-1</t>
  </si>
  <si>
    <t>TK-16d-1-2</t>
  </si>
  <si>
    <t>TK-16d-2-1</t>
  </si>
  <si>
    <t>TK-16d-2-2</t>
  </si>
  <si>
    <t>TK-16d-3-1</t>
  </si>
  <si>
    <t>TK-16d-3-2</t>
  </si>
  <si>
    <t>TK-22d-1-1</t>
  </si>
  <si>
    <t>TK-22d-1-2</t>
  </si>
  <si>
    <t>TK-22d-2-1</t>
  </si>
  <si>
    <t>TK-22d-2-2</t>
  </si>
  <si>
    <t>TK-22d-3-1</t>
  </si>
  <si>
    <t>TK-22d-3-2</t>
  </si>
  <si>
    <t>TK-28d-1-1</t>
  </si>
  <si>
    <t>TK-28d-1-2</t>
  </si>
  <si>
    <t>TK-28d-2-1</t>
  </si>
  <si>
    <t>TK-28d-2-2</t>
  </si>
  <si>
    <t>TK-28d-3-1</t>
  </si>
  <si>
    <t>TK-28d-3-2</t>
  </si>
  <si>
    <t>TK-28d-3-3</t>
  </si>
  <si>
    <t>TK-3h-1-1</t>
    <phoneticPr fontId="3" type="noConversion"/>
  </si>
  <si>
    <t>TK-1d-2-1</t>
    <phoneticPr fontId="3" type="noConversion"/>
  </si>
  <si>
    <t>Cd 114_ug_g</t>
  </si>
  <si>
    <t>Cu 65_ug_g</t>
  </si>
  <si>
    <t>Ni 62_ug_g</t>
  </si>
  <si>
    <t>Cd 114_ppb</t>
  </si>
  <si>
    <t>Cu 65_ppb</t>
  </si>
  <si>
    <t>Ni 62_ppb</t>
  </si>
  <si>
    <t>time_d</t>
    <phoneticPr fontId="1" type="noConversion"/>
  </si>
  <si>
    <t xml:space="preserve">sample </t>
    <phoneticPr fontId="3" type="noConversion"/>
  </si>
  <si>
    <t>normal</t>
    <phoneticPr fontId="3" type="noConversion"/>
  </si>
  <si>
    <t>pre_labeling_(1)_14d_1</t>
    <phoneticPr fontId="3" type="noConversion"/>
  </si>
  <si>
    <t>pre_labeling_(1)_14d_2</t>
  </si>
  <si>
    <t>pre_labeling_(1)_14d_3</t>
  </si>
  <si>
    <t>pre_labeling_(1)_14d_4</t>
  </si>
  <si>
    <t>pre_labeling_(1)_14d_5</t>
  </si>
  <si>
    <t>pre_labeling_(1)_14d_6</t>
  </si>
  <si>
    <t>pre_labeling_(1)_14d_7</t>
  </si>
  <si>
    <t>pre_labeling_(1)_14d_8</t>
  </si>
  <si>
    <t>pre_labeling_(1)_14d_9</t>
  </si>
  <si>
    <t>pre_labeling_(1)_14d_10</t>
  </si>
  <si>
    <t>ref_0.25d_1_1</t>
  </si>
  <si>
    <t>ref_0.25d_1_2</t>
  </si>
  <si>
    <t>ref_0.25d_1_3</t>
  </si>
  <si>
    <t>ref_0.25d_2_1</t>
  </si>
  <si>
    <t>ref_0.25d_2_2</t>
  </si>
  <si>
    <t>ref_0.25d_2_3</t>
  </si>
  <si>
    <t>ref_0.25d_3_1</t>
  </si>
  <si>
    <t>ref_0.25d_3_2</t>
  </si>
  <si>
    <t>ref_0.25d_3_3</t>
  </si>
  <si>
    <t>TD_labeling_0.25d_1_1</t>
  </si>
  <si>
    <t>TD_labeling_0.25d_1_2</t>
  </si>
  <si>
    <t>TD_labeling_0.25d_1_3</t>
  </si>
  <si>
    <t>TD_labeling_0.25d_2_1</t>
  </si>
  <si>
    <t>TD_labeling_0.25d_2_2</t>
  </si>
  <si>
    <t>TD_labeling_0.25d_2_3</t>
  </si>
  <si>
    <t>TD_labeling_0.25d_3_1</t>
  </si>
  <si>
    <t>TD_labeling_0.25d_3_2</t>
  </si>
  <si>
    <t>TD_labeling_0.25d_3_3</t>
  </si>
  <si>
    <t>TD_labeling_0.25d_4_1</t>
  </si>
  <si>
    <t>TD_labeling_0.25d_4_2</t>
  </si>
  <si>
    <t>TD_labeling_0.25d_4_3</t>
  </si>
  <si>
    <t>ref_1d_1_1</t>
  </si>
  <si>
    <t>ref_1d_1_2</t>
  </si>
  <si>
    <t>ref_1d_1_3</t>
  </si>
  <si>
    <t>ref_1d_2_1</t>
  </si>
  <si>
    <t>ref_1d_2_2</t>
  </si>
  <si>
    <t>ref_1d_2_3</t>
  </si>
  <si>
    <t>ref_1d_3_1</t>
  </si>
  <si>
    <t>ref_1d_3_2</t>
  </si>
  <si>
    <t>ref_1d_3_3</t>
  </si>
  <si>
    <t>Bioa_labeling_1d_1_1</t>
  </si>
  <si>
    <t>Bioa_labeling_1d_1_2</t>
  </si>
  <si>
    <t>Bioa_labeling_1d_1_3</t>
  </si>
  <si>
    <t>Bioa_labeling_1d_1_4</t>
  </si>
  <si>
    <t>Bioa_labeling_1d_2_1</t>
  </si>
  <si>
    <t>Bioa_labeling_1d_2_2</t>
  </si>
  <si>
    <t>Bioa_labeling_1d_2_3</t>
  </si>
  <si>
    <t>Bioa_labeling_1d_2_4</t>
  </si>
  <si>
    <t>Bioa_labeling_1d_3_1</t>
  </si>
  <si>
    <t>Bioa_labeling_1d_3_2</t>
  </si>
  <si>
    <t>Bioa_labeling_1d_3_3</t>
  </si>
  <si>
    <t>Bioa_labeling_1d_3_4</t>
  </si>
  <si>
    <t>Bioa_labeling_1d_4_1</t>
  </si>
  <si>
    <t>Bioa_labeling_1d_4_2</t>
  </si>
  <si>
    <t>Bioa_labeling_1d_4_3</t>
  </si>
  <si>
    <t>Bioa_labeling_1d_4_4</t>
  </si>
  <si>
    <t>TD_labeling_1d_1_1</t>
  </si>
  <si>
    <t>TD_labeling_1d_1_2</t>
  </si>
  <si>
    <t>TD_labeling_1d_1_3</t>
  </si>
  <si>
    <t>TD_labeling_1d_2_1</t>
  </si>
  <si>
    <t>TD_labeling_1d_2_2</t>
  </si>
  <si>
    <t>TD_labeling_1d_2_3</t>
  </si>
  <si>
    <t>TD_labeling_1d_3_1</t>
  </si>
  <si>
    <t>TD_labeling_1d_3_2</t>
  </si>
  <si>
    <t>TD_labeling_1d_3_3</t>
  </si>
  <si>
    <t>TD_labeling_1d_4_1</t>
  </si>
  <si>
    <t>TD_labeling_1d_4_2</t>
  </si>
  <si>
    <t>TD_labeling_1d_4_3</t>
  </si>
  <si>
    <t>ref_3d_1_1</t>
  </si>
  <si>
    <t>ref_3d_1_2</t>
  </si>
  <si>
    <t>ref_3d_1_3</t>
  </si>
  <si>
    <t>ref_3d_2_1</t>
  </si>
  <si>
    <t>ref_3d_2_2</t>
  </si>
  <si>
    <t>ref_3d_2_3</t>
  </si>
  <si>
    <t>ref_3d_3_1</t>
  </si>
  <si>
    <t>ref_3d_3_2</t>
  </si>
  <si>
    <t>ref_3d_3_3</t>
  </si>
  <si>
    <t>TD_labeling_3d_1_1</t>
    <phoneticPr fontId="3" type="noConversion"/>
  </si>
  <si>
    <t>TD_labeling_3d_1_2</t>
  </si>
  <si>
    <t>TD_labeling_3d_1_3</t>
  </si>
  <si>
    <t>TD_labeling_3d_1_4</t>
  </si>
  <si>
    <t>TD_labeling_3d_2_1</t>
  </si>
  <si>
    <t>TD_labeling_3d_2_2</t>
  </si>
  <si>
    <t>TD_labeling_3d_2_3</t>
  </si>
  <si>
    <t>TD_labeling_3d_2_4</t>
  </si>
  <si>
    <t>TD_labeling_3d_3_1</t>
  </si>
  <si>
    <t>TD_labeling_3d_3_2</t>
  </si>
  <si>
    <t>TD_labeling_3d_3_3</t>
  </si>
  <si>
    <t>TD_labeling_3d_3_4</t>
  </si>
  <si>
    <t>TD_labeling_3d_4_1</t>
  </si>
  <si>
    <t>TD_labeling_3d_4_2</t>
  </si>
  <si>
    <t>TD_labeling_3d_4_3</t>
  </si>
  <si>
    <t>TD_labeling_3d_4_4</t>
  </si>
  <si>
    <t>pre_labeling_(2)_14d_1</t>
  </si>
  <si>
    <t>pre_labeling_(2)_14d_2</t>
  </si>
  <si>
    <t>pre_labeling_(2)_14d_3</t>
  </si>
  <si>
    <t>pre_labeling_(2)_14d_4</t>
    <phoneticPr fontId="3" type="noConversion"/>
  </si>
  <si>
    <t>pre_labeling_(2)_14d_5</t>
  </si>
  <si>
    <t>pre_labeling_(2)_14d_6</t>
  </si>
  <si>
    <t>pre_labeling_(2)_14d_7</t>
  </si>
  <si>
    <t>pre_labeling_(2)_14d_8</t>
  </si>
  <si>
    <t>pre_labeling_(2)_14d_9</t>
  </si>
  <si>
    <t>pre_labeling_(2)_14d_10</t>
  </si>
  <si>
    <t>ref_3.25d_1_1</t>
  </si>
  <si>
    <t>ref_3.25d_1_2</t>
  </si>
  <si>
    <t>ref_3.25d_1_3</t>
  </si>
  <si>
    <t>ref_3.25d_2_1</t>
  </si>
  <si>
    <t>ref_3.25d_2_2</t>
  </si>
  <si>
    <t>ref_3.25d_2_3</t>
  </si>
  <si>
    <t>ref_3.25d_3_1</t>
  </si>
  <si>
    <t>ref_3.25d_3_2</t>
  </si>
  <si>
    <t>ref_3.25d_3_3</t>
  </si>
  <si>
    <t>TD_labeling_3.25d_1_1</t>
  </si>
  <si>
    <t>TD_labeling_3.25d_1_2</t>
  </si>
  <si>
    <t>TD_labeling_3.25d_1_3</t>
  </si>
  <si>
    <t>TD_labeling_3.25d_2_1</t>
  </si>
  <si>
    <t>TD_labeling_3.25d_2_2</t>
  </si>
  <si>
    <t>TD_labeling_3.25d_2_3</t>
  </si>
  <si>
    <t>TD_labeling_3.25d_3_1</t>
  </si>
  <si>
    <t>TD_labeling_3.25d_3_2</t>
  </si>
  <si>
    <t>TD_labeling_3.25d_3_3</t>
  </si>
  <si>
    <t>TD_labeling_3.25d_4_1</t>
  </si>
  <si>
    <t>TD_labeling_3.25d_4_2</t>
  </si>
  <si>
    <t>TD_labeling_3.25d_4_3</t>
  </si>
  <si>
    <t>ref_4d_1_1</t>
    <phoneticPr fontId="3" type="noConversion"/>
  </si>
  <si>
    <t>ref_4d_1_2</t>
  </si>
  <si>
    <t>ref_4d_2_1</t>
    <phoneticPr fontId="3" type="noConversion"/>
  </si>
  <si>
    <t>ref_4d_2_2</t>
  </si>
  <si>
    <t>ref_4d_2_3</t>
  </si>
  <si>
    <t>ref_4d_3_1</t>
    <phoneticPr fontId="3" type="noConversion"/>
  </si>
  <si>
    <t>ref_4d_3_2</t>
  </si>
  <si>
    <t>ref_4d_3_3</t>
  </si>
  <si>
    <t>Bioa_labeling_4d_1_1</t>
    <phoneticPr fontId="3" type="noConversion"/>
  </si>
  <si>
    <t>Bioa_labeling_4d_1_2</t>
  </si>
  <si>
    <t>Bioa_labeling_4d_1_3</t>
  </si>
  <si>
    <t>Bioa_labeling_4d_1_4</t>
  </si>
  <si>
    <t>Bioa_labeling_4d_2_1</t>
    <phoneticPr fontId="3" type="noConversion"/>
  </si>
  <si>
    <t>Bioa_labeling_4d_2_2</t>
  </si>
  <si>
    <t>Bioa_labeling_4d_2_3</t>
  </si>
  <si>
    <t>Bioa_labeling_4d_2_4</t>
  </si>
  <si>
    <t>Bioa_labeling_4d_3_1</t>
    <phoneticPr fontId="3" type="noConversion"/>
  </si>
  <si>
    <t>Bioa_labeling_4d_3_2</t>
  </si>
  <si>
    <t>Bioa_labeling_4d_3_3</t>
  </si>
  <si>
    <t>Bioa_labeling_4d_3_4</t>
  </si>
  <si>
    <t>Bioa_labeling_4d_4_1</t>
    <phoneticPr fontId="3" type="noConversion"/>
  </si>
  <si>
    <t>Bioa_labeling_4d_4_2</t>
  </si>
  <si>
    <t>Bioa_labeling_4d_4_3</t>
  </si>
  <si>
    <t>Bioa_labeling_4d_4_4</t>
  </si>
  <si>
    <t>TD_labeling_4d_1_1</t>
    <phoneticPr fontId="3" type="noConversion"/>
  </si>
  <si>
    <t>TD_labeling_4d_1_2</t>
  </si>
  <si>
    <t>TD_labeling_4d_1_3</t>
  </si>
  <si>
    <t>TD_labeling_4d_2_1</t>
    <phoneticPr fontId="3" type="noConversion"/>
  </si>
  <si>
    <t>TD_labeling_4d_2_2</t>
  </si>
  <si>
    <t>TD_labeling_4d_2_3</t>
  </si>
  <si>
    <t>TD_labeling_4d_3_1</t>
    <phoneticPr fontId="3" type="noConversion"/>
  </si>
  <si>
    <t>TD_labeling_4d_3_2</t>
  </si>
  <si>
    <t>TD_labeling_4d_3_3</t>
  </si>
  <si>
    <t>TD_labeling_4d_4_1</t>
    <phoneticPr fontId="3" type="noConversion"/>
  </si>
  <si>
    <t>TD_labeling_4d_4_2</t>
  </si>
  <si>
    <t>TD_labeling_4d_4_3</t>
  </si>
  <si>
    <t>ref_6d_1_1</t>
  </si>
  <si>
    <t>ref_6d_1_2</t>
  </si>
  <si>
    <t>ref_6d_1_3</t>
  </si>
  <si>
    <t>ref_6d_2_1</t>
  </si>
  <si>
    <t>ref_6d_2_2</t>
  </si>
  <si>
    <t>ref_6d_2_3</t>
  </si>
  <si>
    <t>ref_6d_3_1</t>
    <phoneticPr fontId="3" type="noConversion"/>
  </si>
  <si>
    <t>ref_6d_3_2</t>
  </si>
  <si>
    <t>ref_6d_3_3</t>
  </si>
  <si>
    <t>TD_labeling_6d_1_1</t>
  </si>
  <si>
    <t>TD_labeling_6d_1_2</t>
  </si>
  <si>
    <t>TD_labeling_6d_1_3</t>
  </si>
  <si>
    <t>TD_labeling_6d_1_4</t>
  </si>
  <si>
    <t>TD_labeling_6d_2_1</t>
  </si>
  <si>
    <t>TD_labeling_6d_2_2</t>
  </si>
  <si>
    <t>TD_labeling_6d_2_3</t>
  </si>
  <si>
    <t>TD_labeling_6d_3_1</t>
    <phoneticPr fontId="3" type="noConversion"/>
  </si>
  <si>
    <t>TD_labeling_6d_3_2</t>
  </si>
  <si>
    <t>TD_labeling_6d_3_3</t>
  </si>
  <si>
    <t>TD_labeling_6d_3_4</t>
  </si>
  <si>
    <t>TD_labeling_6d_4_1</t>
    <phoneticPr fontId="3" type="noConversion"/>
  </si>
  <si>
    <t>TD_labeling_6d_4_2</t>
  </si>
  <si>
    <t>TD_labeling_6d_4_3</t>
  </si>
  <si>
    <t>TD_labeling_6d_4_4</t>
  </si>
  <si>
    <t>pre_labeling_(3)_14d_1</t>
  </si>
  <si>
    <t>pre_labeling_(3)_14d_2</t>
  </si>
  <si>
    <t>pre_labeling_(3)_14d_3</t>
  </si>
  <si>
    <t>pre_labeling_(3)_14d_4</t>
  </si>
  <si>
    <t>pre_labeling_(3)_14d_5</t>
  </si>
  <si>
    <t>pre_labeling_(3)_14d_6</t>
  </si>
  <si>
    <t>pre_labeling_(3)_14d_7</t>
  </si>
  <si>
    <t>pre_labeling_(3)_14d_8</t>
  </si>
  <si>
    <t>pre_labeling_(3)_14d_9</t>
  </si>
  <si>
    <t>pre_labeling_(3)_14d_10</t>
  </si>
  <si>
    <t>ref_6.25d_1_1</t>
  </si>
  <si>
    <t>ref_6.25d_1_2</t>
  </si>
  <si>
    <t>ref_6.25d_1_3</t>
  </si>
  <si>
    <t>ref_6.25d_2_1</t>
  </si>
  <si>
    <t>ref_6.25d_2_2</t>
  </si>
  <si>
    <t>ref_6.25d_2_3</t>
  </si>
  <si>
    <t>ref_6.25d_3_1</t>
  </si>
  <si>
    <t>ref_6.25d_3_2</t>
  </si>
  <si>
    <t>ref_6.25d_3_3</t>
  </si>
  <si>
    <t>TD_labeling_6.25d_1_1</t>
  </si>
  <si>
    <t>TD_labeling_6.25d_1_2</t>
  </si>
  <si>
    <t>TD_labeling_6.25d_1_3</t>
  </si>
  <si>
    <t>TD_labeling_6.25d_2_1</t>
  </si>
  <si>
    <t>TD_labeling_6.25d_2_2</t>
  </si>
  <si>
    <t>TD_labeling_6.25d_2_3</t>
  </si>
  <si>
    <t>TD_labeling_6.25d_3_1</t>
  </si>
  <si>
    <t>TD_labeling_6.25d_3_2</t>
  </si>
  <si>
    <t>TD_labeling_6.25d_3_3</t>
  </si>
  <si>
    <t>TD_labeling_6.25d_4_1</t>
  </si>
  <si>
    <t>TD_labeling_6.25d_4_2</t>
  </si>
  <si>
    <t>TD_labeling_6.25d_4_3</t>
  </si>
  <si>
    <t>ref_7d_1_1</t>
  </si>
  <si>
    <t>ref_7d_1_2</t>
  </si>
  <si>
    <t>ref_7d_1_3</t>
  </si>
  <si>
    <t>ref_7d_2_1</t>
  </si>
  <si>
    <t>ref_7d_2_2</t>
  </si>
  <si>
    <t>ref_7d_2_3</t>
  </si>
  <si>
    <t>ref_7d_3_1</t>
  </si>
  <si>
    <t>ref_7d_3_2</t>
  </si>
  <si>
    <t>ref_7d_3_3</t>
  </si>
  <si>
    <t>Bioa_labeling_7d_1_1</t>
  </si>
  <si>
    <t>Bioa_labeling_7d_1_2</t>
  </si>
  <si>
    <t>Bioa_labeling_7d_1_3</t>
  </si>
  <si>
    <t>Bioa_labeling_7d_1_4</t>
  </si>
  <si>
    <t>Bioa_labeling_7d_2_1</t>
  </si>
  <si>
    <t>Bioa_labeling_7d_2_2</t>
  </si>
  <si>
    <t>Bioa_labeling_7d_2_3</t>
  </si>
  <si>
    <t>Bioa_labeling_7d_2_4</t>
  </si>
  <si>
    <t>Bioa_labeling_7d_3_1</t>
  </si>
  <si>
    <t>Bioa_labeling_7d_3_2</t>
  </si>
  <si>
    <t>Bioa_labeling_7d_3_3</t>
  </si>
  <si>
    <t>Bioa_labeling_7d_3_4</t>
  </si>
  <si>
    <t>Bioa_labeling_7d_4_1</t>
  </si>
  <si>
    <t>Bioa_labeling_7d_4_2</t>
  </si>
  <si>
    <t>Bioa_labeling_7d_4_3</t>
  </si>
  <si>
    <t>Bioa_labeling_7d_4_4</t>
  </si>
  <si>
    <t>TD_labeling_7d_1_1</t>
  </si>
  <si>
    <t>TD_labeling_7d_1_2</t>
  </si>
  <si>
    <t>TD_labeling_7d_1_3</t>
  </si>
  <si>
    <t>TD_labeling_7d_2_1</t>
  </si>
  <si>
    <t>TD_labeling_7d_2_2</t>
  </si>
  <si>
    <t>TD_labeling_7d_2_3</t>
  </si>
  <si>
    <t>TD_labeling_7d_3_1</t>
  </si>
  <si>
    <t>TD_labeling_7d_3_2</t>
  </si>
  <si>
    <t>TD_labeling_7d_3_3</t>
  </si>
  <si>
    <t>TD_labeling_7d_4_1</t>
  </si>
  <si>
    <t>TD_labeling_7d_4_2</t>
  </si>
  <si>
    <t>TD_labeling_7d_4_3</t>
  </si>
  <si>
    <t>ref_9d_1_1</t>
  </si>
  <si>
    <t>ref_9d_1_2</t>
  </si>
  <si>
    <t>ref_9d_1_3</t>
  </si>
  <si>
    <t>ref_9d_2_1</t>
  </si>
  <si>
    <t>ref_9d_2_2</t>
  </si>
  <si>
    <t>ref_9d_3_1</t>
    <phoneticPr fontId="3" type="noConversion"/>
  </si>
  <si>
    <t>ref_9d_3_2</t>
  </si>
  <si>
    <t>ref_9d_3_3</t>
  </si>
  <si>
    <t>TD_labeling_9d_1_1</t>
  </si>
  <si>
    <t>TD_labeling_9d_1_2</t>
  </si>
  <si>
    <t>TD_labeling_9d_1_3</t>
  </si>
  <si>
    <t>TD_labeling_9d_1_4</t>
  </si>
  <si>
    <t>TD_labeling_9d_2_1</t>
  </si>
  <si>
    <t>TD_labeling_9d_2_2</t>
  </si>
  <si>
    <t>TD_labeling_9d_2_3</t>
  </si>
  <si>
    <t>TD_labeling_9d_2_4</t>
  </si>
  <si>
    <t>TD_labeling_9d_3_1</t>
    <phoneticPr fontId="3" type="noConversion"/>
  </si>
  <si>
    <t>TD_labeling_9d_3_2</t>
  </si>
  <si>
    <t>TD_labeling_9d_3_3</t>
  </si>
  <si>
    <t>TD_labeling_9d_3_4</t>
  </si>
  <si>
    <t>TD_labeling_9d_4_1</t>
  </si>
  <si>
    <t>TD_labeling_9d_4_2</t>
  </si>
  <si>
    <t>TD_labeling_9d_4_3</t>
  </si>
  <si>
    <t>TD_labeling_9d_4_4</t>
  </si>
  <si>
    <t>pre_labeling_(4)_14d_1</t>
  </si>
  <si>
    <t>pre_labeling_(4)_14d_2</t>
  </si>
  <si>
    <t>pre_labeling_(4)_14d_3</t>
  </si>
  <si>
    <t>pre_labeling_(4)_14d_4</t>
  </si>
  <si>
    <t>pre_labeling_(4)_14d_5</t>
  </si>
  <si>
    <t>pre_labeling_(4)_14d_6</t>
  </si>
  <si>
    <t>pre_labeling_(4)_14d_7</t>
  </si>
  <si>
    <t>pre_labeling_(4)_14d_8</t>
  </si>
  <si>
    <t>pre_labeling_(4)_14d_9</t>
  </si>
  <si>
    <t>pre_labeling_(4)_14d_10</t>
  </si>
  <si>
    <t>ref_9.25d_1_1</t>
  </si>
  <si>
    <t>ref_9.25d_1_2</t>
  </si>
  <si>
    <t>ref_9.25d_1_3</t>
  </si>
  <si>
    <t>ref_9.25d_2_1</t>
  </si>
  <si>
    <t>ref_9.25d_2_2</t>
  </si>
  <si>
    <t>ref_9.25d_2_3</t>
  </si>
  <si>
    <t>ref_9.25d_3_1</t>
  </si>
  <si>
    <t>ref_9.25d_3_2</t>
  </si>
  <si>
    <t>ref_9.25d_3_3</t>
  </si>
  <si>
    <t>TD_labeling_9.25d_1_1</t>
  </si>
  <si>
    <t>TD_labeling_9.25d_1_2</t>
  </si>
  <si>
    <t>TD_labeling_9.25d_1_3</t>
  </si>
  <si>
    <t>TD_labeling_9.25d_2_1</t>
  </si>
  <si>
    <t>TD_labeling_9.25d_2_2</t>
  </si>
  <si>
    <t>TD_labeling_9.25d_2_3</t>
  </si>
  <si>
    <t>TD_labeling_9.25d_3_1</t>
  </si>
  <si>
    <t>TD_labeling_9.25d_3_2</t>
  </si>
  <si>
    <t>TD_labeling_9.25d_3_3</t>
  </si>
  <si>
    <t>TD_labeling_9.25d_4_1</t>
  </si>
  <si>
    <t>TD_labeling_9.25d_4_2</t>
  </si>
  <si>
    <t>TD_labeling_9.25d_4_3</t>
  </si>
  <si>
    <t>ref_10d_1_1</t>
  </si>
  <si>
    <t>ref_10d_1_2</t>
  </si>
  <si>
    <t>ref_10d_1_3</t>
  </si>
  <si>
    <t>ref_10d_2_1</t>
  </si>
  <si>
    <t>ref_10d_2_2</t>
  </si>
  <si>
    <t>ref_10d_2_3</t>
  </si>
  <si>
    <t>ref_10d_3_1</t>
  </si>
  <si>
    <t>ref_10d_3_2</t>
  </si>
  <si>
    <t>ref_10d_3_3</t>
  </si>
  <si>
    <t>Bioa_labeling_10d_1_1</t>
  </si>
  <si>
    <t>Bioa_labeling_10d_1_2</t>
  </si>
  <si>
    <t>Bioa_labeling_10d_1_3</t>
  </si>
  <si>
    <t>Bioa_labeling_10d_1_4</t>
  </si>
  <si>
    <t>Bioa_labeling_10d_2_1</t>
  </si>
  <si>
    <t>Bioa_labeling_10d_2_2</t>
  </si>
  <si>
    <t>Bioa_labeling_10d_2_3</t>
  </si>
  <si>
    <t>Bioa_labeling_10d_2_4</t>
  </si>
  <si>
    <t>Bioa_labeling_10d_3_1</t>
  </si>
  <si>
    <t>Bioa_labeling_10d_3_2</t>
  </si>
  <si>
    <t>Bioa_labeling_10d_3_3</t>
  </si>
  <si>
    <t>Bioa_labeling_10d_3_4</t>
  </si>
  <si>
    <t>Bioa_labeling_10d_4_1</t>
  </si>
  <si>
    <t>Bioa_labeling_10d_4_2</t>
  </si>
  <si>
    <t>Bioa_labeling_10d_4_3</t>
  </si>
  <si>
    <t>Bioa_labeling_10d_4_4</t>
  </si>
  <si>
    <t>TD_labeling_10d_1_1</t>
  </si>
  <si>
    <t>TD_labeling_10d_1_2</t>
  </si>
  <si>
    <t>TD_labeling_10d_1_3</t>
  </si>
  <si>
    <t>TD_labeling_10d_2_1</t>
  </si>
  <si>
    <t>TD_labeling_10d_2_2</t>
  </si>
  <si>
    <t>TD_labeling_10d_2_3</t>
  </si>
  <si>
    <t>NO</t>
    <phoneticPr fontId="3" type="noConversion"/>
  </si>
  <si>
    <t>TD_labeling_10d_3_1</t>
  </si>
  <si>
    <t>TD_labeling_10d_3_2</t>
  </si>
  <si>
    <t>TD_labeling_10d_3_3</t>
  </si>
  <si>
    <t>TD_labeling_10d_4_1</t>
  </si>
  <si>
    <t>TD_labeling_10d_4_2</t>
  </si>
  <si>
    <t>TD_labeling_10d_4_3</t>
  </si>
  <si>
    <t>ref_12d_1_1</t>
  </si>
  <si>
    <t>ref_12d_1_2</t>
  </si>
  <si>
    <t>ref_12d_1_3</t>
  </si>
  <si>
    <t>ref_12d_2_1</t>
  </si>
  <si>
    <t>ref_12d_2_2</t>
  </si>
  <si>
    <t>ref_12d_2_3</t>
  </si>
  <si>
    <t>ref_12d_3_1</t>
  </si>
  <si>
    <t>ref_12d_3_2</t>
  </si>
  <si>
    <t>ref_12d_3_3</t>
  </si>
  <si>
    <t>TD_labeling_12d_1_1</t>
  </si>
  <si>
    <t>TD_labeling_12d_1_3</t>
  </si>
  <si>
    <t>TD_labeling_12d_1_4</t>
  </si>
  <si>
    <t>TD_labeling_12d_2_1</t>
  </si>
  <si>
    <t>TD_labeling_12d_2_2</t>
  </si>
  <si>
    <t>TD_labeling_12d_2_3</t>
  </si>
  <si>
    <t>TD_labeling_12d_2_4</t>
  </si>
  <si>
    <t>TD_labeling_12d_3_1</t>
  </si>
  <si>
    <t>TD_labeling_12d_3_2</t>
  </si>
  <si>
    <t>TD_labeling_12d_3_3</t>
  </si>
  <si>
    <t>TD_labeling_12d_3_4</t>
  </si>
  <si>
    <t>TD_labeling_12d_4_1</t>
  </si>
  <si>
    <t>TD_labeling_12d_4_2</t>
  </si>
  <si>
    <t>TD_labeling_12d_4_3</t>
  </si>
  <si>
    <t>TD_labeling_12d_4_4</t>
  </si>
  <si>
    <t>pre_labeling_(5)_14d_1</t>
  </si>
  <si>
    <t>pre_labeling_(5)_14d_2</t>
  </si>
  <si>
    <t>pre_labeling_(5)_14d_3</t>
  </si>
  <si>
    <t>pre_labeling_(5)_14d_4</t>
  </si>
  <si>
    <t>pre_labeling_(5)_14d_5</t>
  </si>
  <si>
    <t>pre_labeling_(5)_14d_6</t>
  </si>
  <si>
    <t>pre_labeling_(5)_14d_7</t>
  </si>
  <si>
    <t>pre_labeling_(5)_14d_8</t>
  </si>
  <si>
    <t>pre_labeling_(5)_14d_9</t>
  </si>
  <si>
    <t>pre_labeling_(5)_14d_10</t>
  </si>
  <si>
    <t>ref_12.25d_1_1</t>
  </si>
  <si>
    <t>ref_12.25d_1_2</t>
  </si>
  <si>
    <t>ref_12.25d_1_3</t>
  </si>
  <si>
    <t>ref_12.25d_2_1</t>
  </si>
  <si>
    <t>ref_12.25d_2_2</t>
  </si>
  <si>
    <t>ref_12.25d_2_3</t>
  </si>
  <si>
    <t>ref_12.25d_3_1</t>
  </si>
  <si>
    <t>ref_12.25d_3_2</t>
  </si>
  <si>
    <t>ref_12.25d_3_3</t>
  </si>
  <si>
    <t>TD_labeling_12.25d_1_1</t>
  </si>
  <si>
    <t>TD_labeling_12.25d_1_2</t>
  </si>
  <si>
    <t>TD_labeling_12.25d_1_3</t>
  </si>
  <si>
    <t>TD_labeling_12.25d_2_1</t>
  </si>
  <si>
    <t>TD_labeling_12.25d_2_2</t>
  </si>
  <si>
    <t>TD_labeling_12.25d_2_3</t>
  </si>
  <si>
    <t>TD_labeling_12.25d_3_1</t>
  </si>
  <si>
    <t>TD_labeling_12.25d_3_2</t>
  </si>
  <si>
    <t>TD_labeling_12.25d_3_3</t>
  </si>
  <si>
    <t>TD_labeling_12.25d_4_1</t>
  </si>
  <si>
    <t>TD_labeling_12.25d_4_2</t>
  </si>
  <si>
    <t>TD_labeling_12.25d_4_3</t>
  </si>
  <si>
    <t>ref_13d_1_1</t>
  </si>
  <si>
    <t>ref_13d_1_2</t>
  </si>
  <si>
    <t>ref_13d_1_3</t>
  </si>
  <si>
    <t>ref_13d_2_1</t>
  </si>
  <si>
    <t>ref_13d_2_2</t>
  </si>
  <si>
    <t>ref_13d_2_3</t>
  </si>
  <si>
    <t>ref_13d_3_1</t>
  </si>
  <si>
    <t>ref_13d_3_2</t>
  </si>
  <si>
    <t>ref_13d_3_3</t>
  </si>
  <si>
    <t>Bioa_labeling_13d_1_1</t>
  </si>
  <si>
    <t>Bioa_labeling_13d_1_2</t>
  </si>
  <si>
    <t>Bioa_labeling_13d_1_3</t>
  </si>
  <si>
    <t>Bioa_labeling_13d_1_4</t>
  </si>
  <si>
    <t>Bioa_labeling_13d_2_1</t>
  </si>
  <si>
    <t>Bioa_labeling_13d_2_2</t>
  </si>
  <si>
    <t>Bioa_labeling_13d_2_3</t>
  </si>
  <si>
    <t>Bioa_labeling_13d_2_4</t>
  </si>
  <si>
    <t>Bioa_labeling_13d_3_1</t>
  </si>
  <si>
    <t>Bioa_labeling_13d_3_2</t>
  </si>
  <si>
    <t>Bioa_labeling_13d_3_3</t>
  </si>
  <si>
    <t>Bioa_labeling_13d_4_1</t>
  </si>
  <si>
    <t>Bioa_labeling_13d_4_2</t>
  </si>
  <si>
    <t>Bioa_labeling_13d_4_3</t>
  </si>
  <si>
    <t>Bioa_labeling_13d_4_4</t>
  </si>
  <si>
    <t>TD_labeling_13d_1_1</t>
  </si>
  <si>
    <t>TD_labeling_13d_1_2</t>
  </si>
  <si>
    <t>TD_labeling_13d_1_3</t>
  </si>
  <si>
    <t>TD_labeling_13d_2_1</t>
  </si>
  <si>
    <t>TD_labeling_13d_2_2</t>
  </si>
  <si>
    <t>TD_labeling_13d_2_3</t>
  </si>
  <si>
    <t>TD_labeling_13d_3_1</t>
  </si>
  <si>
    <t>TD_labeling_13d_3_2</t>
  </si>
  <si>
    <t>TD_labeling_13d_3_3</t>
  </si>
  <si>
    <t>TD_labeling_13d_4_1</t>
  </si>
  <si>
    <t>TD_labeling_13d_4_2</t>
  </si>
  <si>
    <t>TD_labeling_13d_4_3</t>
  </si>
  <si>
    <t>ref_15d_1_1</t>
  </si>
  <si>
    <t>ref_15d_1_2</t>
  </si>
  <si>
    <t>ref_15d_1_3</t>
  </si>
  <si>
    <t>ref_15d_2_1</t>
  </si>
  <si>
    <t>ref_15d_2_2</t>
  </si>
  <si>
    <t>ref_15d_2_3</t>
  </si>
  <si>
    <t>ref_15d_3_1</t>
  </si>
  <si>
    <t>ref_15d_3_2</t>
  </si>
  <si>
    <t>ref_15d_3_3</t>
  </si>
  <si>
    <t>TD_labeling_15d_1_1</t>
  </si>
  <si>
    <t>TD_labeling_15d_1_2</t>
  </si>
  <si>
    <t>TD_labeling_15d_1_3</t>
  </si>
  <si>
    <t>TD_labeling_15d_1_4</t>
  </si>
  <si>
    <t>TD_labeling_15d_2_1</t>
  </si>
  <si>
    <t>TD_labeling_15d_2_2</t>
  </si>
  <si>
    <t>TD_labeling_15d_2_3</t>
  </si>
  <si>
    <t>TD_labeling_15d_2_4</t>
  </si>
  <si>
    <t>TD_labeling_15d_3_1</t>
  </si>
  <si>
    <t>TD_labeling_15d_3_2</t>
  </si>
  <si>
    <t>TD_labeling_15d_3_3</t>
  </si>
  <si>
    <t>TD_labeling_15d_3_4</t>
  </si>
  <si>
    <t>TD_labeling_15d_4_1</t>
  </si>
  <si>
    <t>TD_labeling_15d_4_2</t>
  </si>
  <si>
    <t>TD_labeling_15d_4_3</t>
  </si>
  <si>
    <t>TD_labeling_15d_4_4</t>
  </si>
  <si>
    <t>pre_labeling_(6)_14d_1</t>
  </si>
  <si>
    <t>pre_labeling_(6)_14d_2</t>
  </si>
  <si>
    <t>pre_labeling_(6)_14d_3</t>
  </si>
  <si>
    <t>pre_labeling_(6)_14d_4</t>
  </si>
  <si>
    <t>pre_labeling_(6)_14d_5</t>
  </si>
  <si>
    <t>pre_labeling_(6)_14d_6</t>
  </si>
  <si>
    <t>pre_labeling_(6)_14d_7</t>
  </si>
  <si>
    <t>pre_labeling_(6)_14d_8</t>
  </si>
  <si>
    <t>pre_labeling_(6)_14d_9</t>
  </si>
  <si>
    <t>pre_labeling_(6)_14d_10</t>
  </si>
  <si>
    <t>ref_15.25d_1_1</t>
  </si>
  <si>
    <t>ref_15.25d_1_2</t>
  </si>
  <si>
    <t>ref_15.25d_2_1</t>
  </si>
  <si>
    <t>ref_15.25d_2_2</t>
  </si>
  <si>
    <t>ref_15.25d_2_3</t>
  </si>
  <si>
    <t>ref_15.25d_3_1</t>
  </si>
  <si>
    <t>ref_15.25d_3_2</t>
  </si>
  <si>
    <t>ref_15.25d_3_3</t>
  </si>
  <si>
    <t>TD_labeling_15.25d_1_1</t>
  </si>
  <si>
    <t>TD_labeling_15.25d_1_2</t>
  </si>
  <si>
    <t>TD_labeling_15.25d_1_3</t>
  </si>
  <si>
    <t>TD_labeling_15.25d_2_1</t>
  </si>
  <si>
    <t>TD_labeling_15.25d_2_2</t>
  </si>
  <si>
    <t>TD_labeling_15.25d_2_3</t>
  </si>
  <si>
    <t>TD_labeling_15.25d_3_1</t>
  </si>
  <si>
    <t>TD_labeling_15.25d_3_2</t>
  </si>
  <si>
    <t>TD_labeling_15.25d_3_3</t>
  </si>
  <si>
    <t>TD_labeling_15.25d_4_1</t>
  </si>
  <si>
    <t>TD_labeling_15.25d_4_2</t>
  </si>
  <si>
    <t>TD_labeling_15.25d_4_3</t>
  </si>
  <si>
    <t>ref_16d_1_1</t>
  </si>
  <si>
    <t>ref_16d_1_2</t>
  </si>
  <si>
    <t>ref_16d_2_1</t>
  </si>
  <si>
    <t>ref_16d_2_2</t>
  </si>
  <si>
    <t>ref_16d_2_3</t>
  </si>
  <si>
    <t>ref_16d_3_1</t>
  </si>
  <si>
    <t>ref_16d_3_2</t>
  </si>
  <si>
    <t>Bioa_labeling_16d_1_1</t>
  </si>
  <si>
    <t>Bioa_labeling_16d_1_2</t>
  </si>
  <si>
    <t>Bioa_labeling_16d_1_3</t>
  </si>
  <si>
    <t>Bioa_labeling_16d_1_4</t>
  </si>
  <si>
    <t>Bioa_labeling_16d_2_1</t>
  </si>
  <si>
    <t>Bioa_labeling_16d_2_2</t>
  </si>
  <si>
    <t>Bioa_labeling_16d_2_3</t>
  </si>
  <si>
    <t>Bioa_labeling_16d_2_4</t>
  </si>
  <si>
    <t>Bioa_labeling_16d_3_1</t>
  </si>
  <si>
    <t>Bioa_labeling_16d_3_2</t>
  </si>
  <si>
    <t>Bioa_labeling_16d_3_3</t>
  </si>
  <si>
    <t>Bioa_labeling_16d_3_4</t>
  </si>
  <si>
    <t>Bioa_labeling_16d_4_1</t>
  </si>
  <si>
    <t>Bioa_labeling_16d_4_2</t>
  </si>
  <si>
    <t>Bioa_labeling_16d_4_3</t>
  </si>
  <si>
    <t>TD_labeling_16d_1_1</t>
  </si>
  <si>
    <t>TD_labeling_16d_1_2</t>
  </si>
  <si>
    <t>TD_labeling_16d_1_3</t>
  </si>
  <si>
    <t>TD_labeling_16d_2_1</t>
  </si>
  <si>
    <t>TD_labeling_16d_2_2</t>
  </si>
  <si>
    <t>TD_labeling_16d_2_3</t>
  </si>
  <si>
    <t>TD_labeling_16d_3_1</t>
  </si>
  <si>
    <t>TD_labeling_16d_3_2</t>
  </si>
  <si>
    <t>TD_labeling_16d_3_3</t>
  </si>
  <si>
    <t>TD_labeling_16d_4_1</t>
  </si>
  <si>
    <t>TD_labeling_16d_4_2</t>
  </si>
  <si>
    <t>TD_labeling_16d_4_3</t>
  </si>
  <si>
    <t>ref_18d_1_1</t>
  </si>
  <si>
    <t>ref_18d_1_2</t>
  </si>
  <si>
    <t>ref_18d_1_3</t>
  </si>
  <si>
    <t>ref_18d_2_1</t>
  </si>
  <si>
    <t>ref_18d_2_2</t>
  </si>
  <si>
    <t>ref_18d_2_3</t>
  </si>
  <si>
    <t>ref_18d_3_1</t>
  </si>
  <si>
    <t>ref_18d_3_2</t>
  </si>
  <si>
    <t>ref_18d_3_3</t>
  </si>
  <si>
    <t>TD_labeling_18d_1_1</t>
  </si>
  <si>
    <t>TD_labeling_18d_1_2</t>
  </si>
  <si>
    <t>TD_labeling_18d_1_3</t>
  </si>
  <si>
    <t>TD_labeling_18d_1_4</t>
  </si>
  <si>
    <t>TD_labeling_18d_2_1</t>
  </si>
  <si>
    <t>TD_labeling_18d_2_2</t>
  </si>
  <si>
    <t>TD_labeling_18d_2_3</t>
  </si>
  <si>
    <t>TD_labeling_18d_2_4</t>
  </si>
  <si>
    <t>TD_labeling_18d_2_5</t>
  </si>
  <si>
    <t>TD_labeling_18d_3_1</t>
  </si>
  <si>
    <t>TD_labeling_18d_3_2</t>
  </si>
  <si>
    <t>TD_labeling_18d_3_3</t>
  </si>
  <si>
    <t>TD_labeling_18d_3_4</t>
  </si>
  <si>
    <t>TD_labeling_18d_4_1</t>
  </si>
  <si>
    <t>TD_labeling_18d_4_2</t>
  </si>
  <si>
    <t>TD_labeling_18d_4_3</t>
  </si>
  <si>
    <t>TD_labeling_18d_4_4</t>
  </si>
  <si>
    <t>Bioa-non-label-9d-1-1</t>
  </si>
  <si>
    <t>Bioa-non-label-9d-1-2</t>
  </si>
  <si>
    <t>Bioa-non-label-9d-1-3</t>
  </si>
  <si>
    <t>Bioa-non-label-9d-1-4</t>
  </si>
  <si>
    <t>Bioa-non-label-9d-1-5</t>
  </si>
  <si>
    <t>Bioa-non-label-9d-2-1</t>
  </si>
  <si>
    <t>Bioa-non-label-9d-2-2</t>
  </si>
  <si>
    <t>Bioa-non-label-9d-2-4</t>
  </si>
  <si>
    <t>Bioa-non-label-9d-2-5</t>
  </si>
  <si>
    <t>Bioa-non-label-9d-3-1</t>
  </si>
  <si>
    <t>Bioa-non-label-9d-3-2</t>
  </si>
  <si>
    <t>Bioa-non-label-9d-3-3</t>
  </si>
  <si>
    <t>Bioa-non-label-9d-3-4</t>
  </si>
  <si>
    <t>Bioa-non-label-9d-3-5</t>
  </si>
  <si>
    <t>Bioa-non-label-9d-4-1</t>
  </si>
  <si>
    <t>Bioa-non-label-9d-4-2</t>
  </si>
  <si>
    <t>Bioa-non-label-9d-4-3</t>
  </si>
  <si>
    <t>Bioa-non-label-9d-4-4</t>
  </si>
  <si>
    <t>Bioa-non-label-9d-4-5</t>
  </si>
  <si>
    <t>Bioa-non-label-18d-1-1</t>
  </si>
  <si>
    <t>Bioa-non-label-18d-1-2</t>
  </si>
  <si>
    <t>Bioa-non-label-18d-1-3</t>
  </si>
  <si>
    <t>Bioa-non-label-18d-1-4</t>
  </si>
  <si>
    <t>Bioa-non-label-18d-1-5</t>
  </si>
  <si>
    <t>Bioa-non-label-18d-2-1</t>
  </si>
  <si>
    <t>Bioa-non-label-18d-2-2</t>
  </si>
  <si>
    <t>Bioa-non-label-18d-2-3</t>
  </si>
  <si>
    <t>Bioa-non-label-18d-2-4</t>
  </si>
  <si>
    <t>Bioa-non-label-18d-2-5</t>
  </si>
  <si>
    <t>Bioa-non-label-18d-3-1</t>
  </si>
  <si>
    <t>Bioa-non-label-18d-3-2</t>
  </si>
  <si>
    <t>Bioa-non-label-18d-3-3</t>
  </si>
  <si>
    <t>Bioa-non-label-18d-3-4</t>
  </si>
  <si>
    <t>Bioa-non-label-18d-3-5</t>
  </si>
  <si>
    <t>Bioa-non-label-18d--4-1</t>
  </si>
  <si>
    <t>Bioa-non-label-18d--4-2</t>
  </si>
  <si>
    <t>Bioa-non-label-18d--4-3</t>
  </si>
  <si>
    <t>Bioa-non-label-18d--4-4</t>
  </si>
  <si>
    <t>Bioa-non-label-18d--4-5</t>
  </si>
  <si>
    <t>TD-non-label-18d--1-1</t>
  </si>
  <si>
    <t>TD-non-label-18d--1-2</t>
  </si>
  <si>
    <t>TD-non-label-18d--1-3</t>
  </si>
  <si>
    <t>TD-non-label-18d--1-4</t>
  </si>
  <si>
    <t>TD-non-label-18d--1-5</t>
  </si>
  <si>
    <t>TD-non-label-18d--1-6</t>
  </si>
  <si>
    <t>TD-non-label-18d--1-7</t>
  </si>
  <si>
    <t>TD-non-label-18d--1-8</t>
  </si>
  <si>
    <t>TD-non-label-18d--1-9</t>
  </si>
  <si>
    <t>TD-non-label-18d--1-10</t>
  </si>
  <si>
    <t>TD-non-label-18d--2-1</t>
  </si>
  <si>
    <t>TD-non-label-18d--2-2</t>
  </si>
  <si>
    <t>TD-non-label-18d--2-3</t>
  </si>
  <si>
    <t>TD-non-label-18d--2-4</t>
  </si>
  <si>
    <t>TD-non-label-18d--2-5</t>
  </si>
  <si>
    <t>TD-non-label-18d--2-6</t>
  </si>
  <si>
    <t>TD-non-label-18d--2-7</t>
  </si>
  <si>
    <t>TD-non-label-18d--2-8</t>
  </si>
  <si>
    <t>TD-non-label-18d--2-9</t>
  </si>
  <si>
    <t>TD-non-label-18d--2-10</t>
  </si>
  <si>
    <t>TD-non-label-18d--2-11</t>
  </si>
  <si>
    <t>TD-non-label-18d--3-1</t>
  </si>
  <si>
    <t>TD-non-label-18d--3-2</t>
  </si>
  <si>
    <t>TD-non-label-18d--3-3</t>
  </si>
  <si>
    <t>TD-non-label-18d--3-4</t>
  </si>
  <si>
    <t>TD-non-label-18d--3-5</t>
  </si>
  <si>
    <t>TD-non-label-18d--3-6</t>
  </si>
  <si>
    <t>TD-non-label-18d--3-7</t>
  </si>
  <si>
    <t>TD-non-label-18d--3-8</t>
  </si>
  <si>
    <t>TD-non-label-18d--3-9</t>
  </si>
  <si>
    <t>TD-non-label-18d--3-10</t>
  </si>
  <si>
    <t>TD-non-label-18d--4-2</t>
  </si>
  <si>
    <t>TD-non-label-18d--4-3</t>
  </si>
  <si>
    <t>TD-non-label-18d--4-4</t>
  </si>
  <si>
    <t>TD-non-label-18d--4-5</t>
  </si>
  <si>
    <t>TD-non-label-18d--4-6</t>
  </si>
  <si>
    <t>TD-non-label-18d--4-7</t>
  </si>
  <si>
    <t>TD-non-label-18d--4-8</t>
  </si>
  <si>
    <t>TD-non-label-18d--4-9</t>
  </si>
  <si>
    <t>TD-non-label-18d--4-10</t>
  </si>
  <si>
    <t>TD-non-label-18d--4-11</t>
  </si>
  <si>
    <t>Cu/Cd_dilut_L</t>
  </si>
  <si>
    <t>other_dilut_L</t>
  </si>
  <si>
    <t xml:space="preserve">Bioa-AEM-1-1 </t>
  </si>
  <si>
    <t xml:space="preserve">Bioa-AEM-1-2 </t>
  </si>
  <si>
    <t xml:space="preserve">Bioa-AEM-1-3 </t>
  </si>
  <si>
    <t xml:space="preserve">Bioa-AEM-2-1 </t>
  </si>
  <si>
    <t xml:space="preserve">Bioa-AEM-2-2 </t>
  </si>
  <si>
    <t xml:space="preserve">Bioa-AEM-2-3 </t>
  </si>
  <si>
    <t xml:space="preserve">Bioa-AEM-3-1 </t>
  </si>
  <si>
    <t xml:space="preserve">Bioa-AEM-3-2 </t>
  </si>
  <si>
    <t xml:space="preserve">Bioa-AEM-3-3 </t>
  </si>
  <si>
    <t xml:space="preserve">Bioa-AEM-4-1 </t>
  </si>
  <si>
    <t xml:space="preserve">Bioa-AEM-4-2 </t>
  </si>
  <si>
    <t xml:space="preserve">Bioa-AEM-4-3 </t>
  </si>
  <si>
    <t xml:space="preserve">TD-AEM-1-1  </t>
  </si>
  <si>
    <t xml:space="preserve">TD-AEM-1-2  </t>
  </si>
  <si>
    <t xml:space="preserve">TD-AEM-1-3  </t>
  </si>
  <si>
    <t xml:space="preserve">TD-AEM-2-1  </t>
  </si>
  <si>
    <t xml:space="preserve">TD-AEM-2-3  </t>
  </si>
  <si>
    <t xml:space="preserve">TD-AEM-3-1  </t>
  </si>
  <si>
    <t xml:space="preserve">TD-AEM-3-2  </t>
  </si>
  <si>
    <t xml:space="preserve">TD-AEM-3-3  </t>
  </si>
  <si>
    <t xml:space="preserve">TD-AEM-4-1  </t>
  </si>
  <si>
    <t xml:space="preserve">TD-AEM-4-2  </t>
  </si>
  <si>
    <t xml:space="preserve">TD-AEM-4-3  </t>
  </si>
  <si>
    <t>Mn_ug_g</t>
  </si>
  <si>
    <t>Fe_ug_g</t>
  </si>
  <si>
    <t>Sample Id</t>
  </si>
  <si>
    <t>Bioa-OW-0d-1</t>
  </si>
  <si>
    <t>Bioa-OW-0d-2</t>
  </si>
  <si>
    <t>Bioa-OW-0d-3</t>
  </si>
  <si>
    <t>Bioa-OW-0d-4</t>
  </si>
  <si>
    <t>Bioa-OW-1d-1</t>
  </si>
  <si>
    <t>Bioa-OW-1d-2</t>
  </si>
  <si>
    <t>Bioa-OW-1d-3</t>
  </si>
  <si>
    <t>Bioa-OW-1d-4</t>
  </si>
  <si>
    <t>Bioa-OW-3d-1-B</t>
  </si>
  <si>
    <t>Bioa-OW-3d-2-B</t>
  </si>
  <si>
    <t>Bioa-OW-3d-3-B</t>
  </si>
  <si>
    <t>Bioa-OW-3d-4-B</t>
  </si>
  <si>
    <t>Bioa-OW-3d-1-A</t>
  </si>
  <si>
    <t>Bioa-OW-3d-2-A</t>
  </si>
  <si>
    <t>Bioa-OW-3d-3-A</t>
  </si>
  <si>
    <t>Bioa-OW-3d-4-A</t>
  </si>
  <si>
    <t>Bioa-OW-4d-1-B</t>
  </si>
  <si>
    <t>Bioa-OW-4d-2-B</t>
  </si>
  <si>
    <t>Bioa-OW-4d-3-B</t>
  </si>
  <si>
    <t>Bioa-OW-4d-4-B</t>
  </si>
  <si>
    <t>Bioa-OW-4d-1-A</t>
  </si>
  <si>
    <t>Bioa-OW-4d-2-A</t>
  </si>
  <si>
    <t>Bioa-OW-4d-3-A</t>
  </si>
  <si>
    <t>Bioa-OW-4d-4-A</t>
  </si>
  <si>
    <t>Bioa-OW-6d-1-B</t>
  </si>
  <si>
    <t>Bioa-OW-6d-2-B</t>
  </si>
  <si>
    <t>Bioa-OW-6d-3-B</t>
  </si>
  <si>
    <t>Bioa-OW-6d-4-B</t>
  </si>
  <si>
    <t>Bioa-OW-6d-1-A</t>
  </si>
  <si>
    <t>Bioa-OW-6d-2-A</t>
  </si>
  <si>
    <t>Bioa-OW-6d-3-A</t>
  </si>
  <si>
    <t>Bioa-OW-6d-4-A</t>
  </si>
  <si>
    <t>Bioa-OW-7d-1-B</t>
  </si>
  <si>
    <t>Bioa-OW-7d-2-B</t>
  </si>
  <si>
    <t>Bioa-OW-7d-3-B</t>
  </si>
  <si>
    <t>Bioa-OW-7d-4-B</t>
  </si>
  <si>
    <t>Bioa-OW-7d-1-A</t>
  </si>
  <si>
    <t>Bioa-OW-7d-2-A</t>
  </si>
  <si>
    <t>Bioa-OW-7d-3-A</t>
  </si>
  <si>
    <t>Bioa-OW-7d-4-A</t>
  </si>
  <si>
    <t>Bioa-OW-9d-1-B</t>
  </si>
  <si>
    <t>Bioa-OW-9d-2-B</t>
  </si>
  <si>
    <t>Bioa-OW-9d-3-B</t>
  </si>
  <si>
    <t>Bioa-OW-9d-4-B</t>
  </si>
  <si>
    <t>Bioa-OW-9d-1-A</t>
  </si>
  <si>
    <t>Bioa-OW-9d-2-A</t>
  </si>
  <si>
    <t>Bioa-OW-9d-3-A</t>
  </si>
  <si>
    <t>Bioa-OW-9d-4-A</t>
  </si>
  <si>
    <t>Bioa-OW-10d-1-B</t>
  </si>
  <si>
    <t>Bioa-OW-10d-2-B</t>
  </si>
  <si>
    <t>Bioa-OW-10d-3-B</t>
  </si>
  <si>
    <t>Bioa-OW-10d-4-B</t>
  </si>
  <si>
    <t>Bioa-OW-10d-1-A</t>
  </si>
  <si>
    <t>Bioa-OW-10d-2-A</t>
  </si>
  <si>
    <t>Bioa-OW-10d-3-A</t>
  </si>
  <si>
    <t>Bioa-OW-10d-4-A</t>
  </si>
  <si>
    <t>Bioa-OW-12d-1-B</t>
  </si>
  <si>
    <t>Bioa-OW-12d-2-B</t>
  </si>
  <si>
    <t>Bioa-OW-12d-3-B</t>
  </si>
  <si>
    <t>Bioa-OW-12d-4-B</t>
  </si>
  <si>
    <t>Bioa-OW-12d-1-A</t>
  </si>
  <si>
    <t>Bioa-OW-12d-2-A</t>
  </si>
  <si>
    <t>Bioa-OW-12d-3-A</t>
  </si>
  <si>
    <t>Bioa-OW-12d-4-A</t>
  </si>
  <si>
    <t>Bioa-OW-13d-1-B</t>
  </si>
  <si>
    <t>Bioa-OW-13d-2-B</t>
  </si>
  <si>
    <t>Bioa-OW-13d-3-B</t>
  </si>
  <si>
    <t>Bioa-OW-13d-4-B</t>
  </si>
  <si>
    <t>Bioa-OW-13d-1-A</t>
  </si>
  <si>
    <t>Bioa-OW-13d-2-A</t>
  </si>
  <si>
    <t>Bioa-OW-13d-3-A</t>
  </si>
  <si>
    <t>Bioa-OW-13D-4-A</t>
  </si>
  <si>
    <t>Bioa-OW-15d-1-B</t>
  </si>
  <si>
    <t>Bioa-OW-15d-2-B</t>
  </si>
  <si>
    <t>Bioa-OW-15d-3-B</t>
  </si>
  <si>
    <t>Bioa-OW-15d-4-B</t>
  </si>
  <si>
    <t>Bioa-OW-15d-1-A</t>
  </si>
  <si>
    <t>Bioa-OW-15d-2-A</t>
  </si>
  <si>
    <t>Bioa-OW-15d-3-A</t>
  </si>
  <si>
    <t>Bioa-OW-15d-4-A</t>
  </si>
  <si>
    <t>Bioa-OW-16d-1-B</t>
  </si>
  <si>
    <t>Bioa-OW-16d-2-B</t>
  </si>
  <si>
    <t>Bioa-OW-16d-3-B</t>
  </si>
  <si>
    <t>Bioa-OW-16d-4-B</t>
  </si>
  <si>
    <t>Bioa-OW-16d-1-A</t>
  </si>
  <si>
    <t>Bioa-OW-16d-2-A</t>
  </si>
  <si>
    <t>Bioa-OW-16d-3-A</t>
  </si>
  <si>
    <t>Bioa-OW-16d-4-A</t>
  </si>
  <si>
    <t>Bioa-OW-18d-1-B</t>
  </si>
  <si>
    <t>Bioa-OW-18d-2-B</t>
  </si>
  <si>
    <t>Bioa-OW-18d-3-B</t>
  </si>
  <si>
    <t>Bioa-OW-18d-4-B</t>
  </si>
  <si>
    <t>Cd_ppb</t>
  </si>
  <si>
    <t>Cu_ppb</t>
  </si>
  <si>
    <t>Ni_ppb</t>
  </si>
  <si>
    <t>Mn_ppb</t>
  </si>
  <si>
    <t>Fe_ppb</t>
  </si>
  <si>
    <t>TD-OW-0d-1</t>
  </si>
  <si>
    <t>TD-OW-0d-2</t>
  </si>
  <si>
    <t>TD-OW-0d-3</t>
  </si>
  <si>
    <t>TD-OW-0d-4</t>
  </si>
  <si>
    <t>TD-OW-0.25d-1</t>
  </si>
  <si>
    <t>TD-OW-0.25d-2</t>
  </si>
  <si>
    <t>TD-OW-0.25d-3</t>
  </si>
  <si>
    <t>TD-OW-0.25d-4</t>
  </si>
  <si>
    <t>TD-OW-3d-1-B</t>
  </si>
  <si>
    <t>TD-OW-3d-2-B</t>
  </si>
  <si>
    <t>TD-OW-3d-3-B</t>
  </si>
  <si>
    <t>TD-OW-3d-4-B</t>
  </si>
  <si>
    <t>TD-OW-3d-1-A</t>
  </si>
  <si>
    <t>TD-OW-3d-2-A</t>
  </si>
  <si>
    <t>TD-OW-3d-3-A</t>
  </si>
  <si>
    <t>TD-OW-3d-4-A</t>
  </si>
  <si>
    <t>TD-OW-3.25d-1</t>
  </si>
  <si>
    <t>TD-OW-3.25d-2</t>
  </si>
  <si>
    <t>TD-OW-3.25d-3</t>
  </si>
  <si>
    <t>TD-OW-3.25d-4</t>
  </si>
  <si>
    <t>TD-OW-4d-1-B</t>
  </si>
  <si>
    <t>TD-OW-4d-2-B</t>
  </si>
  <si>
    <t>TD-OW-4d-3-B</t>
  </si>
  <si>
    <t>TD-OW-4d-4-B</t>
  </si>
  <si>
    <t>TD-OW-4d-1-A</t>
  </si>
  <si>
    <t>TD-OW-4d-2-A</t>
  </si>
  <si>
    <t>TD-OW-4d-3-A</t>
  </si>
  <si>
    <t>TD-OW-4d-4-A</t>
  </si>
  <si>
    <t>TD-OW-6d-1-B</t>
  </si>
  <si>
    <t>TD-OW-6d-2-B</t>
  </si>
  <si>
    <t>TD-OW-6d-3-B</t>
  </si>
  <si>
    <t>TD-OW-6d-4-B</t>
  </si>
  <si>
    <t>TD-OW-6d-1-A</t>
  </si>
  <si>
    <t>TD-OW-6d-2-A</t>
  </si>
  <si>
    <t>TD-OW-6d-3-A</t>
  </si>
  <si>
    <t>TD-OW-6d-4-A</t>
  </si>
  <si>
    <t>TD-OW-6.29d-1</t>
  </si>
  <si>
    <t>TD-OW-6.29d-2</t>
  </si>
  <si>
    <t>TD-OW-6.29d-3</t>
  </si>
  <si>
    <t>TD-OW-6.29d-4</t>
  </si>
  <si>
    <t>TD-OW-7d-1-B</t>
  </si>
  <si>
    <t>TD-OW-7d-2-B</t>
  </si>
  <si>
    <t>TD-OW-7d-3-B</t>
  </si>
  <si>
    <t>TD-OW-7d-4-B</t>
  </si>
  <si>
    <t>TD-OW-7d-1-A</t>
  </si>
  <si>
    <t>TD-OW-7d-2-A</t>
  </si>
  <si>
    <t>TD-OW-7d-3-A</t>
  </si>
  <si>
    <t>TD-OW-7d-4-A</t>
  </si>
  <si>
    <t>TD-OW-9d-1-B</t>
  </si>
  <si>
    <t>TD-OW-9d-2-B</t>
  </si>
  <si>
    <t>TD-OW-9d-3-B</t>
  </si>
  <si>
    <t>TD-OW-9d-4-B</t>
  </si>
  <si>
    <t>TD-OW-9d-1-A</t>
  </si>
  <si>
    <t>TD-OW-9d-2-A</t>
  </si>
  <si>
    <t>TD-OW-9d-3-A</t>
  </si>
  <si>
    <t>TD-OW-9d-4-A</t>
  </si>
  <si>
    <t>TD-OW-9d.25-1</t>
  </si>
  <si>
    <t>TD-OW-9d.25-2</t>
  </si>
  <si>
    <t>TD-OW-9d.25-3</t>
  </si>
  <si>
    <t>TD-OW-9d.25-4</t>
  </si>
  <si>
    <t>TD-OW-10d-1-B</t>
  </si>
  <si>
    <t>TD-OW-10d-2-B</t>
  </si>
  <si>
    <t>TD-OW-10d-3-B</t>
  </si>
  <si>
    <t>TD-OW-10d-4-B</t>
  </si>
  <si>
    <t>TD-OW-10d-1-A</t>
  </si>
  <si>
    <t>TD-OW-10d-2-A</t>
  </si>
  <si>
    <t>TD-OW-10d-3-A</t>
  </si>
  <si>
    <t>TD-OW-10d-4-A</t>
  </si>
  <si>
    <t>TD-OW-12d-1-B</t>
  </si>
  <si>
    <t>TD-OW-12d-2-B</t>
  </si>
  <si>
    <t>TD-OW-12d-3-B</t>
  </si>
  <si>
    <t>TD-OW-12d-4-B</t>
  </si>
  <si>
    <t>TD-OW-12d-1-A</t>
  </si>
  <si>
    <t>TD-OW-12d-2-A</t>
  </si>
  <si>
    <t>TD-OW-12d-3-A</t>
  </si>
  <si>
    <t>TD-OW-12d-4-A</t>
  </si>
  <si>
    <t>TD-OW-12.25d-1</t>
  </si>
  <si>
    <t>TD-OW-12.25d-2</t>
  </si>
  <si>
    <t>TD-OW-12.25d-3</t>
  </si>
  <si>
    <t>TD-OW-12.25d-4</t>
  </si>
  <si>
    <t>TD-OW-13d-1-B</t>
  </si>
  <si>
    <t>TD-OW-13d-2-B</t>
  </si>
  <si>
    <t>TD-OW-13d-3-B</t>
  </si>
  <si>
    <t>TD-OW-13d-4-B</t>
  </si>
  <si>
    <t>TD-OW-13d-1-A</t>
  </si>
  <si>
    <t>TD-OW-13d-2-A</t>
  </si>
  <si>
    <t>TD-OW-13d-3-A</t>
  </si>
  <si>
    <t>TD-OW-13d-4-A</t>
  </si>
  <si>
    <t>TD-OW-15d-1-B</t>
  </si>
  <si>
    <t>TD-OW-15d-2-B</t>
  </si>
  <si>
    <t>TD-OW-15d-3-B</t>
  </si>
  <si>
    <t>TD-OW-15d-4-B</t>
  </si>
  <si>
    <t>TD-OW-15d-1-A</t>
  </si>
  <si>
    <t>TD-OW-15d-2-A</t>
  </si>
  <si>
    <t>TD-OW-15d-3-A</t>
  </si>
  <si>
    <t>TD-OW-15d-4-A</t>
  </si>
  <si>
    <t>TD-OW-15.25d-1</t>
  </si>
  <si>
    <t>TD-OW-15.25d-2</t>
  </si>
  <si>
    <t>TD-OW-15.25d-3</t>
  </si>
  <si>
    <t>TD-OW-15.25d-4</t>
  </si>
  <si>
    <t>TD-OW-16d-1-B</t>
  </si>
  <si>
    <t>TD-OW-16d-2-B</t>
  </si>
  <si>
    <t>TD-OW-16d-3-B</t>
  </si>
  <si>
    <t>TD-OW-16d-4-B</t>
  </si>
  <si>
    <t>TD-OW-16d-1-A</t>
  </si>
  <si>
    <t>TD-OW-16d-2-A</t>
  </si>
  <si>
    <t>TD-OW-16d-3-A</t>
  </si>
  <si>
    <t>TD-OW-16d-4-A</t>
  </si>
  <si>
    <t>TD-OW-18d-1-B</t>
  </si>
  <si>
    <t>TD-OW-18d-2-B</t>
  </si>
  <si>
    <t>TD-OW-18d-3-B</t>
  </si>
  <si>
    <t>TD-OW-18d-4-B</t>
  </si>
  <si>
    <t>time_h</t>
    <phoneticPr fontId="3" type="noConversion"/>
  </si>
  <si>
    <t>rep</t>
    <phoneticPr fontId="1" type="noConversion"/>
  </si>
  <si>
    <t>pre_labeling</t>
    <phoneticPr fontId="1" type="noConversion"/>
  </si>
  <si>
    <t>ref</t>
    <phoneticPr fontId="1" type="noConversion"/>
  </si>
  <si>
    <t>TD</t>
    <phoneticPr fontId="1" type="noConversion"/>
  </si>
  <si>
    <t>Bioa</t>
    <phoneticPr fontId="1" type="noConversion"/>
  </si>
  <si>
    <t>nominal_time</t>
    <phoneticPr fontId="1" type="noConversion"/>
  </si>
  <si>
    <t>TD</t>
  </si>
  <si>
    <t xml:space="preserve">Bioa-DGT-0d-1 </t>
  </si>
  <si>
    <t xml:space="preserve">Bioa-DGT-0d-2 </t>
  </si>
  <si>
    <t xml:space="preserve">Bioa-DGT-0d-3 </t>
  </si>
  <si>
    <t xml:space="preserve">Bioa-DGT-3d-1 </t>
  </si>
  <si>
    <t xml:space="preserve">Bioa-DGT-3d-2 </t>
  </si>
  <si>
    <t xml:space="preserve">Bioa-DGT-3d-3 </t>
  </si>
  <si>
    <t xml:space="preserve">Bioa-DGT-6d-2 </t>
  </si>
  <si>
    <t xml:space="preserve">Bioa-DGT-6d-3 </t>
  </si>
  <si>
    <t xml:space="preserve">Bioa-DGT-6d-4 </t>
  </si>
  <si>
    <t xml:space="preserve">Bioa-DGT-9d-2 </t>
  </si>
  <si>
    <t xml:space="preserve">Bioa-DGT-9d-3 </t>
  </si>
  <si>
    <t xml:space="preserve">Bioa-DGT-9d-4 </t>
  </si>
  <si>
    <t xml:space="preserve">Bioa-DGT-12d-2 </t>
  </si>
  <si>
    <t xml:space="preserve">Bioa-DGT-12d-3 </t>
  </si>
  <si>
    <t xml:space="preserve">Bioa-DGT-12d-4 </t>
  </si>
  <si>
    <t xml:space="preserve">Bioa-DGT-15d-2 </t>
  </si>
  <si>
    <t xml:space="preserve">Bioa-DGT-15d-3 </t>
  </si>
  <si>
    <t xml:space="preserve">Bioa-DGT-15d-4 </t>
  </si>
  <si>
    <t xml:space="preserve">TD-DGT-0d-1 </t>
  </si>
  <si>
    <t xml:space="preserve">TD-DGT-0d-2 </t>
  </si>
  <si>
    <t xml:space="preserve">TD-DGT-0d-3 </t>
  </si>
  <si>
    <t xml:space="preserve">TD-DGT-0d-4 </t>
  </si>
  <si>
    <t xml:space="preserve">TD-DGT-3d-1 </t>
  </si>
  <si>
    <t xml:space="preserve">TD-DGT-3d-2 </t>
  </si>
  <si>
    <t xml:space="preserve">TD-DGT-3d-3 </t>
  </si>
  <si>
    <t xml:space="preserve">TD-DGT-6d-1 </t>
  </si>
  <si>
    <t xml:space="preserve">TD-DGT-6d-3 </t>
  </si>
  <si>
    <t xml:space="preserve">TD-DGT-6d-4 </t>
  </si>
  <si>
    <t xml:space="preserve">TD-DGT-9d-1 </t>
  </si>
  <si>
    <t xml:space="preserve">TD-DGT-9d-3 </t>
  </si>
  <si>
    <t xml:space="preserve">TD-DGT-9d-4 </t>
  </si>
  <si>
    <t xml:space="preserve">TD-DGT-12d-1 </t>
  </si>
  <si>
    <t xml:space="preserve">TD-DGT-12d-3 </t>
  </si>
  <si>
    <t xml:space="preserve">TD-DGT-12d-4 </t>
  </si>
  <si>
    <t>TD-DGT-15d-1</t>
  </si>
  <si>
    <t xml:space="preserve">TD-DGT-15d-3 </t>
  </si>
  <si>
    <t xml:space="preserve">TD-DGT-15d-4 </t>
  </si>
  <si>
    <t>time_h</t>
  </si>
  <si>
    <t>time_s</t>
  </si>
  <si>
    <t>M_Cd_ng</t>
  </si>
  <si>
    <t>M_Cu_ng</t>
  </si>
  <si>
    <t>M_Ni_ng</t>
  </si>
  <si>
    <t>M_Mn_ng</t>
  </si>
  <si>
    <t>M_Fe_ng</t>
  </si>
  <si>
    <t>CDGT_Cd_ng_ml</t>
  </si>
  <si>
    <t>CDGT_Cu_ng_ml</t>
  </si>
  <si>
    <t>CDGT_Mn_ng_ml</t>
  </si>
  <si>
    <t>CDGT_Fe_ng_ml</t>
  </si>
  <si>
    <t>F_Cd_ug_m2_h</t>
  </si>
  <si>
    <t>F_Cu_ug_m2_h</t>
  </si>
  <si>
    <t>F_Ni_ug_m2_h</t>
  </si>
  <si>
    <t>F_Mn_ug_m2_h</t>
  </si>
  <si>
    <t>F_Fe_ug_m2_h</t>
  </si>
  <si>
    <t>rep</t>
    <phoneticPr fontId="1" type="noConversion"/>
  </si>
  <si>
    <t>Bioa</t>
    <phoneticPr fontId="1" type="noConversion"/>
  </si>
  <si>
    <t>TD</t>
    <phoneticPr fontId="1" type="noConversion"/>
  </si>
  <si>
    <t>Cd 111
Helium KED
(ppb)</t>
  </si>
  <si>
    <t>Cu 65
Helium KED
(ppb)</t>
  </si>
  <si>
    <t>Ni 58
Helium KED
(ppb)</t>
  </si>
  <si>
    <t>Cd 113
Helium KED
(ppb)</t>
  </si>
  <si>
    <t>Cd 114
Helium KED
(ppb)</t>
  </si>
  <si>
    <t>Cu 63
Helium KED
(ppb)</t>
  </si>
  <si>
    <t>Ni 60
Helium KED
(ppb)</t>
  </si>
  <si>
    <t>Ni 62
Helium KED
(ppb)</t>
  </si>
  <si>
    <t>Cu65_corrected</t>
  </si>
  <si>
    <t>Ni62_corrected by Ni60</t>
  </si>
  <si>
    <t>Cd111_ppb</t>
    <phoneticPr fontId="1" type="noConversion"/>
  </si>
  <si>
    <t>phase</t>
    <phoneticPr fontId="3" type="noConversion"/>
  </si>
  <si>
    <t>rep</t>
    <phoneticPr fontId="3" type="noConversion"/>
  </si>
  <si>
    <t>6h</t>
    <phoneticPr fontId="1" type="noConversion"/>
  </si>
  <si>
    <t>24h</t>
    <phoneticPr fontId="1" type="noConversion"/>
  </si>
  <si>
    <t>72h</t>
    <phoneticPr fontId="1" type="noConversion"/>
  </si>
  <si>
    <t>clear</t>
    <phoneticPr fontId="1" type="noConversion"/>
  </si>
  <si>
    <t>dw_g</t>
    <phoneticPr fontId="1" type="noConversion"/>
  </si>
  <si>
    <t>dilut_L</t>
    <phoneticPr fontId="1" type="noConversion"/>
  </si>
  <si>
    <t>Cd114_ppb</t>
    <phoneticPr fontId="1" type="noConversion"/>
  </si>
  <si>
    <t>Cu63_ppb</t>
    <phoneticPr fontId="1" type="noConversion"/>
  </si>
  <si>
    <t>Cu65_ppb</t>
    <phoneticPr fontId="1" type="noConversion"/>
  </si>
  <si>
    <t>Ni60_ppb</t>
    <phoneticPr fontId="1" type="noConversion"/>
  </si>
  <si>
    <t>Ni62_ppb</t>
    <phoneticPr fontId="1" type="noConversion"/>
  </si>
  <si>
    <t>pre_labeling-0h-2</t>
  </si>
  <si>
    <t>pre_labeling-0h-3</t>
  </si>
  <si>
    <t>pre_labeling-0h-4</t>
  </si>
  <si>
    <t>pre_labeling-0h-5</t>
  </si>
  <si>
    <t>pre_labeling-0h-6</t>
  </si>
  <si>
    <t>pre_labeling-0h-7</t>
  </si>
  <si>
    <t>pre_labeling-0h-8</t>
  </si>
  <si>
    <t>pre_labeling-0h-9</t>
  </si>
  <si>
    <t>pre_labeling-0h-10</t>
  </si>
  <si>
    <t>pre_labeling_0h_1</t>
    <phoneticPr fontId="1" type="noConversion"/>
  </si>
  <si>
    <t>background</t>
    <phoneticPr fontId="1" type="noConversion"/>
  </si>
  <si>
    <t>phase</t>
    <phoneticPr fontId="1" type="noConversion"/>
  </si>
  <si>
    <t>CDGT_Ni_ng_ml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</si>
</sst>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</font>
    <font>
      <sz val="10"/>
      <color rgb="FF000000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.5"/>
      <color rgb="FF000000"/>
      <name val="等线"/>
      <family val="2"/>
      <charset val="134"/>
    </font>
    <font>
      <b/>
      <sz val="8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rgb="FFE3E3E3"/>
        <bgColor rgb="FFFFFFFF"/>
      </patternFill>
    </fill>
    <fill>
      <patternFill patternType="solid">
        <fgColor rgb="FFEBFFD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2" xfId="1" applyFont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0" fontId="6" fillId="0" borderId="0" xfId="1" applyFont="1" applyAlignment="1">
      <alignment horizontal="left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177" fontId="6" fillId="0" borderId="2" xfId="1" applyNumberFormat="1" applyFont="1" applyBorder="1" applyAlignment="1">
      <alignment horizontal="left" vertical="center"/>
    </xf>
    <xf numFmtId="177" fontId="6" fillId="2" borderId="2" xfId="1" applyNumberFormat="1" applyFont="1" applyFill="1" applyBorder="1" applyAlignment="1">
      <alignment horizontal="left" vertical="center"/>
    </xf>
    <xf numFmtId="177" fontId="6" fillId="0" borderId="3" xfId="1" applyNumberFormat="1" applyFont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2">
    <cellStyle name="Normal" xfId="1" xr:uid="{1D89E5DE-B2E3-4E7D-B78C-B7CA4367D1D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89AF-2825-442F-B3D8-BB087BC62E10}">
  <dimension ref="A1:O31"/>
  <sheetViews>
    <sheetView workbookViewId="0">
      <selection activeCell="C5" sqref="C5"/>
    </sheetView>
  </sheetViews>
  <sheetFormatPr defaultRowHeight="14" x14ac:dyDescent="0.3"/>
  <cols>
    <col min="1" max="1" width="15.4140625" style="1" customWidth="1"/>
    <col min="2" max="8" width="8.6640625" style="1"/>
    <col min="9" max="9" width="12.5" style="1" customWidth="1"/>
  </cols>
  <sheetData>
    <row r="1" spans="1:15" x14ac:dyDescent="0.3">
      <c r="A1" s="1" t="s">
        <v>16</v>
      </c>
      <c r="B1" s="1" t="s">
        <v>17</v>
      </c>
      <c r="C1" s="1" t="s">
        <v>1105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 spans="1:15" x14ac:dyDescent="0.3">
      <c r="A2" s="1" t="s">
        <v>25</v>
      </c>
      <c r="B2" s="1">
        <v>0</v>
      </c>
      <c r="C2" s="1">
        <v>1</v>
      </c>
      <c r="D2" s="1">
        <v>19.75</v>
      </c>
      <c r="E2" s="1">
        <v>7.38</v>
      </c>
      <c r="F2" s="1">
        <v>13.51</v>
      </c>
      <c r="G2" s="1">
        <v>1.4057999999999999</v>
      </c>
      <c r="H2" s="1">
        <v>0.35349999999999998</v>
      </c>
      <c r="I2" s="1">
        <v>6.9099999999999995E-2</v>
      </c>
      <c r="J2">
        <v>3.2000000000000001E-2</v>
      </c>
      <c r="K2">
        <v>0.53016655087165498</v>
      </c>
      <c r="L2">
        <v>0.62446778430819583</v>
      </c>
      <c r="M2">
        <v>8.1163105097246202</v>
      </c>
      <c r="N2">
        <v>2.8754103190047728</v>
      </c>
      <c r="O2">
        <v>64.831240715361162</v>
      </c>
    </row>
    <row r="3" spans="1:15" x14ac:dyDescent="0.3">
      <c r="A3" s="1" t="s">
        <v>7</v>
      </c>
      <c r="B3" s="1">
        <v>0</v>
      </c>
      <c r="C3" s="1">
        <v>1</v>
      </c>
      <c r="D3" s="1">
        <v>18.75</v>
      </c>
      <c r="E3" s="1">
        <v>7.61</v>
      </c>
      <c r="F3" s="1">
        <v>13.66</v>
      </c>
      <c r="G3" s="1">
        <v>1.5346</v>
      </c>
      <c r="H3" s="1">
        <v>0.28289999999999998</v>
      </c>
      <c r="I3" s="1">
        <v>5.6399999999999999E-2</v>
      </c>
      <c r="J3">
        <v>3.2000000000000001E-2</v>
      </c>
      <c r="K3">
        <v>0.64580601859520559</v>
      </c>
      <c r="L3">
        <v>0.45274665837879036</v>
      </c>
      <c r="M3">
        <v>8.210567566534694</v>
      </c>
      <c r="N3">
        <v>2.2126493935713758</v>
      </c>
      <c r="O3">
        <v>72.220821209436593</v>
      </c>
    </row>
    <row r="4" spans="1:15" x14ac:dyDescent="0.3">
      <c r="A4" s="1" t="s">
        <v>8</v>
      </c>
      <c r="B4" s="1">
        <v>0</v>
      </c>
      <c r="C4" s="1">
        <v>1</v>
      </c>
      <c r="D4" s="1">
        <v>19.059999999999999</v>
      </c>
      <c r="E4" s="1">
        <v>7.52</v>
      </c>
      <c r="F4" s="1">
        <v>12.91</v>
      </c>
      <c r="G4" s="1">
        <v>1.4174</v>
      </c>
      <c r="H4" s="1">
        <v>0.35060000000000002</v>
      </c>
      <c r="I4" s="1">
        <v>7.2300000000000003E-2</v>
      </c>
      <c r="J4">
        <v>3.2000000000000001E-2</v>
      </c>
      <c r="K4">
        <v>0.54280004485957845</v>
      </c>
      <c r="L4">
        <v>0.32213556274465993</v>
      </c>
      <c r="M4">
        <v>6.4669092977881943</v>
      </c>
      <c r="N4">
        <v>2.4898283882393271</v>
      </c>
      <c r="O4">
        <v>58.737084239102842</v>
      </c>
    </row>
    <row r="5" spans="1:15" x14ac:dyDescent="0.3">
      <c r="A5" s="1" t="s">
        <v>9</v>
      </c>
      <c r="B5" s="1">
        <v>0</v>
      </c>
      <c r="C5" s="1">
        <v>1</v>
      </c>
      <c r="D5" s="1">
        <v>21.12</v>
      </c>
      <c r="E5" s="1">
        <v>8.6199999999999992</v>
      </c>
      <c r="F5" s="1">
        <v>14.92</v>
      </c>
      <c r="G5" s="1">
        <v>1.9806999999999999</v>
      </c>
      <c r="H5" s="1">
        <v>0.34179999999999999</v>
      </c>
      <c r="I5" s="1">
        <v>6.7000000000000004E-2</v>
      </c>
      <c r="J5">
        <v>3.2000000000000001E-2</v>
      </c>
      <c r="K5">
        <v>0.60911489830623045</v>
      </c>
      <c r="L5">
        <v>0.23791800130581015</v>
      </c>
      <c r="M5">
        <v>6.6989016516650501</v>
      </c>
      <c r="N5">
        <v>2.3190946619080215</v>
      </c>
      <c r="O5">
        <v>69.001114807560597</v>
      </c>
    </row>
    <row r="6" spans="1:15" x14ac:dyDescent="0.3">
      <c r="A6" s="1" t="s">
        <v>10</v>
      </c>
      <c r="B6" s="1">
        <v>0</v>
      </c>
      <c r="C6" s="1">
        <v>1</v>
      </c>
      <c r="D6" s="1">
        <v>21.05</v>
      </c>
      <c r="E6" s="1">
        <v>8.57</v>
      </c>
      <c r="F6" s="1">
        <v>14.51</v>
      </c>
      <c r="G6" s="1">
        <v>1.7843</v>
      </c>
      <c r="H6" s="1">
        <v>0.41560000000000002</v>
      </c>
      <c r="I6" s="1">
        <v>7.7799999999999994E-2</v>
      </c>
      <c r="J6">
        <v>3.2000000000000001E-2</v>
      </c>
      <c r="K6">
        <v>0.5895569772888638</v>
      </c>
      <c r="L6">
        <v>0.37927251056117678</v>
      </c>
      <c r="M6">
        <v>5.4188601242172547</v>
      </c>
      <c r="N6">
        <v>2.4845586720929402</v>
      </c>
      <c r="O6">
        <v>67.341960193914261</v>
      </c>
    </row>
    <row r="7" spans="1:15" x14ac:dyDescent="0.3">
      <c r="A7" s="1" t="s">
        <v>11</v>
      </c>
      <c r="B7" s="1">
        <v>0</v>
      </c>
      <c r="C7" s="1">
        <v>1</v>
      </c>
      <c r="D7" s="1">
        <v>21.32</v>
      </c>
      <c r="E7" s="1">
        <v>9.15</v>
      </c>
      <c r="F7" s="1">
        <v>15.38</v>
      </c>
      <c r="G7" s="1">
        <v>2.1873999999999998</v>
      </c>
      <c r="H7" s="1">
        <v>0.45669999999999999</v>
      </c>
      <c r="I7" s="1">
        <v>8.9599999999999999E-2</v>
      </c>
      <c r="J7">
        <v>3.2000000000000001E-2</v>
      </c>
      <c r="K7">
        <v>0.60430777845875361</v>
      </c>
      <c r="L7">
        <v>0.31713580984234252</v>
      </c>
      <c r="M7">
        <v>5.8628657225546439</v>
      </c>
      <c r="N7">
        <v>1.5152472426550572</v>
      </c>
      <c r="O7">
        <v>66.49207617147286</v>
      </c>
    </row>
    <row r="8" spans="1:15" x14ac:dyDescent="0.3">
      <c r="A8" s="1" t="s">
        <v>12</v>
      </c>
      <c r="B8" s="1">
        <v>0</v>
      </c>
      <c r="C8" s="1">
        <v>1</v>
      </c>
      <c r="D8" s="1">
        <v>22.67</v>
      </c>
      <c r="E8" s="1">
        <v>8.8800000000000008</v>
      </c>
      <c r="F8" s="1">
        <v>14.82</v>
      </c>
      <c r="G8" s="1">
        <v>2.109</v>
      </c>
      <c r="H8" s="1">
        <v>0.48139999999999999</v>
      </c>
      <c r="I8" s="1">
        <v>9.98E-2</v>
      </c>
      <c r="J8">
        <v>3.2000000000000001E-2</v>
      </c>
      <c r="K8">
        <v>0.49828782695923052</v>
      </c>
      <c r="L8">
        <v>0.20316438998091255</v>
      </c>
      <c r="M8">
        <v>5.4208683584067971</v>
      </c>
      <c r="N8">
        <v>1.8016998822721859</v>
      </c>
      <c r="O8">
        <v>62.864324606484338</v>
      </c>
    </row>
    <row r="9" spans="1:15" x14ac:dyDescent="0.3">
      <c r="A9" s="1" t="s">
        <v>13</v>
      </c>
      <c r="B9" s="1">
        <v>0</v>
      </c>
      <c r="C9" s="1">
        <v>1</v>
      </c>
      <c r="D9" s="1">
        <v>21.91</v>
      </c>
      <c r="E9" s="1">
        <v>8.74</v>
      </c>
      <c r="F9" s="1">
        <v>14.69</v>
      </c>
      <c r="G9" s="1">
        <v>1.8709</v>
      </c>
      <c r="H9" s="1">
        <v>0.42680000000000001</v>
      </c>
      <c r="I9" s="1">
        <v>8.1600000000000006E-2</v>
      </c>
      <c r="J9">
        <v>3.2000000000000001E-2</v>
      </c>
      <c r="K9">
        <v>0.6381979772786236</v>
      </c>
      <c r="L9">
        <v>0.57423005822624695</v>
      </c>
      <c r="M9">
        <v>6.5077878564072549</v>
      </c>
      <c r="N9">
        <v>2.1386016926225802</v>
      </c>
      <c r="O9">
        <v>73.546743580818045</v>
      </c>
    </row>
    <row r="10" spans="1:15" x14ac:dyDescent="0.3">
      <c r="A10" s="1" t="s">
        <v>14</v>
      </c>
      <c r="B10" s="1">
        <v>0</v>
      </c>
      <c r="C10" s="1">
        <v>1</v>
      </c>
      <c r="D10" s="1">
        <v>22.08</v>
      </c>
      <c r="E10" s="1">
        <v>8.94</v>
      </c>
      <c r="F10" s="1">
        <v>14.92</v>
      </c>
      <c r="G10" s="1">
        <v>2.0566</v>
      </c>
      <c r="H10" s="1">
        <v>0.44040000000000001</v>
      </c>
      <c r="I10" s="1">
        <v>8.9399999999999993E-2</v>
      </c>
      <c r="J10">
        <v>3.2000000000000001E-2</v>
      </c>
      <c r="K10">
        <v>0.49883655015474182</v>
      </c>
      <c r="L10">
        <v>0.31797854114319146</v>
      </c>
      <c r="M10">
        <v>6.5824401575262295</v>
      </c>
      <c r="N10">
        <v>1.6840471518110176</v>
      </c>
      <c r="O10">
        <v>63.514740982859244</v>
      </c>
    </row>
    <row r="11" spans="1:15" x14ac:dyDescent="0.3">
      <c r="A11" s="1" t="s">
        <v>15</v>
      </c>
      <c r="B11" s="1">
        <v>0</v>
      </c>
      <c r="C11" s="1">
        <v>1</v>
      </c>
      <c r="D11" s="1">
        <v>22.63</v>
      </c>
      <c r="E11" s="1">
        <v>9.41</v>
      </c>
      <c r="F11" s="1">
        <v>15.24</v>
      </c>
      <c r="G11" s="1">
        <v>2.2589000000000001</v>
      </c>
      <c r="H11" s="1">
        <v>0.4365</v>
      </c>
      <c r="I11" s="1">
        <v>8.6699999999999999E-2</v>
      </c>
      <c r="J11">
        <v>3.2000000000000001E-2</v>
      </c>
      <c r="K11">
        <v>0.71675367344898733</v>
      </c>
      <c r="L11">
        <v>0.36809642328974435</v>
      </c>
      <c r="M11">
        <v>8.0713863345274106</v>
      </c>
      <c r="N11">
        <v>1.8348922151279208</v>
      </c>
      <c r="O11">
        <v>66.925996755640327</v>
      </c>
    </row>
    <row r="12" spans="1:15" x14ac:dyDescent="0.3">
      <c r="A12" s="2" t="s">
        <v>26</v>
      </c>
      <c r="B12" s="1">
        <v>0</v>
      </c>
      <c r="C12" s="1" t="s">
        <v>1035</v>
      </c>
      <c r="D12" s="1">
        <v>24.19</v>
      </c>
      <c r="E12" s="1">
        <v>16.670000000000002</v>
      </c>
      <c r="F12" s="1">
        <v>10.24</v>
      </c>
      <c r="G12" s="1">
        <v>2.6063999999999998</v>
      </c>
      <c r="H12" s="1">
        <v>0.67749999999999999</v>
      </c>
      <c r="I12" s="1">
        <v>0.1242</v>
      </c>
      <c r="J12">
        <v>0.04</v>
      </c>
      <c r="K12">
        <v>0.46765467798768107</v>
      </c>
      <c r="L12">
        <v>0.2429651484309224</v>
      </c>
      <c r="M12">
        <v>6.728772254306441</v>
      </c>
      <c r="N12">
        <v>1.6225636502017551</v>
      </c>
      <c r="O12">
        <v>53.511049141699196</v>
      </c>
    </row>
    <row r="13" spans="1:15" x14ac:dyDescent="0.3">
      <c r="A13" s="3" t="s">
        <v>27</v>
      </c>
      <c r="B13" s="1">
        <v>0</v>
      </c>
      <c r="C13" s="1" t="s">
        <v>1035</v>
      </c>
      <c r="D13" s="1">
        <v>22.88</v>
      </c>
      <c r="E13" s="1">
        <v>15.35</v>
      </c>
      <c r="F13" s="1">
        <v>9.81</v>
      </c>
      <c r="G13" s="1">
        <v>2.2374000000000001</v>
      </c>
      <c r="H13" s="1">
        <v>0.56599999999999995</v>
      </c>
      <c r="I13" s="1">
        <v>0.1019</v>
      </c>
      <c r="J13">
        <v>0.04</v>
      </c>
      <c r="K13">
        <v>0.62597831991508546</v>
      </c>
      <c r="L13">
        <v>0.23181985091258017</v>
      </c>
      <c r="M13">
        <v>6.5324268750642585</v>
      </c>
      <c r="N13">
        <v>2.0702696301622883</v>
      </c>
      <c r="O13">
        <v>72.530167620191961</v>
      </c>
    </row>
    <row r="14" spans="1:15" x14ac:dyDescent="0.3">
      <c r="A14" s="2" t="s">
        <v>28</v>
      </c>
      <c r="B14" s="1">
        <v>0</v>
      </c>
      <c r="C14" s="1" t="s">
        <v>1035</v>
      </c>
      <c r="D14" s="1">
        <v>23.97</v>
      </c>
      <c r="E14" s="1">
        <v>15.63</v>
      </c>
      <c r="F14" s="1">
        <v>10.119999999999999</v>
      </c>
      <c r="G14" s="1">
        <v>2.2801</v>
      </c>
      <c r="H14" s="1">
        <v>0.45629999999999998</v>
      </c>
      <c r="I14" s="1">
        <v>8.1900000000000001E-2</v>
      </c>
      <c r="J14">
        <v>3.2000000000000001E-2</v>
      </c>
      <c r="K14">
        <v>0.66967315321590626</v>
      </c>
      <c r="L14">
        <v>0.28604435357246671</v>
      </c>
      <c r="M14">
        <v>5.8967921367084539</v>
      </c>
      <c r="N14">
        <v>1.8468180912637067</v>
      </c>
      <c r="O14">
        <v>75.163955985172947</v>
      </c>
    </row>
    <row r="15" spans="1:15" x14ac:dyDescent="0.3">
      <c r="A15" s="3" t="s">
        <v>29</v>
      </c>
      <c r="B15" s="1">
        <v>0</v>
      </c>
      <c r="C15" s="1" t="s">
        <v>1035</v>
      </c>
      <c r="D15" s="1">
        <v>24.78</v>
      </c>
      <c r="E15" s="1">
        <v>16.88</v>
      </c>
      <c r="F15" s="1">
        <v>10.45</v>
      </c>
      <c r="G15" s="1">
        <v>2.6379000000000001</v>
      </c>
      <c r="H15" s="1">
        <v>0.63260000000000005</v>
      </c>
      <c r="I15" s="1">
        <v>0.1113</v>
      </c>
      <c r="J15">
        <v>4.4999999999999998E-2</v>
      </c>
      <c r="K15">
        <v>1.1579791804044299</v>
      </c>
      <c r="L15">
        <v>0.3444161889760961</v>
      </c>
      <c r="M15">
        <v>7.0213932538232751</v>
      </c>
      <c r="N15">
        <v>2.209695586939346</v>
      </c>
      <c r="O15">
        <v>87.504780739750259</v>
      </c>
    </row>
    <row r="16" spans="1:15" x14ac:dyDescent="0.3">
      <c r="A16" s="2" t="s">
        <v>30</v>
      </c>
      <c r="B16" s="1">
        <v>0</v>
      </c>
      <c r="C16" s="1" t="s">
        <v>1035</v>
      </c>
      <c r="D16" s="1">
        <v>23.13</v>
      </c>
      <c r="E16" s="1">
        <v>17.07</v>
      </c>
      <c r="F16" s="1">
        <v>9.74</v>
      </c>
      <c r="G16" s="1">
        <v>2.4272999999999998</v>
      </c>
      <c r="H16" s="1">
        <v>0.49630000000000002</v>
      </c>
      <c r="I16" s="1">
        <v>9.5500000000000002E-2</v>
      </c>
      <c r="J16">
        <v>3.2000000000000001E-2</v>
      </c>
      <c r="K16">
        <v>0.86459834223110699</v>
      </c>
      <c r="L16">
        <v>0.20074379063426848</v>
      </c>
      <c r="M16">
        <v>5.8821714258390783</v>
      </c>
      <c r="N16">
        <v>2.0339829483041139</v>
      </c>
      <c r="O16">
        <v>68.270361205802899</v>
      </c>
    </row>
    <row r="17" spans="1:15" x14ac:dyDescent="0.3">
      <c r="A17" s="3" t="s">
        <v>31</v>
      </c>
      <c r="B17" s="1">
        <v>0</v>
      </c>
      <c r="C17" s="1" t="s">
        <v>1035</v>
      </c>
      <c r="D17" s="1">
        <v>23.62</v>
      </c>
      <c r="E17" s="1">
        <v>15.56</v>
      </c>
      <c r="F17" s="1">
        <v>9.51</v>
      </c>
      <c r="G17" s="1">
        <v>2.3412999999999999</v>
      </c>
      <c r="H17" s="1">
        <v>0.50009999999999999</v>
      </c>
      <c r="I17" s="1">
        <v>8.8400000000000006E-2</v>
      </c>
      <c r="J17">
        <v>3.2000000000000001E-2</v>
      </c>
      <c r="K17">
        <v>0.99033910126656655</v>
      </c>
      <c r="L17">
        <v>0.30313526167337335</v>
      </c>
      <c r="M17">
        <v>8.2080430562860816</v>
      </c>
      <c r="N17">
        <v>2.9386488866320755</v>
      </c>
      <c r="O17">
        <v>83.730969672439088</v>
      </c>
    </row>
    <row r="18" spans="1:15" x14ac:dyDescent="0.3">
      <c r="A18" s="2" t="s">
        <v>32</v>
      </c>
      <c r="B18" s="1">
        <v>0</v>
      </c>
      <c r="C18" s="1" t="s">
        <v>1035</v>
      </c>
      <c r="D18" s="1">
        <v>25.12</v>
      </c>
      <c r="E18" s="1">
        <v>18.21</v>
      </c>
      <c r="F18" s="1">
        <v>10.23</v>
      </c>
      <c r="G18" s="1">
        <v>3.0163000000000002</v>
      </c>
      <c r="H18" s="1">
        <v>0.70720000000000005</v>
      </c>
      <c r="I18" s="1">
        <v>0.1303</v>
      </c>
      <c r="J18">
        <v>0.04</v>
      </c>
      <c r="K18">
        <v>0.81401502224363464</v>
      </c>
      <c r="L18">
        <v>0.22599964269088074</v>
      </c>
      <c r="M18">
        <v>5.732152336246477</v>
      </c>
      <c r="N18">
        <v>1.5661392483548426</v>
      </c>
      <c r="O18">
        <v>61.527489285832687</v>
      </c>
    </row>
    <row r="19" spans="1:15" x14ac:dyDescent="0.3">
      <c r="A19" s="3" t="s">
        <v>33</v>
      </c>
      <c r="B19" s="1">
        <v>0</v>
      </c>
      <c r="C19" s="1" t="s">
        <v>1035</v>
      </c>
      <c r="D19" s="1">
        <v>22.57</v>
      </c>
      <c r="E19" s="1">
        <v>16.010000000000002</v>
      </c>
      <c r="F19" s="1">
        <v>9.77</v>
      </c>
      <c r="G19" s="1">
        <v>2.2435</v>
      </c>
      <c r="H19" s="1">
        <v>0.46960000000000002</v>
      </c>
      <c r="I19" s="1">
        <v>8.3299999999999999E-2</v>
      </c>
      <c r="J19">
        <v>3.2000000000000001E-2</v>
      </c>
      <c r="K19">
        <v>1.0036169270211535</v>
      </c>
      <c r="L19">
        <v>0.21010303306465153</v>
      </c>
      <c r="M19">
        <v>6.0000343725179164</v>
      </c>
      <c r="N19">
        <v>2.5330282810654734</v>
      </c>
      <c r="O19">
        <v>64.437123035683271</v>
      </c>
    </row>
    <row r="20" spans="1:15" x14ac:dyDescent="0.3">
      <c r="A20" s="2" t="s">
        <v>34</v>
      </c>
      <c r="B20" s="1">
        <v>0</v>
      </c>
      <c r="C20" s="1" t="s">
        <v>1035</v>
      </c>
      <c r="D20" s="1">
        <v>24.47</v>
      </c>
      <c r="E20" s="1">
        <v>17.100000000000001</v>
      </c>
      <c r="F20" s="1">
        <v>9.68</v>
      </c>
      <c r="G20" s="1">
        <v>2.3934000000000002</v>
      </c>
      <c r="H20" s="1">
        <v>0.58630000000000004</v>
      </c>
      <c r="I20" s="1">
        <v>0.10390000000000001</v>
      </c>
      <c r="J20">
        <v>3.2000000000000001E-2</v>
      </c>
      <c r="K20">
        <v>0.85383141229494819</v>
      </c>
      <c r="L20">
        <v>0.24381081780067201</v>
      </c>
      <c r="M20">
        <v>6.8352377928847279</v>
      </c>
      <c r="N20">
        <v>2.9564283511833751</v>
      </c>
      <c r="O20">
        <v>74.691606933245353</v>
      </c>
    </row>
    <row r="21" spans="1:15" x14ac:dyDescent="0.3">
      <c r="A21" s="3" t="s">
        <v>35</v>
      </c>
      <c r="B21" s="1">
        <v>0</v>
      </c>
      <c r="C21" s="1" t="s">
        <v>1035</v>
      </c>
      <c r="D21" s="1">
        <v>23.72</v>
      </c>
      <c r="E21" s="1">
        <v>15.38</v>
      </c>
      <c r="F21" s="1">
        <v>9.57</v>
      </c>
      <c r="G21" s="1">
        <v>2.1739000000000002</v>
      </c>
      <c r="H21" s="1">
        <v>0.5413</v>
      </c>
      <c r="I21" s="1">
        <v>9.0700000000000003E-2</v>
      </c>
      <c r="J21">
        <v>3.2000000000000001E-2</v>
      </c>
      <c r="K21">
        <v>0.88409684374706254</v>
      </c>
      <c r="L21">
        <v>0.26799004051423259</v>
      </c>
      <c r="M21">
        <v>5.8752505399267925</v>
      </c>
      <c r="N21">
        <v>3.0243096448578295</v>
      </c>
      <c r="O21">
        <v>71.223457665993735</v>
      </c>
    </row>
    <row r="22" spans="1:15" x14ac:dyDescent="0.3">
      <c r="A22" s="2" t="s">
        <v>36</v>
      </c>
      <c r="B22" s="1">
        <v>0</v>
      </c>
      <c r="C22" s="1" t="s">
        <v>1034</v>
      </c>
      <c r="D22" s="1">
        <v>21.12</v>
      </c>
      <c r="E22" s="1">
        <v>13.94</v>
      </c>
      <c r="F22" s="1">
        <v>8.27</v>
      </c>
      <c r="G22" s="1">
        <v>1.5074000000000001</v>
      </c>
      <c r="H22" s="1">
        <v>0.35639999999999999</v>
      </c>
      <c r="I22" s="1">
        <v>6.6799999999999998E-2</v>
      </c>
      <c r="J22">
        <v>3.2000000000000001E-2</v>
      </c>
      <c r="K22">
        <v>0.76568348830204069</v>
      </c>
      <c r="L22">
        <v>0.2650614164366204</v>
      </c>
      <c r="M22">
        <v>5.5667588255881206</v>
      </c>
      <c r="N22">
        <v>2.4165229550425438</v>
      </c>
      <c r="O22">
        <v>66.11393738915163</v>
      </c>
    </row>
    <row r="23" spans="1:15" x14ac:dyDescent="0.3">
      <c r="A23" s="2" t="s">
        <v>37</v>
      </c>
      <c r="B23" s="1">
        <v>0</v>
      </c>
      <c r="C23" s="1" t="s">
        <v>1034</v>
      </c>
      <c r="D23" s="1">
        <v>20.420000000000002</v>
      </c>
      <c r="E23" s="1">
        <v>15.08</v>
      </c>
      <c r="F23" s="1">
        <v>8.9600000000000009</v>
      </c>
      <c r="G23" s="1">
        <v>1.7133</v>
      </c>
      <c r="H23" s="1">
        <v>0.33090000000000003</v>
      </c>
      <c r="I23" s="1">
        <v>5.57E-2</v>
      </c>
      <c r="J23">
        <v>3.2000000000000001E-2</v>
      </c>
      <c r="K23">
        <v>1.3061354006131132</v>
      </c>
      <c r="L23">
        <v>0.84541786851510803</v>
      </c>
      <c r="M23">
        <v>8.8734755324532291</v>
      </c>
      <c r="N23">
        <v>4.3738764070584759</v>
      </c>
      <c r="O23">
        <v>82.342396121081222</v>
      </c>
    </row>
    <row r="24" spans="1:15" x14ac:dyDescent="0.3">
      <c r="A24" s="3" t="s">
        <v>38</v>
      </c>
      <c r="B24" s="1">
        <v>0</v>
      </c>
      <c r="C24" s="1" t="s">
        <v>1034</v>
      </c>
      <c r="D24" s="1">
        <v>22.35</v>
      </c>
      <c r="E24" s="1">
        <v>15.99</v>
      </c>
      <c r="F24" s="1">
        <v>8.94</v>
      </c>
      <c r="G24" s="1">
        <v>1.9220999999999999</v>
      </c>
      <c r="H24" s="1">
        <v>0.3881</v>
      </c>
      <c r="I24" s="1">
        <v>6.7500000000000004E-2</v>
      </c>
      <c r="J24">
        <v>3.2000000000000001E-2</v>
      </c>
      <c r="K24">
        <v>0.96760058414071937</v>
      </c>
      <c r="L24">
        <v>0.25788941736340337</v>
      </c>
      <c r="M24">
        <v>5.5431931894248772</v>
      </c>
      <c r="N24">
        <v>2.0305489104793266</v>
      </c>
      <c r="O24">
        <v>67.119014424198639</v>
      </c>
    </row>
    <row r="25" spans="1:15" x14ac:dyDescent="0.3">
      <c r="A25" s="2" t="s">
        <v>39</v>
      </c>
      <c r="B25" s="1">
        <v>0</v>
      </c>
      <c r="C25" s="1" t="s">
        <v>1034</v>
      </c>
      <c r="D25" s="1">
        <v>20.57</v>
      </c>
      <c r="E25" s="1">
        <v>14.47</v>
      </c>
      <c r="F25" s="1">
        <v>8.44</v>
      </c>
      <c r="G25" s="1">
        <v>1.6462000000000001</v>
      </c>
      <c r="H25" s="1">
        <v>0.42220000000000002</v>
      </c>
      <c r="I25" s="1">
        <v>7.6499999999999999E-2</v>
      </c>
      <c r="J25">
        <v>3.2000000000000001E-2</v>
      </c>
      <c r="K25">
        <v>0.68263207792304947</v>
      </c>
      <c r="L25">
        <v>0.16741228417388301</v>
      </c>
      <c r="M25">
        <v>5.6195490004156659</v>
      </c>
      <c r="N25">
        <v>2.8934394513049098</v>
      </c>
      <c r="O25">
        <v>77.617415719017004</v>
      </c>
    </row>
    <row r="26" spans="1:15" x14ac:dyDescent="0.3">
      <c r="A26" s="3" t="s">
        <v>40</v>
      </c>
      <c r="B26" s="1">
        <v>0</v>
      </c>
      <c r="C26" s="1" t="s">
        <v>1034</v>
      </c>
      <c r="D26" s="1">
        <v>22.07</v>
      </c>
      <c r="E26" s="1">
        <v>14.99</v>
      </c>
      <c r="F26" s="1">
        <v>9.09</v>
      </c>
      <c r="G26" s="1">
        <v>1.8597999999999999</v>
      </c>
      <c r="H26" s="1">
        <v>0.44790000000000002</v>
      </c>
      <c r="I26" s="1">
        <v>7.7799999999999994E-2</v>
      </c>
      <c r="J26">
        <v>3.2000000000000001E-2</v>
      </c>
      <c r="K26">
        <v>1.1381239460613266</v>
      </c>
      <c r="L26">
        <v>0.26929985299721665</v>
      </c>
      <c r="M26">
        <v>8.0799905686856555</v>
      </c>
      <c r="N26">
        <v>4.3787558239861388</v>
      </c>
      <c r="O26">
        <v>80.085550170876729</v>
      </c>
    </row>
    <row r="27" spans="1:15" x14ac:dyDescent="0.3">
      <c r="A27" s="2" t="s">
        <v>41</v>
      </c>
      <c r="B27" s="1">
        <v>0</v>
      </c>
      <c r="C27" s="1" t="s">
        <v>1034</v>
      </c>
      <c r="D27" s="1">
        <v>21.01</v>
      </c>
      <c r="E27" s="1">
        <v>14.8</v>
      </c>
      <c r="F27" s="1">
        <v>8.6199999999999992</v>
      </c>
      <c r="G27" s="1">
        <v>1.7081</v>
      </c>
      <c r="H27" s="1">
        <v>0.34010000000000001</v>
      </c>
      <c r="I27" s="1">
        <v>5.4399999999999997E-2</v>
      </c>
      <c r="J27">
        <v>3.2000000000000001E-2</v>
      </c>
      <c r="K27">
        <v>1.1082968623655178</v>
      </c>
      <c r="L27">
        <v>0.33873150015033293</v>
      </c>
      <c r="M27">
        <v>8.1619887738733539</v>
      </c>
      <c r="N27">
        <v>3.2254822186680943</v>
      </c>
      <c r="O27">
        <v>84.33574863275706</v>
      </c>
    </row>
    <row r="28" spans="1:15" x14ac:dyDescent="0.3">
      <c r="A28" s="3" t="s">
        <v>42</v>
      </c>
      <c r="B28" s="1">
        <v>0</v>
      </c>
      <c r="C28" s="1" t="s">
        <v>1034</v>
      </c>
      <c r="D28" s="1">
        <v>20.8</v>
      </c>
      <c r="E28" s="1">
        <v>15.04</v>
      </c>
      <c r="F28" s="1">
        <v>8.33</v>
      </c>
      <c r="G28" s="1">
        <v>1.6026</v>
      </c>
      <c r="H28" s="1">
        <v>0.33829999999999999</v>
      </c>
      <c r="I28" s="1">
        <v>6.2100000000000002E-2</v>
      </c>
      <c r="J28">
        <v>3.2000000000000001E-2</v>
      </c>
      <c r="K28">
        <v>0.84674956555236069</v>
      </c>
      <c r="L28">
        <v>0.33264381273494054</v>
      </c>
      <c r="M28">
        <v>7.4121267817164052</v>
      </c>
      <c r="N28">
        <v>2.3606996059724934</v>
      </c>
      <c r="O28">
        <v>77.876340506083338</v>
      </c>
    </row>
    <row r="29" spans="1:15" x14ac:dyDescent="0.3">
      <c r="A29" s="2" t="s">
        <v>43</v>
      </c>
      <c r="B29" s="1">
        <v>0</v>
      </c>
      <c r="C29" s="1" t="s">
        <v>1034</v>
      </c>
      <c r="D29" s="1">
        <v>21.64</v>
      </c>
      <c r="E29" s="1">
        <v>15.03</v>
      </c>
      <c r="F29" s="1">
        <v>8.9600000000000009</v>
      </c>
      <c r="G29" s="1">
        <v>1.7262</v>
      </c>
      <c r="H29" s="1">
        <v>0.4244</v>
      </c>
      <c r="I29" s="1">
        <v>7.4899999999999994E-2</v>
      </c>
      <c r="J29">
        <v>3.2000000000000001E-2</v>
      </c>
      <c r="K29">
        <v>0.9522981807793347</v>
      </c>
      <c r="L29">
        <v>0.21968835106040993</v>
      </c>
      <c r="M29">
        <v>6.2669799613368227</v>
      </c>
      <c r="N29">
        <v>2.1122021456813971</v>
      </c>
      <c r="O29">
        <v>82.029666164030559</v>
      </c>
    </row>
    <row r="30" spans="1:15" x14ac:dyDescent="0.3">
      <c r="A30" s="3" t="s">
        <v>44</v>
      </c>
      <c r="B30" s="1">
        <v>0</v>
      </c>
      <c r="C30" s="1" t="s">
        <v>1034</v>
      </c>
      <c r="D30" s="1">
        <v>20.5</v>
      </c>
      <c r="E30" s="1">
        <v>14.2</v>
      </c>
      <c r="F30" s="1">
        <v>9.44</v>
      </c>
      <c r="G30" s="1">
        <v>1.7915000000000001</v>
      </c>
      <c r="H30" s="1">
        <v>0.33150000000000002</v>
      </c>
      <c r="I30" s="1">
        <v>5.7599999999999998E-2</v>
      </c>
      <c r="J30">
        <v>3.2000000000000001E-2</v>
      </c>
      <c r="K30">
        <v>0.9397316794270667</v>
      </c>
      <c r="L30">
        <v>0.24580992849989836</v>
      </c>
      <c r="M30">
        <v>5.4166996987688565</v>
      </c>
      <c r="N30">
        <v>2.9659099373067113</v>
      </c>
      <c r="O30">
        <v>69.680993388298901</v>
      </c>
    </row>
    <row r="31" spans="1:15" x14ac:dyDescent="0.3">
      <c r="A31" s="4" t="s">
        <v>45</v>
      </c>
      <c r="B31" s="1">
        <v>0</v>
      </c>
      <c r="C31" s="1" t="s">
        <v>1034</v>
      </c>
      <c r="D31" s="1">
        <v>19.52</v>
      </c>
      <c r="E31" s="1">
        <v>14.34</v>
      </c>
      <c r="F31" s="1">
        <v>8.2799999999999994</v>
      </c>
      <c r="G31" s="1">
        <v>1.3878999999999999</v>
      </c>
      <c r="H31" s="1">
        <v>0.2878</v>
      </c>
      <c r="I31" s="1">
        <v>4.7100000000000003E-2</v>
      </c>
      <c r="J31">
        <v>3.2000000000000001E-2</v>
      </c>
      <c r="K31">
        <v>1.1360848312615337</v>
      </c>
      <c r="L31">
        <v>0.24222678558053909</v>
      </c>
      <c r="M31">
        <v>5.5957028837482188</v>
      </c>
      <c r="N31">
        <v>1.1501916117290325</v>
      </c>
      <c r="O31">
        <v>70.573900014420374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3453-EC57-4C2C-85E3-FD9992815336}">
  <dimension ref="A1:V102"/>
  <sheetViews>
    <sheetView workbookViewId="0">
      <selection activeCell="I1" sqref="I1"/>
    </sheetView>
  </sheetViews>
  <sheetFormatPr defaultRowHeight="14" x14ac:dyDescent="0.3"/>
  <cols>
    <col min="1" max="3" width="8.6640625" style="1"/>
    <col min="4" max="4" width="12.33203125" style="1" customWidth="1"/>
    <col min="5" max="5" width="8.6640625" style="1"/>
    <col min="6" max="6" width="11.58203125" style="1" customWidth="1"/>
    <col min="7" max="7" width="12.33203125" style="1" customWidth="1"/>
    <col min="8" max="9" width="8.6640625" style="1"/>
  </cols>
  <sheetData>
    <row r="1" spans="1:22" x14ac:dyDescent="0.3">
      <c r="A1" s="1" t="s">
        <v>16</v>
      </c>
      <c r="B1" s="1" t="s">
        <v>17</v>
      </c>
      <c r="C1" s="1" t="s">
        <v>1106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t="s">
        <v>46</v>
      </c>
      <c r="K1" t="s">
        <v>1094</v>
      </c>
      <c r="L1" t="s">
        <v>1097</v>
      </c>
      <c r="M1" t="s">
        <v>1098</v>
      </c>
      <c r="N1" t="s">
        <v>1099</v>
      </c>
      <c r="O1" t="s">
        <v>1095</v>
      </c>
      <c r="P1" t="s">
        <v>1102</v>
      </c>
      <c r="Q1" t="s">
        <v>1100</v>
      </c>
      <c r="R1" t="s">
        <v>1101</v>
      </c>
      <c r="S1" t="s">
        <v>1103</v>
      </c>
      <c r="T1" t="s">
        <v>153</v>
      </c>
      <c r="U1" t="s">
        <v>154</v>
      </c>
      <c r="V1" t="s">
        <v>155</v>
      </c>
    </row>
    <row r="2" spans="1:22" x14ac:dyDescent="0.3">
      <c r="A2" s="2" t="s">
        <v>52</v>
      </c>
      <c r="B2" s="1">
        <v>0</v>
      </c>
      <c r="C2" s="1">
        <v>1</v>
      </c>
      <c r="D2" s="1">
        <v>19.75</v>
      </c>
      <c r="E2" s="1">
        <v>7.38</v>
      </c>
      <c r="F2" s="1">
        <v>13.51</v>
      </c>
      <c r="G2" s="1">
        <v>1.4057999999999999</v>
      </c>
      <c r="H2" s="1">
        <v>0.35349999999999998</v>
      </c>
      <c r="I2" s="1">
        <v>6.9099999999999995E-2</v>
      </c>
      <c r="J2">
        <v>3.2000000000000001E-2</v>
      </c>
      <c r="K2">
        <v>1.1766819685953001</v>
      </c>
      <c r="L2">
        <v>1.1448283957884799</v>
      </c>
      <c r="M2">
        <v>1.1421038538553701</v>
      </c>
      <c r="N2">
        <v>17.308891333143201</v>
      </c>
      <c r="O2">
        <v>17.526158006936601</v>
      </c>
      <c r="P2">
        <v>17.49734294687201</v>
      </c>
      <c r="Q2">
        <v>6.2341905753844697</v>
      </c>
      <c r="R2">
        <v>6.0165908899819698</v>
      </c>
      <c r="S2">
        <v>6.0688857054543197</v>
      </c>
      <c r="T2">
        <v>-3.6249419270968311E-4</v>
      </c>
      <c r="U2">
        <v>2.6905763247509935E-2</v>
      </c>
      <c r="V2">
        <v>-2.7822890871716604E-3</v>
      </c>
    </row>
    <row r="3" spans="1:22" x14ac:dyDescent="0.3">
      <c r="A3" s="3" t="s">
        <v>53</v>
      </c>
      <c r="B3" s="1">
        <v>0</v>
      </c>
      <c r="C3" s="1">
        <v>1</v>
      </c>
      <c r="D3" s="1">
        <v>18.75</v>
      </c>
      <c r="E3" s="1">
        <v>7.61</v>
      </c>
      <c r="F3" s="1">
        <v>13.66</v>
      </c>
      <c r="G3" s="1">
        <v>1.5346</v>
      </c>
      <c r="H3" s="1">
        <v>0.28289999999999998</v>
      </c>
      <c r="I3" s="1">
        <v>5.6399999999999999E-2</v>
      </c>
      <c r="J3">
        <v>3.2000000000000001E-2</v>
      </c>
      <c r="K3">
        <v>1.1669087529059601</v>
      </c>
      <c r="L3">
        <v>1.13823310777405</v>
      </c>
      <c r="M3">
        <v>1.0716245401650499</v>
      </c>
      <c r="N3">
        <v>14.3283379068532</v>
      </c>
      <c r="O3">
        <v>14.471125336017399</v>
      </c>
      <c r="P3">
        <v>14.445852349036308</v>
      </c>
      <c r="Q3">
        <v>3.8591810282669501</v>
      </c>
      <c r="R3">
        <v>3.5944103037847399</v>
      </c>
      <c r="S3">
        <v>3.7720139724369672</v>
      </c>
      <c r="T3">
        <v>-1.085766892145572E-2</v>
      </c>
      <c r="U3">
        <v>2.0555859588682064E-2</v>
      </c>
      <c r="V3">
        <v>-1.7974959683067955E-3</v>
      </c>
    </row>
    <row r="4" spans="1:22" x14ac:dyDescent="0.3">
      <c r="A4" s="2" t="s">
        <v>54</v>
      </c>
      <c r="B4" s="1">
        <v>0</v>
      </c>
      <c r="C4" s="1">
        <v>1</v>
      </c>
      <c r="D4" s="1">
        <v>19.059999999999999</v>
      </c>
      <c r="E4" s="1">
        <v>7.52</v>
      </c>
      <c r="F4" s="1">
        <v>12.91</v>
      </c>
      <c r="G4" s="1">
        <v>1.4174</v>
      </c>
      <c r="H4" s="1">
        <v>0.35060000000000002</v>
      </c>
      <c r="I4" s="1">
        <v>7.2300000000000003E-2</v>
      </c>
      <c r="J4">
        <v>3.2000000000000001E-2</v>
      </c>
      <c r="K4">
        <v>1.2344094295502099</v>
      </c>
      <c r="L4">
        <v>1.22638885135461</v>
      </c>
      <c r="M4">
        <v>1.21494672246354</v>
      </c>
      <c r="N4">
        <v>14.5088501168267</v>
      </c>
      <c r="O4">
        <v>14.611173194690201</v>
      </c>
      <c r="P4">
        <v>14.630660749607177</v>
      </c>
      <c r="Q4">
        <v>5.4288210484557302</v>
      </c>
      <c r="R4">
        <v>5.1405185025279998</v>
      </c>
      <c r="S4">
        <v>5.2900128359615364</v>
      </c>
      <c r="T4">
        <v>-1.4549703481734587E-3</v>
      </c>
      <c r="U4">
        <v>1.6621507313403495E-2</v>
      </c>
      <c r="V4">
        <v>-2.2329115277904175E-3</v>
      </c>
    </row>
    <row r="5" spans="1:22" x14ac:dyDescent="0.3">
      <c r="A5" s="3" t="s">
        <v>55</v>
      </c>
      <c r="B5" s="1">
        <v>0</v>
      </c>
      <c r="C5" s="1">
        <v>1</v>
      </c>
      <c r="D5" s="1">
        <v>21.12</v>
      </c>
      <c r="E5" s="1">
        <v>8.6199999999999992</v>
      </c>
      <c r="F5" s="1">
        <v>14.92</v>
      </c>
      <c r="G5" s="1">
        <v>1.9806999999999999</v>
      </c>
      <c r="H5" s="1">
        <v>0.34179999999999999</v>
      </c>
      <c r="I5" s="1">
        <v>6.7000000000000004E-2</v>
      </c>
      <c r="J5">
        <v>3.2000000000000001E-2</v>
      </c>
      <c r="K5">
        <v>1.34577242653195</v>
      </c>
      <c r="L5">
        <v>1.2753343183286701</v>
      </c>
      <c r="M5">
        <v>1.23986483469204</v>
      </c>
      <c r="N5">
        <v>14.031610731991201</v>
      </c>
      <c r="O5">
        <v>14.0258253331737</v>
      </c>
      <c r="P5">
        <v>14.142063067412593</v>
      </c>
      <c r="Q5">
        <v>4.8735118282643599</v>
      </c>
      <c r="R5">
        <v>4.8990767023847699</v>
      </c>
      <c r="S5">
        <v>4.752973289114462</v>
      </c>
      <c r="T5">
        <v>-4.8670484292794337E-3</v>
      </c>
      <c r="U5">
        <v>1.6263859109452078E-2</v>
      </c>
      <c r="V5">
        <v>-2.0924051130283166E-3</v>
      </c>
    </row>
    <row r="6" spans="1:22" x14ac:dyDescent="0.3">
      <c r="A6" s="2" t="s">
        <v>56</v>
      </c>
      <c r="B6" s="1">
        <v>0</v>
      </c>
      <c r="C6" s="1">
        <v>1</v>
      </c>
      <c r="D6" s="1">
        <v>21.05</v>
      </c>
      <c r="E6" s="1">
        <v>8.57</v>
      </c>
      <c r="F6" s="1">
        <v>14.51</v>
      </c>
      <c r="G6" s="1">
        <v>1.7843</v>
      </c>
      <c r="H6" s="1">
        <v>0.41560000000000002</v>
      </c>
      <c r="I6" s="1">
        <v>7.7799999999999994E-2</v>
      </c>
      <c r="J6">
        <v>3.2000000000000001E-2</v>
      </c>
      <c r="K6">
        <v>1.5069201016803999</v>
      </c>
      <c r="L6">
        <v>1.4333604010335499</v>
      </c>
      <c r="M6">
        <v>1.4609719708489599</v>
      </c>
      <c r="N6">
        <v>13.3291242961604</v>
      </c>
      <c r="O6">
        <v>13.1746036770032</v>
      </c>
      <c r="P6">
        <v>13.422857454409018</v>
      </c>
      <c r="Q6">
        <v>6.15274977959879</v>
      </c>
      <c r="R6">
        <v>5.9655831536894803</v>
      </c>
      <c r="S6">
        <v>5.9901243118499892</v>
      </c>
      <c r="T6">
        <v>3.2628499775700977E-3</v>
      </c>
      <c r="U6">
        <v>1.1886039151896741E-2</v>
      </c>
      <c r="V6">
        <v>-2.4311044217296316E-3</v>
      </c>
    </row>
    <row r="7" spans="1:22" x14ac:dyDescent="0.3">
      <c r="A7" s="3" t="s">
        <v>57</v>
      </c>
      <c r="B7" s="1">
        <v>0</v>
      </c>
      <c r="C7" s="1">
        <v>1</v>
      </c>
      <c r="D7" s="1">
        <v>21.32</v>
      </c>
      <c r="E7" s="1">
        <v>9.15</v>
      </c>
      <c r="F7" s="1">
        <v>15.38</v>
      </c>
      <c r="G7" s="1">
        <v>2.1873999999999998</v>
      </c>
      <c r="H7" s="1">
        <v>0.45669999999999999</v>
      </c>
      <c r="I7" s="1">
        <v>8.9599999999999999E-2</v>
      </c>
      <c r="J7">
        <v>3.2000000000000001E-2</v>
      </c>
      <c r="K7">
        <v>1.80701978453923</v>
      </c>
      <c r="L7">
        <v>1.6920617796845101</v>
      </c>
      <c r="M7">
        <v>1.7155364255241901</v>
      </c>
      <c r="N7">
        <v>15.8978605234183</v>
      </c>
      <c r="O7">
        <v>16.416024023153</v>
      </c>
      <c r="P7">
        <v>16.052729603875655</v>
      </c>
      <c r="Q7">
        <v>4.1456172101493198</v>
      </c>
      <c r="R7">
        <v>4.1074753247031799</v>
      </c>
      <c r="S7">
        <v>4.0490264039354065</v>
      </c>
      <c r="T7">
        <v>2.4086663391928755E-3</v>
      </c>
      <c r="U7">
        <v>1.7052191966072258E-2</v>
      </c>
      <c r="V7">
        <v>-1.2537831613731005E-3</v>
      </c>
    </row>
    <row r="8" spans="1:22" x14ac:dyDescent="0.3">
      <c r="A8" s="2" t="s">
        <v>58</v>
      </c>
      <c r="B8" s="1">
        <v>0</v>
      </c>
      <c r="C8" s="1">
        <v>1</v>
      </c>
      <c r="D8" s="1">
        <v>22.67</v>
      </c>
      <c r="E8" s="1">
        <v>8.8800000000000008</v>
      </c>
      <c r="F8" s="1">
        <v>14.82</v>
      </c>
      <c r="G8" s="1">
        <v>2.109</v>
      </c>
      <c r="H8" s="1">
        <v>0.48139999999999999</v>
      </c>
      <c r="I8" s="1">
        <v>9.98E-2</v>
      </c>
      <c r="J8">
        <v>3.2000000000000001E-2</v>
      </c>
      <c r="K8">
        <v>1.5563521761647601</v>
      </c>
      <c r="L8">
        <v>1.5540351603291001</v>
      </c>
      <c r="M8">
        <v>1.56108704171285</v>
      </c>
      <c r="N8">
        <v>16.652856096161099</v>
      </c>
      <c r="O8">
        <v>16.906333192781201</v>
      </c>
      <c r="P8">
        <v>16.825694071249732</v>
      </c>
      <c r="Q8">
        <v>5.5953224971729503</v>
      </c>
      <c r="R8">
        <v>5.6300264879953703</v>
      </c>
      <c r="S8">
        <v>5.4510363870159599</v>
      </c>
      <c r="T8">
        <v>6.496210089142597E-4</v>
      </c>
      <c r="U8">
        <v>1.7085674619583376E-2</v>
      </c>
      <c r="V8">
        <v>-1.6814681117934475E-3</v>
      </c>
    </row>
    <row r="9" spans="1:22" x14ac:dyDescent="0.3">
      <c r="A9" s="3" t="s">
        <v>59</v>
      </c>
      <c r="B9" s="1">
        <v>0</v>
      </c>
      <c r="C9" s="1">
        <v>1</v>
      </c>
      <c r="D9" s="1">
        <v>21.91</v>
      </c>
      <c r="E9" s="1">
        <v>8.74</v>
      </c>
      <c r="F9" s="1">
        <v>14.69</v>
      </c>
      <c r="G9" s="1">
        <v>1.8709</v>
      </c>
      <c r="H9" s="1">
        <v>0.42680000000000001</v>
      </c>
      <c r="I9" s="1">
        <v>8.1600000000000006E-2</v>
      </c>
      <c r="J9">
        <v>3.2000000000000001E-2</v>
      </c>
      <c r="K9">
        <v>1.6467100878298999</v>
      </c>
      <c r="L9">
        <v>1.6274048420604901</v>
      </c>
      <c r="M9">
        <v>1.66213238081134</v>
      </c>
      <c r="N9">
        <v>16.346765267401</v>
      </c>
      <c r="O9">
        <v>16.5948590338385</v>
      </c>
      <c r="P9">
        <v>16.512318280765143</v>
      </c>
      <c r="Q9">
        <v>5.3137380151183304</v>
      </c>
      <c r="R9">
        <v>5.11294054073152</v>
      </c>
      <c r="S9">
        <v>5.1787160344209369</v>
      </c>
      <c r="T9">
        <v>3.9126360325957531E-3</v>
      </c>
      <c r="U9">
        <v>2.0015683929476551E-2</v>
      </c>
      <c r="V9">
        <v>-1.924460348410498E-3</v>
      </c>
    </row>
    <row r="10" spans="1:22" x14ac:dyDescent="0.3">
      <c r="A10" s="2" t="s">
        <v>60</v>
      </c>
      <c r="B10" s="1">
        <v>0</v>
      </c>
      <c r="C10" s="1">
        <v>1</v>
      </c>
      <c r="D10" s="1">
        <v>22.08</v>
      </c>
      <c r="E10" s="1">
        <v>8.94</v>
      </c>
      <c r="F10" s="1">
        <v>14.92</v>
      </c>
      <c r="G10" s="1">
        <v>2.0566</v>
      </c>
      <c r="H10" s="1">
        <v>0.44040000000000001</v>
      </c>
      <c r="I10" s="1">
        <v>8.9399999999999993E-2</v>
      </c>
      <c r="J10">
        <v>3.2000000000000001E-2</v>
      </c>
      <c r="K10">
        <v>1.43191689556237</v>
      </c>
      <c r="L10">
        <v>1.3936246119948099</v>
      </c>
      <c r="M10">
        <v>1.33270256053092</v>
      </c>
      <c r="N10">
        <v>18.222639690735999</v>
      </c>
      <c r="O10">
        <v>18.389692190088901</v>
      </c>
      <c r="P10">
        <v>18.432838515375515</v>
      </c>
      <c r="Q10">
        <v>4.6255411622930103</v>
      </c>
      <c r="R10">
        <v>4.6954846057621502</v>
      </c>
      <c r="S10">
        <v>4.5131608580535696</v>
      </c>
      <c r="T10">
        <v>-6.2650220619509932E-3</v>
      </c>
      <c r="U10">
        <v>2.3196169176326713E-2</v>
      </c>
      <c r="V10">
        <v>-1.461999877434442E-3</v>
      </c>
    </row>
    <row r="11" spans="1:22" x14ac:dyDescent="0.3">
      <c r="A11" s="3" t="s">
        <v>61</v>
      </c>
      <c r="B11" s="1">
        <v>0</v>
      </c>
      <c r="C11" s="1">
        <v>1</v>
      </c>
      <c r="D11" s="1">
        <v>22.63</v>
      </c>
      <c r="E11" s="1">
        <v>9.41</v>
      </c>
      <c r="F11" s="1">
        <v>15.24</v>
      </c>
      <c r="G11" s="1">
        <v>2.2589000000000001</v>
      </c>
      <c r="H11" s="1">
        <v>0.4365</v>
      </c>
      <c r="I11" s="1">
        <v>8.6699999999999999E-2</v>
      </c>
      <c r="J11">
        <v>3.2000000000000001E-2</v>
      </c>
      <c r="K11">
        <v>1.9620859911547599</v>
      </c>
      <c r="L11">
        <v>1.94195448400085</v>
      </c>
      <c r="M11">
        <v>1.9214369300848</v>
      </c>
      <c r="N11">
        <v>21.725607994335</v>
      </c>
      <c r="O11">
        <v>21.868412350110201</v>
      </c>
      <c r="P11">
        <v>22.019177464600173</v>
      </c>
      <c r="Q11">
        <v>4.9441793187057499</v>
      </c>
      <c r="R11">
        <v>4.7260384255950898</v>
      </c>
      <c r="S11">
        <v>4.82131581912033</v>
      </c>
      <c r="T11">
        <v>-2.1756653250587961E-3</v>
      </c>
      <c r="U11">
        <v>3.3405293723737996E-2</v>
      </c>
      <c r="V11">
        <v>-1.6481564539541722E-3</v>
      </c>
    </row>
    <row r="12" spans="1:22" x14ac:dyDescent="0.3">
      <c r="A12" s="2" t="s">
        <v>151</v>
      </c>
      <c r="B12" s="1">
        <f>3/24</f>
        <v>0.125</v>
      </c>
      <c r="C12" s="1">
        <v>1</v>
      </c>
      <c r="D12" s="1">
        <v>22.29</v>
      </c>
      <c r="E12" s="1">
        <v>9.36</v>
      </c>
      <c r="F12" s="1">
        <v>15.16</v>
      </c>
      <c r="G12" s="1">
        <v>2.0790000000000002</v>
      </c>
      <c r="H12" s="1">
        <v>0.38450000000000001</v>
      </c>
      <c r="I12" s="1">
        <v>5.67E-2</v>
      </c>
      <c r="J12">
        <v>3.2000000000000001E-2</v>
      </c>
      <c r="K12">
        <v>1.2066079156633001</v>
      </c>
      <c r="L12">
        <v>1.2244864723098301</v>
      </c>
      <c r="M12">
        <v>1.38070559485528</v>
      </c>
      <c r="N12">
        <v>14.979370636394099</v>
      </c>
      <c r="O12">
        <v>28.025589247320902</v>
      </c>
      <c r="Q12">
        <v>5.5223269979500103</v>
      </c>
      <c r="R12">
        <v>6.19512394013171</v>
      </c>
      <c r="T12">
        <v>2.5330090388604024E-2</v>
      </c>
      <c r="U12">
        <v>2.2699960198934654</v>
      </c>
      <c r="V12">
        <v>1.3800524790740815E-2</v>
      </c>
    </row>
    <row r="13" spans="1:22" x14ac:dyDescent="0.3">
      <c r="A13" s="3" t="s">
        <v>62</v>
      </c>
      <c r="B13" s="1">
        <f t="shared" ref="B13:B17" si="0">3/24</f>
        <v>0.125</v>
      </c>
      <c r="C13" s="1">
        <v>1</v>
      </c>
      <c r="D13" s="1">
        <v>21.46</v>
      </c>
      <c r="E13" s="1">
        <v>8.99</v>
      </c>
      <c r="F13" s="1">
        <v>14.2</v>
      </c>
      <c r="G13" s="1">
        <v>1.7218</v>
      </c>
      <c r="H13" s="1">
        <v>0.38329999999999997</v>
      </c>
      <c r="I13" s="1">
        <v>6.2600000000000003E-2</v>
      </c>
      <c r="J13">
        <v>3.2000000000000001E-2</v>
      </c>
      <c r="K13">
        <v>1.26634637095084</v>
      </c>
      <c r="L13">
        <v>1.28037749799301</v>
      </c>
      <c r="M13">
        <v>1.47179226633007</v>
      </c>
      <c r="N13">
        <v>20.250835048222701</v>
      </c>
      <c r="O13">
        <v>34.439004400645601</v>
      </c>
      <c r="Q13">
        <v>7.8297673230232796</v>
      </c>
      <c r="R13">
        <v>8.7165465888631299</v>
      </c>
      <c r="T13">
        <v>2.8111674347980738E-2</v>
      </c>
      <c r="U13">
        <v>2.2360192262502139</v>
      </c>
      <c r="V13">
        <v>1.6475395484702549E-2</v>
      </c>
    </row>
    <row r="14" spans="1:22" x14ac:dyDescent="0.3">
      <c r="A14" s="2" t="s">
        <v>63</v>
      </c>
      <c r="B14" s="1">
        <f t="shared" si="0"/>
        <v>0.125</v>
      </c>
      <c r="C14" s="1">
        <v>2</v>
      </c>
      <c r="D14" s="1">
        <v>20.59</v>
      </c>
      <c r="E14" s="1">
        <v>9.11</v>
      </c>
      <c r="F14" s="1">
        <v>14.15</v>
      </c>
      <c r="H14" s="1">
        <v>0.31459999999999999</v>
      </c>
      <c r="I14" s="1">
        <v>7.9600000000000004E-2</v>
      </c>
      <c r="J14">
        <v>3.2000000000000001E-2</v>
      </c>
      <c r="K14">
        <v>0.889257894484342</v>
      </c>
      <c r="L14">
        <v>0.82860020583927596</v>
      </c>
      <c r="M14">
        <v>0.95615465097507402</v>
      </c>
      <c r="N14">
        <v>13.172404534176</v>
      </c>
      <c r="O14">
        <v>28.422035982685401</v>
      </c>
      <c r="Q14">
        <v>2.6218120413556099</v>
      </c>
      <c r="R14">
        <v>3.4446966335929798</v>
      </c>
      <c r="T14">
        <v>1.4732217924629056E-2</v>
      </c>
      <c r="U14">
        <v>1.8900347238494266</v>
      </c>
      <c r="V14">
        <v>1.2023212263263201E-2</v>
      </c>
    </row>
    <row r="15" spans="1:22" x14ac:dyDescent="0.3">
      <c r="A15" s="3" t="s">
        <v>64</v>
      </c>
      <c r="B15" s="1">
        <f t="shared" si="0"/>
        <v>0.125</v>
      </c>
      <c r="C15" s="1">
        <v>2</v>
      </c>
      <c r="D15" s="1">
        <v>22.44</v>
      </c>
      <c r="E15" s="1">
        <v>9</v>
      </c>
      <c r="F15" s="1">
        <v>15.19</v>
      </c>
      <c r="G15" s="1">
        <v>1.8379000000000001</v>
      </c>
      <c r="H15" s="1">
        <v>0.41399999999999998</v>
      </c>
      <c r="I15" s="1">
        <v>8.1500000000000003E-2</v>
      </c>
      <c r="J15">
        <v>3.2000000000000001E-2</v>
      </c>
      <c r="K15">
        <v>1.8777250315035301</v>
      </c>
      <c r="L15">
        <v>1.8935494302346001</v>
      </c>
      <c r="M15">
        <v>1.99304406140111</v>
      </c>
      <c r="N15">
        <v>16.839416677750901</v>
      </c>
      <c r="O15">
        <v>31.009762147816801</v>
      </c>
      <c r="Q15">
        <v>6.0471329529832403</v>
      </c>
      <c r="R15">
        <v>7.1008113428875301</v>
      </c>
      <c r="T15">
        <v>1.1223482712790497E-2</v>
      </c>
      <c r="U15">
        <v>1.7153246658832166</v>
      </c>
      <c r="V15">
        <v>1.5036443123856262E-2</v>
      </c>
    </row>
    <row r="16" spans="1:22" x14ac:dyDescent="0.3">
      <c r="A16" s="2" t="s">
        <v>65</v>
      </c>
      <c r="B16" s="1">
        <f t="shared" si="0"/>
        <v>0.125</v>
      </c>
      <c r="C16" s="1">
        <v>3</v>
      </c>
      <c r="D16" s="1">
        <v>20.46</v>
      </c>
      <c r="E16" s="1">
        <v>9.2899999999999991</v>
      </c>
      <c r="F16" s="1">
        <v>14.33</v>
      </c>
      <c r="G16" s="1">
        <v>1.7018</v>
      </c>
      <c r="H16" s="1">
        <v>0.40350000000000003</v>
      </c>
      <c r="I16" s="1">
        <v>8.2000000000000003E-2</v>
      </c>
      <c r="J16">
        <v>3.2000000000000001E-2</v>
      </c>
      <c r="K16">
        <v>1.5861131275465199</v>
      </c>
      <c r="L16">
        <v>1.64183333088693</v>
      </c>
      <c r="M16">
        <v>1.62403613010102</v>
      </c>
      <c r="N16">
        <v>15.1876784717305</v>
      </c>
      <c r="O16">
        <v>15.733820638146399</v>
      </c>
      <c r="Q16">
        <v>4.8876930149940803</v>
      </c>
      <c r="R16">
        <v>5.00653463375376</v>
      </c>
      <c r="T16">
        <v>-1.9953700627480708E-3</v>
      </c>
      <c r="U16">
        <v>6.570756289015485E-2</v>
      </c>
      <c r="V16">
        <v>1.6855799546616815E-3</v>
      </c>
    </row>
    <row r="17" spans="1:22" x14ac:dyDescent="0.3">
      <c r="A17" s="3" t="s">
        <v>66</v>
      </c>
      <c r="B17" s="1">
        <f t="shared" si="0"/>
        <v>0.125</v>
      </c>
      <c r="C17" s="1">
        <v>3</v>
      </c>
      <c r="D17" s="1">
        <v>22.8</v>
      </c>
      <c r="E17" s="1">
        <v>9.31</v>
      </c>
      <c r="F17" s="1">
        <v>16.34</v>
      </c>
      <c r="G17" s="1">
        <v>2.1183999999999998</v>
      </c>
      <c r="H17" s="1">
        <v>0.41149999999999998</v>
      </c>
      <c r="I17" s="1">
        <v>7.4700000000000003E-2</v>
      </c>
      <c r="J17">
        <v>3.2000000000000001E-2</v>
      </c>
      <c r="K17">
        <v>1.9502091382095901</v>
      </c>
      <c r="L17">
        <v>1.8965459259091699</v>
      </c>
      <c r="M17">
        <v>1.9363611553762199</v>
      </c>
      <c r="N17">
        <v>13.0745328139022</v>
      </c>
      <c r="O17">
        <v>13.2476486033474</v>
      </c>
      <c r="Q17">
        <v>3.4481536090367602</v>
      </c>
      <c r="R17">
        <v>3.4397168978932702</v>
      </c>
      <c r="T17">
        <v>4.9002047339795247E-3</v>
      </c>
      <c r="U17">
        <v>2.2863335105094581E-2</v>
      </c>
      <c r="V17">
        <v>-1.3135518779550993E-4</v>
      </c>
    </row>
    <row r="18" spans="1:22" x14ac:dyDescent="0.3">
      <c r="A18" s="3" t="s">
        <v>67</v>
      </c>
      <c r="B18" s="1">
        <f>7/24</f>
        <v>0.29166666666666669</v>
      </c>
      <c r="C18" s="1">
        <v>1</v>
      </c>
      <c r="D18" s="1">
        <v>20.28</v>
      </c>
      <c r="E18" s="1">
        <v>8.75</v>
      </c>
      <c r="F18" s="1">
        <v>14.23</v>
      </c>
      <c r="G18" s="1">
        <v>1.5682</v>
      </c>
      <c r="H18" s="1">
        <v>0.30919999999999997</v>
      </c>
      <c r="I18" s="1">
        <v>7.3999999999999996E-2</v>
      </c>
      <c r="J18">
        <v>3.2000000000000001E-2</v>
      </c>
      <c r="K18">
        <v>1.52186095059698</v>
      </c>
      <c r="L18">
        <v>1.4992622631961401</v>
      </c>
      <c r="M18">
        <v>1.5433421114360499</v>
      </c>
      <c r="N18">
        <v>16.109643776778</v>
      </c>
      <c r="O18">
        <v>23.410921636945702</v>
      </c>
      <c r="Q18">
        <v>7.4199341780446399</v>
      </c>
      <c r="R18">
        <v>7.9700062930283</v>
      </c>
      <c r="T18">
        <v>5.476385037546422E-3</v>
      </c>
      <c r="U18">
        <v>0.97339847104419575</v>
      </c>
      <c r="V18">
        <v>8.6453496298729195E-3</v>
      </c>
    </row>
    <row r="19" spans="1:22" x14ac:dyDescent="0.3">
      <c r="A19" s="2" t="s">
        <v>68</v>
      </c>
      <c r="B19" s="1">
        <f t="shared" ref="B19:B23" si="1">7/24</f>
        <v>0.29166666666666669</v>
      </c>
      <c r="C19" s="1">
        <v>1</v>
      </c>
      <c r="D19" s="1">
        <v>22.89</v>
      </c>
      <c r="E19" s="1">
        <v>9.48</v>
      </c>
      <c r="F19" s="1">
        <v>16.07</v>
      </c>
      <c r="G19" s="1">
        <v>2.081</v>
      </c>
      <c r="H19" s="1">
        <v>0.4415</v>
      </c>
      <c r="I19" s="1">
        <v>9.1700000000000004E-2</v>
      </c>
      <c r="J19">
        <v>3.2000000000000001E-2</v>
      </c>
      <c r="K19">
        <v>1.5991604746054</v>
      </c>
      <c r="L19">
        <v>1.61724167673056</v>
      </c>
      <c r="M19">
        <v>1.9657165736015501</v>
      </c>
      <c r="N19">
        <v>20.2562513147838</v>
      </c>
      <c r="O19">
        <v>43.084803613822203</v>
      </c>
      <c r="Q19">
        <v>7.7988459096573202</v>
      </c>
      <c r="R19">
        <v>9.2662759328881794</v>
      </c>
      <c r="T19">
        <v>3.4937173520972024E-2</v>
      </c>
      <c r="U19">
        <v>2.4560236157185744</v>
      </c>
      <c r="V19">
        <v>1.8611557406962038E-2</v>
      </c>
    </row>
    <row r="20" spans="1:22" x14ac:dyDescent="0.3">
      <c r="A20" s="3" t="s">
        <v>69</v>
      </c>
      <c r="B20" s="1">
        <f t="shared" si="1"/>
        <v>0.29166666666666669</v>
      </c>
      <c r="C20" s="1">
        <v>2</v>
      </c>
      <c r="D20" s="1">
        <v>20.99</v>
      </c>
      <c r="E20" s="1">
        <v>8.83</v>
      </c>
      <c r="F20" s="1">
        <v>14.74</v>
      </c>
      <c r="G20" s="1">
        <v>1.6735</v>
      </c>
      <c r="H20" s="1">
        <v>0.4047</v>
      </c>
      <c r="I20" s="1">
        <v>7.6600000000000001E-2</v>
      </c>
      <c r="J20">
        <v>3.2000000000000001E-2</v>
      </c>
      <c r="K20">
        <v>1.1753847108245099</v>
      </c>
      <c r="L20">
        <v>1.06701572956976</v>
      </c>
      <c r="M20">
        <v>1.48148124453459</v>
      </c>
      <c r="N20">
        <v>17.021479645338999</v>
      </c>
      <c r="O20">
        <v>39.7591087507111</v>
      </c>
      <c r="Q20">
        <v>4.1946190193663497</v>
      </c>
      <c r="R20">
        <v>7.3758093871924704</v>
      </c>
      <c r="T20">
        <v>4.974451903891202E-2</v>
      </c>
      <c r="U20">
        <v>2.9284641475451569</v>
      </c>
      <c r="V20">
        <v>4.8300935318492055E-2</v>
      </c>
    </row>
    <row r="21" spans="1:22" x14ac:dyDescent="0.3">
      <c r="A21" s="2" t="s">
        <v>70</v>
      </c>
      <c r="B21" s="1">
        <f t="shared" si="1"/>
        <v>0.29166666666666669</v>
      </c>
      <c r="C21" s="1">
        <v>2</v>
      </c>
      <c r="D21" s="1">
        <v>22.86</v>
      </c>
      <c r="E21" s="1">
        <v>8.99</v>
      </c>
      <c r="F21" s="1">
        <v>15.37</v>
      </c>
      <c r="G21" s="1">
        <v>1.8768</v>
      </c>
      <c r="H21" s="1">
        <v>0.40379999999999999</v>
      </c>
      <c r="I21" s="1">
        <v>7.6999999999999999E-2</v>
      </c>
      <c r="J21">
        <v>3.2000000000000001E-2</v>
      </c>
      <c r="K21">
        <v>1.81663120882039</v>
      </c>
      <c r="L21">
        <v>1.7976925582296299</v>
      </c>
      <c r="M21">
        <v>2.0899574323703498</v>
      </c>
      <c r="N21">
        <v>16.859427429823299</v>
      </c>
      <c r="O21">
        <v>33.371335458378702</v>
      </c>
      <c r="Q21">
        <v>4.2463412024454303</v>
      </c>
      <c r="R21">
        <v>6.1026960413349203</v>
      </c>
      <c r="T21">
        <v>3.4895666842858733E-2</v>
      </c>
      <c r="U21">
        <v>2.1155828551495612</v>
      </c>
      <c r="V21">
        <v>2.8039154958727698E-2</v>
      </c>
    </row>
    <row r="22" spans="1:22" x14ac:dyDescent="0.3">
      <c r="A22" s="3" t="s">
        <v>71</v>
      </c>
      <c r="B22" s="1">
        <f t="shared" si="1"/>
        <v>0.29166666666666669</v>
      </c>
      <c r="C22" s="1">
        <v>3</v>
      </c>
      <c r="D22" s="1">
        <v>22.33</v>
      </c>
      <c r="E22" s="1">
        <v>9.15</v>
      </c>
      <c r="F22" s="1">
        <v>15.73</v>
      </c>
      <c r="G22" s="1">
        <v>2.0108999999999999</v>
      </c>
      <c r="H22" s="1">
        <v>0.54300000000000004</v>
      </c>
      <c r="I22" s="1">
        <v>0.1052</v>
      </c>
      <c r="J22">
        <v>0.04</v>
      </c>
      <c r="K22">
        <v>1.2503337488272701</v>
      </c>
      <c r="L22">
        <v>1.2909803063629</v>
      </c>
      <c r="M22">
        <v>1.3484719479200999</v>
      </c>
      <c r="N22">
        <v>21.7629866896987</v>
      </c>
      <c r="O22">
        <v>26.144624069094402</v>
      </c>
      <c r="Q22">
        <v>2.60043535213897</v>
      </c>
      <c r="R22">
        <v>3.1547116006834299</v>
      </c>
      <c r="T22">
        <v>6.2803606917808197E-3</v>
      </c>
      <c r="U22">
        <v>0.51363452626148098</v>
      </c>
      <c r="V22">
        <v>7.659760552603952E-3</v>
      </c>
    </row>
    <row r="23" spans="1:22" x14ac:dyDescent="0.3">
      <c r="A23" s="2" t="s">
        <v>72</v>
      </c>
      <c r="B23" s="1">
        <f t="shared" si="1"/>
        <v>0.29166666666666669</v>
      </c>
      <c r="C23" s="1">
        <v>3</v>
      </c>
      <c r="D23" s="1">
        <v>21.22</v>
      </c>
      <c r="E23" s="1">
        <v>8.7200000000000006</v>
      </c>
      <c r="F23" s="1">
        <v>14.75</v>
      </c>
      <c r="G23" s="1">
        <v>1.5781000000000001</v>
      </c>
      <c r="H23" s="1">
        <v>0.34189999999999998</v>
      </c>
      <c r="I23" s="1">
        <v>6.2700000000000006E-2</v>
      </c>
      <c r="J23">
        <v>3.2000000000000001E-2</v>
      </c>
      <c r="K23">
        <v>1.1116426290099599</v>
      </c>
      <c r="L23">
        <v>1.14728297965292</v>
      </c>
      <c r="M23">
        <v>1.2747209872989</v>
      </c>
      <c r="N23">
        <v>13.9831063398541</v>
      </c>
      <c r="O23">
        <v>25.976438940467801</v>
      </c>
      <c r="Q23">
        <v>4.8592871781588904</v>
      </c>
      <c r="R23">
        <v>5.6328878748189402</v>
      </c>
      <c r="T23">
        <v>1.868602977821502E-2</v>
      </c>
      <c r="U23">
        <v>1.8871040208072494</v>
      </c>
      <c r="V23">
        <v>1.4349737707232923E-2</v>
      </c>
    </row>
    <row r="24" spans="1:22" x14ac:dyDescent="0.3">
      <c r="A24" s="3" t="s">
        <v>73</v>
      </c>
      <c r="B24" s="1">
        <v>0.5</v>
      </c>
      <c r="C24" s="1">
        <v>1</v>
      </c>
      <c r="D24" s="1">
        <v>21.69</v>
      </c>
      <c r="E24" s="1">
        <v>9.07</v>
      </c>
      <c r="F24" s="1">
        <v>15.28</v>
      </c>
      <c r="G24" s="1">
        <v>1.7905</v>
      </c>
      <c r="H24" s="1">
        <v>0.40600000000000003</v>
      </c>
      <c r="I24" s="1">
        <v>7.4899999999999994E-2</v>
      </c>
      <c r="J24">
        <v>3.2000000000000001E-2</v>
      </c>
      <c r="K24">
        <v>1.2008075676283101</v>
      </c>
      <c r="L24">
        <v>1.1380248770013199</v>
      </c>
      <c r="M24">
        <v>1.36257284534374</v>
      </c>
      <c r="N24">
        <v>18.8968627631948</v>
      </c>
      <c r="O24">
        <v>35.422819775042697</v>
      </c>
      <c r="Q24">
        <v>6.07318680416126</v>
      </c>
      <c r="R24">
        <v>7.4757114583531896</v>
      </c>
      <c r="T24">
        <v>2.7562138875205252E-2</v>
      </c>
      <c r="U24">
        <v>2.1767487516166439</v>
      </c>
      <c r="V24">
        <v>2.1778268008162644E-2</v>
      </c>
    </row>
    <row r="25" spans="1:22" x14ac:dyDescent="0.3">
      <c r="A25" s="2" t="s">
        <v>74</v>
      </c>
      <c r="B25" s="1">
        <v>0.5</v>
      </c>
      <c r="C25" s="1">
        <v>1</v>
      </c>
      <c r="D25" s="1">
        <v>21</v>
      </c>
      <c r="E25" s="1">
        <v>9.0399999999999991</v>
      </c>
      <c r="F25" s="1">
        <v>14.84</v>
      </c>
      <c r="G25" s="1">
        <v>1.8065</v>
      </c>
      <c r="H25" s="1">
        <v>0.40089999999999998</v>
      </c>
      <c r="I25" s="1">
        <v>7.7200000000000005E-2</v>
      </c>
      <c r="J25">
        <v>3.2000000000000001E-2</v>
      </c>
      <c r="K25">
        <v>1.6917770042859801</v>
      </c>
      <c r="L25">
        <v>1.6512458654804201</v>
      </c>
      <c r="M25">
        <v>1.78012936483457</v>
      </c>
      <c r="N25">
        <v>19.631594150420302</v>
      </c>
      <c r="O25">
        <v>26.4484905378409</v>
      </c>
      <c r="Q25">
        <v>6.7544991568653296</v>
      </c>
      <c r="R25">
        <v>7.6885927833832399</v>
      </c>
      <c r="T25">
        <v>1.5348488855729434E-2</v>
      </c>
      <c r="U25">
        <v>0.87114990932301384</v>
      </c>
      <c r="V25">
        <v>1.4072386675976559E-2</v>
      </c>
    </row>
    <row r="26" spans="1:22" x14ac:dyDescent="0.3">
      <c r="A26" s="3" t="s">
        <v>75</v>
      </c>
      <c r="B26" s="1">
        <v>0.5</v>
      </c>
      <c r="C26" s="1">
        <v>2</v>
      </c>
      <c r="D26" s="1">
        <v>22.03</v>
      </c>
      <c r="E26" s="1">
        <v>9.52</v>
      </c>
      <c r="F26" s="1">
        <v>15.36</v>
      </c>
      <c r="G26" s="1">
        <v>2.1154999999999999</v>
      </c>
      <c r="H26" s="1">
        <v>0.40050000000000002</v>
      </c>
      <c r="I26" s="1">
        <v>7.7799999999999994E-2</v>
      </c>
      <c r="J26">
        <v>3.2000000000000001E-2</v>
      </c>
      <c r="K26">
        <v>1.7019860130668001</v>
      </c>
      <c r="L26">
        <v>1.64960422432693</v>
      </c>
      <c r="M26">
        <v>2.3590649374017199</v>
      </c>
      <c r="N26">
        <v>17.893914764699201</v>
      </c>
      <c r="O26">
        <v>37.5014894988145</v>
      </c>
      <c r="Q26">
        <v>5.3797416649915597</v>
      </c>
      <c r="R26">
        <v>8.3445259683913093</v>
      </c>
      <c r="T26">
        <v>8.383673536920809E-2</v>
      </c>
      <c r="U26">
        <v>2.4863816104998446</v>
      </c>
      <c r="V26">
        <v>4.4320857792108558E-2</v>
      </c>
    </row>
    <row r="27" spans="1:22" x14ac:dyDescent="0.3">
      <c r="A27" s="2" t="s">
        <v>76</v>
      </c>
      <c r="B27" s="1">
        <v>0.5</v>
      </c>
      <c r="C27" s="1">
        <v>2</v>
      </c>
      <c r="D27" s="1">
        <v>22.64</v>
      </c>
      <c r="E27" s="1">
        <v>9.7899999999999991</v>
      </c>
      <c r="F27" s="1">
        <v>15.18</v>
      </c>
      <c r="G27" s="1">
        <v>2.3332000000000002</v>
      </c>
      <c r="H27" s="1">
        <v>0.45600000000000002</v>
      </c>
      <c r="I27" s="1">
        <v>8.5199999999999998E-2</v>
      </c>
      <c r="J27">
        <v>3.2000000000000001E-2</v>
      </c>
      <c r="K27">
        <v>1.7486219058877399</v>
      </c>
      <c r="L27">
        <v>1.7031540711190201</v>
      </c>
      <c r="M27">
        <v>2.1767121797370299</v>
      </c>
      <c r="N27">
        <v>18.262270747414501</v>
      </c>
      <c r="O27">
        <v>33.006843402151702</v>
      </c>
      <c r="Q27">
        <v>8.9855831825471704</v>
      </c>
      <c r="R27">
        <v>11.198904721308001</v>
      </c>
      <c r="T27">
        <v>5.1099810180640082E-2</v>
      </c>
      <c r="U27">
        <v>1.7073246007344522</v>
      </c>
      <c r="V27">
        <v>3.0213397681225308E-2</v>
      </c>
    </row>
    <row r="28" spans="1:22" x14ac:dyDescent="0.3">
      <c r="A28" s="3" t="s">
        <v>77</v>
      </c>
      <c r="B28" s="1">
        <v>0.5</v>
      </c>
      <c r="C28" s="1">
        <v>3</v>
      </c>
      <c r="D28" s="1">
        <v>22.27</v>
      </c>
      <c r="E28" s="1">
        <v>9.51</v>
      </c>
      <c r="F28" s="1">
        <v>15.17</v>
      </c>
      <c r="G28" s="1">
        <v>2.0114000000000001</v>
      </c>
      <c r="H28" s="1">
        <v>0.53059999999999996</v>
      </c>
      <c r="I28" s="1">
        <v>9.4399999999999998E-2</v>
      </c>
      <c r="J28">
        <v>3.2000000000000001E-2</v>
      </c>
      <c r="K28">
        <v>0.96690392562657101</v>
      </c>
      <c r="L28">
        <v>0.97160921006158396</v>
      </c>
      <c r="M28">
        <v>1.2397885610333199</v>
      </c>
      <c r="N28">
        <v>20.8914447023981</v>
      </c>
      <c r="O28">
        <v>35.417380571468797</v>
      </c>
      <c r="Q28">
        <v>10.1369451679716</v>
      </c>
      <c r="R28">
        <v>13.1539871551002</v>
      </c>
      <c r="T28">
        <v>2.6117941537010084E-2</v>
      </c>
      <c r="U28">
        <v>1.5180833994693208</v>
      </c>
      <c r="V28">
        <v>3.7170980007521691E-2</v>
      </c>
    </row>
    <row r="29" spans="1:22" x14ac:dyDescent="0.3">
      <c r="A29" s="2" t="s">
        <v>78</v>
      </c>
      <c r="B29" s="1">
        <v>0.5</v>
      </c>
      <c r="C29" s="1">
        <v>3</v>
      </c>
      <c r="D29" s="1">
        <v>22.4</v>
      </c>
      <c r="E29" s="1">
        <v>10.08</v>
      </c>
      <c r="F29" s="1">
        <v>14.71</v>
      </c>
      <c r="G29" s="1">
        <v>1.9096</v>
      </c>
      <c r="H29" s="1">
        <v>0.46050000000000002</v>
      </c>
      <c r="I29" s="1">
        <v>9.5500000000000002E-2</v>
      </c>
      <c r="J29">
        <v>3.2000000000000001E-2</v>
      </c>
      <c r="K29">
        <v>2.0339096643247498</v>
      </c>
      <c r="L29">
        <v>2.1234094831985399</v>
      </c>
      <c r="M29">
        <v>2.6553888792320999</v>
      </c>
      <c r="N29">
        <v>21.0747815185447</v>
      </c>
      <c r="O29">
        <v>43.6427841853193</v>
      </c>
      <c r="Q29">
        <v>7.1106004482098797</v>
      </c>
      <c r="R29">
        <v>9.8155781678128893</v>
      </c>
      <c r="T29">
        <v>5.1212625920148032E-2</v>
      </c>
      <c r="U29">
        <v>2.3313810168516391</v>
      </c>
      <c r="V29">
        <v>3.2942379968660569E-2</v>
      </c>
    </row>
    <row r="30" spans="1:22" x14ac:dyDescent="0.3">
      <c r="A30" s="3" t="s">
        <v>79</v>
      </c>
      <c r="B30" s="1">
        <v>1</v>
      </c>
      <c r="C30" s="1">
        <v>1</v>
      </c>
      <c r="D30" s="1">
        <v>21.54</v>
      </c>
      <c r="E30" s="1">
        <v>8.9600000000000009</v>
      </c>
      <c r="F30" s="1">
        <v>15.31</v>
      </c>
      <c r="G30" s="1">
        <v>1.7403999999999999</v>
      </c>
      <c r="H30" s="1">
        <v>0.47360000000000002</v>
      </c>
      <c r="I30" s="1">
        <v>9.2100000000000001E-2</v>
      </c>
      <c r="J30">
        <v>3.2000000000000001E-2</v>
      </c>
      <c r="K30">
        <v>1.30704925232771</v>
      </c>
      <c r="L30">
        <v>1.32666926871068</v>
      </c>
      <c r="M30">
        <v>2.2484285711623202</v>
      </c>
      <c r="N30">
        <v>18.444246190481199</v>
      </c>
      <c r="O30">
        <v>43.661057849458999</v>
      </c>
      <c r="Q30">
        <v>13.652916403179701</v>
      </c>
      <c r="R30">
        <v>17.2383801429269</v>
      </c>
      <c r="T30">
        <v>9.2011795038212801E-2</v>
      </c>
      <c r="U30">
        <v>2.701183247587529</v>
      </c>
      <c r="V30">
        <v>4.5277282821667562E-2</v>
      </c>
    </row>
    <row r="31" spans="1:22" x14ac:dyDescent="0.3">
      <c r="A31" s="2" t="s">
        <v>80</v>
      </c>
      <c r="B31" s="1">
        <v>1</v>
      </c>
      <c r="C31" s="1">
        <v>1</v>
      </c>
      <c r="D31" s="1">
        <v>22.78</v>
      </c>
      <c r="E31" s="1">
        <v>8.56</v>
      </c>
      <c r="F31" s="1">
        <v>15.09</v>
      </c>
      <c r="G31" s="1">
        <v>1.9256</v>
      </c>
      <c r="H31" s="1">
        <v>0.41610000000000003</v>
      </c>
      <c r="I31" s="1">
        <v>8.3400000000000002E-2</v>
      </c>
      <c r="J31">
        <v>3.2000000000000001E-2</v>
      </c>
      <c r="K31">
        <v>1.25613427636564</v>
      </c>
      <c r="L31">
        <v>1.23178458457351</v>
      </c>
      <c r="M31">
        <v>2.5175853046307202</v>
      </c>
      <c r="N31">
        <v>17.153637604967098</v>
      </c>
      <c r="O31">
        <v>48.562714802222999</v>
      </c>
      <c r="Q31">
        <v>4.1035681933942403</v>
      </c>
      <c r="R31">
        <v>10.1177175555387</v>
      </c>
      <c r="T31">
        <v>0.14174025779278138</v>
      </c>
      <c r="U31">
        <v>3.7154603356984151</v>
      </c>
      <c r="V31">
        <v>8.3869259881876421E-2</v>
      </c>
    </row>
    <row r="32" spans="1:22" x14ac:dyDescent="0.3">
      <c r="A32" s="3" t="s">
        <v>152</v>
      </c>
      <c r="B32" s="1">
        <v>1</v>
      </c>
      <c r="C32" s="1">
        <v>2</v>
      </c>
      <c r="D32" s="1">
        <v>21.83</v>
      </c>
      <c r="E32" s="1">
        <v>8.7899999999999991</v>
      </c>
      <c r="F32" s="1">
        <v>15.25</v>
      </c>
      <c r="G32" s="1">
        <v>1.7042999999999999</v>
      </c>
      <c r="H32" s="1">
        <v>0.44240000000000002</v>
      </c>
      <c r="I32" s="1">
        <v>8.7999999999999995E-2</v>
      </c>
      <c r="J32">
        <v>3.2000000000000001E-2</v>
      </c>
      <c r="K32">
        <v>1.23274994722011</v>
      </c>
      <c r="L32">
        <v>1.2301915003672199</v>
      </c>
      <c r="M32">
        <v>1.8862145644092401</v>
      </c>
      <c r="N32">
        <v>17.998218445878599</v>
      </c>
      <c r="O32">
        <v>33.6003623322528</v>
      </c>
      <c r="Q32">
        <v>7.7914639715790104</v>
      </c>
      <c r="R32">
        <v>12.453374000203</v>
      </c>
      <c r="T32">
        <v>6.853651865428087E-2</v>
      </c>
      <c r="U32">
        <v>1.7491421673342424</v>
      </c>
      <c r="V32">
        <v>6.1613498178305061E-2</v>
      </c>
    </row>
    <row r="33" spans="1:22" x14ac:dyDescent="0.3">
      <c r="A33" s="2" t="s">
        <v>81</v>
      </c>
      <c r="B33" s="1">
        <v>1</v>
      </c>
      <c r="C33" s="1">
        <v>2</v>
      </c>
      <c r="D33" s="1">
        <v>21.3</v>
      </c>
      <c r="E33" s="1">
        <v>8.27</v>
      </c>
      <c r="F33" s="1">
        <v>14.08</v>
      </c>
      <c r="G33" s="1">
        <v>1.6176999999999999</v>
      </c>
      <c r="H33" s="1">
        <v>0.39100000000000001</v>
      </c>
      <c r="I33" s="1">
        <v>7.46E-2</v>
      </c>
      <c r="J33">
        <v>3.2000000000000001E-2</v>
      </c>
      <c r="K33">
        <v>1.5574478489483601</v>
      </c>
      <c r="L33">
        <v>1.5898285867841999</v>
      </c>
      <c r="M33">
        <v>2.6109710279393199</v>
      </c>
      <c r="N33">
        <v>17.692290712412301</v>
      </c>
      <c r="O33">
        <v>51.082894650268301</v>
      </c>
      <c r="Q33">
        <v>8.2165752617182193</v>
      </c>
      <c r="R33">
        <v>16.061914603098401</v>
      </c>
      <c r="T33">
        <v>0.12584417087136343</v>
      </c>
      <c r="U33">
        <v>4.4157954719746941</v>
      </c>
      <c r="V33">
        <v>0.12231157463269179</v>
      </c>
    </row>
    <row r="34" spans="1:22" x14ac:dyDescent="0.3">
      <c r="A34" s="3" t="s">
        <v>82</v>
      </c>
      <c r="B34" s="1">
        <v>1</v>
      </c>
      <c r="C34" s="1">
        <v>3</v>
      </c>
      <c r="D34" s="1">
        <v>24.25</v>
      </c>
      <c r="E34" s="1">
        <v>10</v>
      </c>
      <c r="F34" s="1">
        <v>16.46</v>
      </c>
      <c r="G34" s="1">
        <v>2.3631000000000002</v>
      </c>
      <c r="H34" s="1">
        <v>0.5393</v>
      </c>
      <c r="I34" s="1">
        <v>0.10390000000000001</v>
      </c>
      <c r="J34">
        <v>3.2000000000000001E-2</v>
      </c>
      <c r="K34">
        <v>2.1552710448344099</v>
      </c>
      <c r="L34">
        <v>2.0318896909027599</v>
      </c>
      <c r="M34">
        <v>3.51413369864673</v>
      </c>
      <c r="N34">
        <v>24.2878803076695</v>
      </c>
      <c r="O34">
        <v>63.249368515721898</v>
      </c>
      <c r="Q34">
        <v>11.6774563627612</v>
      </c>
      <c r="R34">
        <v>18.905453302949802</v>
      </c>
      <c r="T34">
        <v>0.13115648228676577</v>
      </c>
      <c r="U34">
        <v>3.699503927481826</v>
      </c>
      <c r="V34">
        <v>8.0909042938565476E-2</v>
      </c>
    </row>
    <row r="35" spans="1:22" x14ac:dyDescent="0.3">
      <c r="A35" s="2" t="s">
        <v>83</v>
      </c>
      <c r="B35" s="1">
        <v>1</v>
      </c>
      <c r="C35" s="1">
        <v>3</v>
      </c>
      <c r="D35" s="1">
        <v>21.83</v>
      </c>
      <c r="E35" s="1">
        <v>9.5</v>
      </c>
      <c r="F35" s="1">
        <v>15.47</v>
      </c>
      <c r="G35" s="1">
        <v>2.0200999999999998</v>
      </c>
      <c r="H35" s="1">
        <v>0.47149999999999997</v>
      </c>
      <c r="I35" s="1">
        <v>9.2600000000000002E-2</v>
      </c>
      <c r="J35">
        <v>3.2000000000000001E-2</v>
      </c>
      <c r="K35">
        <v>1.5264061517357499</v>
      </c>
      <c r="L35">
        <v>1.4547966567155901</v>
      </c>
      <c r="M35">
        <v>2.1573722708854501</v>
      </c>
      <c r="N35">
        <v>19.494818372326598</v>
      </c>
      <c r="O35">
        <v>50.368993307596497</v>
      </c>
      <c r="Q35">
        <v>10.2205914529514</v>
      </c>
      <c r="R35">
        <v>13.315450918003201</v>
      </c>
      <c r="T35">
        <v>6.9753770695810208E-2</v>
      </c>
      <c r="U35">
        <v>3.2893332639459905</v>
      </c>
      <c r="V35">
        <v>3.8870900132114979E-2</v>
      </c>
    </row>
    <row r="36" spans="1:22" x14ac:dyDescent="0.3">
      <c r="A36" s="2" t="s">
        <v>84</v>
      </c>
      <c r="B36" s="1">
        <v>1.5</v>
      </c>
      <c r="C36" s="1">
        <v>1</v>
      </c>
      <c r="D36" s="1">
        <v>22.28</v>
      </c>
      <c r="E36" s="1">
        <v>8.93</v>
      </c>
      <c r="F36" s="1">
        <v>15.48</v>
      </c>
      <c r="G36" s="1">
        <v>1.9307000000000001</v>
      </c>
      <c r="H36" s="1">
        <v>0.48280000000000001</v>
      </c>
      <c r="I36" s="1">
        <v>9.1399999999999995E-2</v>
      </c>
      <c r="J36">
        <v>3.2000000000000001E-2</v>
      </c>
      <c r="K36">
        <v>1.43444885268956</v>
      </c>
      <c r="L36">
        <v>1.40558537691162</v>
      </c>
      <c r="M36">
        <v>2.8499561337111201</v>
      </c>
      <c r="N36">
        <v>19.785959924031399</v>
      </c>
      <c r="O36">
        <v>55.984263709849102</v>
      </c>
      <c r="Q36">
        <v>6.4839290962468903</v>
      </c>
      <c r="R36">
        <v>11.3624580657055</v>
      </c>
      <c r="T36">
        <v>0.14528410273207754</v>
      </c>
      <c r="U36">
        <v>3.9071989696866867</v>
      </c>
      <c r="V36">
        <v>6.2077946746598923E-2</v>
      </c>
    </row>
    <row r="37" spans="1:22" x14ac:dyDescent="0.3">
      <c r="A37" s="3" t="s">
        <v>85</v>
      </c>
      <c r="B37" s="1">
        <v>1.5</v>
      </c>
      <c r="C37" s="1">
        <v>1</v>
      </c>
      <c r="D37" s="1">
        <v>22.99</v>
      </c>
      <c r="E37" s="1">
        <v>9.1999999999999993</v>
      </c>
      <c r="F37" s="1">
        <v>15.37</v>
      </c>
      <c r="G37" s="1">
        <v>2.1455000000000002</v>
      </c>
      <c r="H37" s="1">
        <v>0.49580000000000002</v>
      </c>
      <c r="I37" s="1">
        <v>9.1499999999999998E-2</v>
      </c>
      <c r="J37">
        <v>3.2000000000000001E-2</v>
      </c>
      <c r="K37">
        <v>1.74306441806576</v>
      </c>
      <c r="L37">
        <v>1.72595380319208</v>
      </c>
      <c r="M37">
        <v>3.7553524980247199</v>
      </c>
      <c r="N37">
        <v>18.3892697690756</v>
      </c>
      <c r="O37">
        <v>42.9849329311905</v>
      </c>
      <c r="Q37">
        <v>3.1213769225608501</v>
      </c>
      <c r="R37">
        <v>5.7882429886776396</v>
      </c>
      <c r="T37">
        <v>0.20390688350615691</v>
      </c>
      <c r="U37">
        <v>2.6519232184935606</v>
      </c>
      <c r="V37">
        <v>3.3898053656136296E-2</v>
      </c>
    </row>
    <row r="38" spans="1:22" x14ac:dyDescent="0.3">
      <c r="A38" s="2" t="s">
        <v>86</v>
      </c>
      <c r="B38" s="1">
        <v>1.5</v>
      </c>
      <c r="C38" s="1">
        <v>2</v>
      </c>
      <c r="D38" s="1">
        <v>22.81</v>
      </c>
      <c r="E38" s="1">
        <v>9.84</v>
      </c>
      <c r="F38" s="1">
        <v>15.83</v>
      </c>
      <c r="G38" s="1">
        <v>2.2364000000000002</v>
      </c>
      <c r="H38" s="1">
        <v>0.38290000000000002</v>
      </c>
      <c r="I38" s="1">
        <v>7.4899999999999994E-2</v>
      </c>
      <c r="J38">
        <v>3.2000000000000001E-2</v>
      </c>
      <c r="K38">
        <v>1.44881161032796</v>
      </c>
      <c r="L38">
        <v>1.51034474695891</v>
      </c>
      <c r="M38">
        <v>3.04473403255533</v>
      </c>
      <c r="N38">
        <v>16.622951111753999</v>
      </c>
      <c r="O38">
        <v>48.519053440456197</v>
      </c>
      <c r="Q38">
        <v>3.2513944489032598</v>
      </c>
      <c r="R38">
        <v>9.8514721338791809</v>
      </c>
      <c r="T38">
        <v>0.18833860261761348</v>
      </c>
      <c r="U38">
        <v>4.2012575051274297</v>
      </c>
      <c r="V38">
        <v>0.1024853718389105</v>
      </c>
    </row>
    <row r="39" spans="1:22" x14ac:dyDescent="0.3">
      <c r="A39" s="3" t="s">
        <v>87</v>
      </c>
      <c r="B39" s="1">
        <v>1.5</v>
      </c>
      <c r="C39" s="1">
        <v>2</v>
      </c>
      <c r="D39" s="1">
        <v>22.71</v>
      </c>
      <c r="E39" s="1">
        <v>9.42</v>
      </c>
      <c r="F39" s="1">
        <v>15.69</v>
      </c>
      <c r="G39" s="1">
        <v>2.1795</v>
      </c>
      <c r="H39" s="1">
        <v>0.42570000000000002</v>
      </c>
      <c r="I39" s="1">
        <v>8.3000000000000004E-2</v>
      </c>
      <c r="J39">
        <v>3.2000000000000001E-2</v>
      </c>
      <c r="K39">
        <v>1.83124297733043</v>
      </c>
      <c r="L39">
        <v>1.7360585322967801</v>
      </c>
      <c r="M39">
        <v>4.0896077596629103</v>
      </c>
      <c r="N39">
        <v>20.427194551580001</v>
      </c>
      <c r="O39">
        <v>57.994971815367002</v>
      </c>
      <c r="Q39">
        <v>4.86718042127392</v>
      </c>
      <c r="R39">
        <v>12.987047273193401</v>
      </c>
      <c r="T39">
        <v>0.26069385755076213</v>
      </c>
      <c r="U39">
        <v>4.4654055828146628</v>
      </c>
      <c r="V39">
        <v>0.1137798788368245</v>
      </c>
    </row>
    <row r="40" spans="1:22" x14ac:dyDescent="0.3">
      <c r="A40" s="2" t="s">
        <v>88</v>
      </c>
      <c r="B40" s="1">
        <v>1.5</v>
      </c>
      <c r="C40" s="1">
        <v>3</v>
      </c>
      <c r="D40" s="1">
        <v>23.33</v>
      </c>
      <c r="E40" s="1">
        <v>10.15</v>
      </c>
      <c r="F40" s="1">
        <v>17.25</v>
      </c>
      <c r="G40" s="1">
        <v>2.4188999999999998</v>
      </c>
      <c r="H40" s="1">
        <v>0.47849999999999998</v>
      </c>
      <c r="I40" s="1">
        <v>9.5799999999999996E-2</v>
      </c>
      <c r="J40">
        <v>3.2000000000000001E-2</v>
      </c>
      <c r="K40">
        <v>1.7424730597123399</v>
      </c>
      <c r="L40">
        <v>1.65730246647756</v>
      </c>
      <c r="M40">
        <v>3.1373594152862498</v>
      </c>
      <c r="N40">
        <v>19.4384227114239</v>
      </c>
      <c r="O40">
        <v>51.455820287965999</v>
      </c>
      <c r="Q40">
        <v>7.3865901973119001</v>
      </c>
      <c r="R40">
        <v>11.0737677818839</v>
      </c>
      <c r="T40">
        <v>0.14203602885769909</v>
      </c>
      <c r="U40">
        <v>3.2971903708886612</v>
      </c>
      <c r="V40">
        <v>4.4763413548649468E-2</v>
      </c>
    </row>
    <row r="41" spans="1:22" x14ac:dyDescent="0.3">
      <c r="A41" s="3" t="s">
        <v>89</v>
      </c>
      <c r="B41" s="1">
        <v>1.5</v>
      </c>
      <c r="C41" s="1">
        <v>3</v>
      </c>
      <c r="D41" s="1">
        <v>21.3</v>
      </c>
      <c r="E41" s="1">
        <v>8.41</v>
      </c>
      <c r="F41" s="1">
        <v>14.95</v>
      </c>
      <c r="G41" s="1">
        <v>1.6614</v>
      </c>
      <c r="H41" s="1">
        <v>0.29899999999999999</v>
      </c>
      <c r="I41" s="1">
        <v>5.8999999999999997E-2</v>
      </c>
      <c r="J41">
        <v>3.2000000000000001E-2</v>
      </c>
      <c r="K41">
        <v>1.5526835330728299</v>
      </c>
      <c r="L41">
        <v>1.5422197678966401</v>
      </c>
      <c r="M41">
        <v>3.7383202448941701</v>
      </c>
      <c r="N41">
        <v>14.021870817134801</v>
      </c>
      <c r="O41">
        <v>48.119834454309697</v>
      </c>
      <c r="Q41">
        <v>4.3415837783922404</v>
      </c>
      <c r="R41">
        <v>10.1810005475062</v>
      </c>
      <c r="T41">
        <v>0.34220456517499143</v>
      </c>
      <c r="U41">
        <v>5.7016418654053007</v>
      </c>
      <c r="V41">
        <v>0.11510975049407289</v>
      </c>
    </row>
    <row r="42" spans="1:22" x14ac:dyDescent="0.3">
      <c r="A42" s="2" t="s">
        <v>90</v>
      </c>
      <c r="B42" s="1">
        <v>2</v>
      </c>
      <c r="C42" s="1">
        <v>1</v>
      </c>
      <c r="D42" s="1">
        <v>23.99</v>
      </c>
      <c r="E42" s="1">
        <v>9.92</v>
      </c>
      <c r="F42" s="1">
        <v>16.72</v>
      </c>
      <c r="G42" s="1">
        <v>2.5707</v>
      </c>
      <c r="H42" s="1">
        <v>0.64180000000000004</v>
      </c>
      <c r="I42" s="1">
        <v>0.12839999999999999</v>
      </c>
      <c r="J42">
        <v>3.2000000000000001E-2</v>
      </c>
      <c r="K42">
        <v>3.0789124652699802</v>
      </c>
      <c r="L42">
        <v>3.10503500772084</v>
      </c>
      <c r="M42">
        <v>8.0717268710776207</v>
      </c>
      <c r="N42">
        <v>27.720801689357401</v>
      </c>
      <c r="O42">
        <v>111.29233982432</v>
      </c>
      <c r="Q42">
        <v>3.3791616103758</v>
      </c>
      <c r="R42">
        <v>12.397661036332099</v>
      </c>
      <c r="T42">
        <v>0.35562132644047434</v>
      </c>
      <c r="U42">
        <v>6.4212100204383731</v>
      </c>
      <c r="V42">
        <v>8.1689062090063991E-2</v>
      </c>
    </row>
    <row r="43" spans="1:22" x14ac:dyDescent="0.3">
      <c r="A43" s="3" t="s">
        <v>91</v>
      </c>
      <c r="B43" s="1">
        <v>2</v>
      </c>
      <c r="C43" s="1">
        <v>1</v>
      </c>
      <c r="D43" s="1">
        <v>21.87</v>
      </c>
      <c r="E43" s="1">
        <v>8.98</v>
      </c>
      <c r="F43" s="1">
        <v>14.48</v>
      </c>
      <c r="G43" s="1">
        <v>1.7867</v>
      </c>
      <c r="H43" s="1">
        <v>0.37169999999999997</v>
      </c>
      <c r="I43" s="1">
        <v>7.3800000000000004E-2</v>
      </c>
      <c r="J43">
        <v>3.2000000000000001E-2</v>
      </c>
      <c r="K43">
        <v>1.5158942475011801</v>
      </c>
      <c r="L43">
        <v>1.5092203592051801</v>
      </c>
      <c r="M43">
        <v>2.66243652958206</v>
      </c>
      <c r="N43">
        <v>17.1385953080074</v>
      </c>
      <c r="O43">
        <v>37.312826307322702</v>
      </c>
      <c r="Q43">
        <v>5.3488098572409903</v>
      </c>
      <c r="R43">
        <v>7.85373747720024</v>
      </c>
      <c r="T43">
        <v>0.14366135750646181</v>
      </c>
      <c r="U43">
        <v>2.6968955738054885</v>
      </c>
      <c r="V43">
        <v>3.9476030069341542E-2</v>
      </c>
    </row>
    <row r="44" spans="1:22" x14ac:dyDescent="0.3">
      <c r="A44" s="2" t="s">
        <v>92</v>
      </c>
      <c r="B44" s="1">
        <v>2</v>
      </c>
      <c r="C44" s="1">
        <v>2</v>
      </c>
      <c r="D44" s="1">
        <v>23.86</v>
      </c>
      <c r="E44" s="1">
        <v>9.81</v>
      </c>
      <c r="F44" s="1">
        <v>15.5</v>
      </c>
      <c r="G44" s="1">
        <v>2.3169</v>
      </c>
      <c r="H44" s="1">
        <v>0.45900000000000002</v>
      </c>
      <c r="I44" s="1">
        <v>9.3899999999999997E-2</v>
      </c>
      <c r="J44">
        <v>3.2000000000000001E-2</v>
      </c>
      <c r="K44">
        <v>1.5025719713048999</v>
      </c>
      <c r="L44">
        <v>1.5593635873039799</v>
      </c>
      <c r="M44">
        <v>4.7947795823688297</v>
      </c>
      <c r="N44">
        <v>20.5052177248612</v>
      </c>
      <c r="O44">
        <v>68.196887749818899</v>
      </c>
      <c r="Q44">
        <v>6.3252993943567697</v>
      </c>
      <c r="R44">
        <v>10.9740809247079</v>
      </c>
      <c r="T44">
        <v>0.3167744461366156</v>
      </c>
      <c r="U44">
        <v>5.0107235335273987</v>
      </c>
      <c r="V44">
        <v>5.7579540692860282E-2</v>
      </c>
    </row>
    <row r="45" spans="1:22" x14ac:dyDescent="0.3">
      <c r="A45" s="3" t="s">
        <v>93</v>
      </c>
      <c r="B45" s="1">
        <v>2</v>
      </c>
      <c r="C45" s="1">
        <v>2</v>
      </c>
      <c r="D45" s="1">
        <v>20.97</v>
      </c>
      <c r="E45" s="1">
        <v>8.7899999999999991</v>
      </c>
      <c r="F45" s="1">
        <v>15.27</v>
      </c>
      <c r="G45" s="1">
        <v>1.7108000000000001</v>
      </c>
      <c r="H45" s="1">
        <v>0.37780000000000002</v>
      </c>
      <c r="I45" s="1">
        <v>6.8500000000000005E-2</v>
      </c>
      <c r="J45">
        <v>3.2000000000000001E-2</v>
      </c>
      <c r="K45">
        <v>1.77667978768668</v>
      </c>
      <c r="L45">
        <v>1.7336397095951199</v>
      </c>
      <c r="M45">
        <v>6.1384888826147899</v>
      </c>
      <c r="N45">
        <v>19.663638634462199</v>
      </c>
      <c r="O45">
        <v>77.278783297630497</v>
      </c>
      <c r="Q45">
        <v>5.38337472213155</v>
      </c>
      <c r="R45">
        <v>18.385975023488999</v>
      </c>
      <c r="T45">
        <v>0.59118863294998014</v>
      </c>
      <c r="U45">
        <v>8.2979265867000453</v>
      </c>
      <c r="V45">
        <v>0.22076706940862437</v>
      </c>
    </row>
    <row r="46" spans="1:22" x14ac:dyDescent="0.3">
      <c r="A46" s="2" t="s">
        <v>94</v>
      </c>
      <c r="B46" s="1">
        <v>2</v>
      </c>
      <c r="C46" s="1">
        <v>3</v>
      </c>
      <c r="D46" s="1">
        <v>22.19</v>
      </c>
      <c r="E46" s="1">
        <v>10.07</v>
      </c>
      <c r="F46" s="1">
        <v>16.190000000000001</v>
      </c>
      <c r="G46" s="1">
        <v>2.2004999999999999</v>
      </c>
      <c r="H46" s="1">
        <v>0.41560000000000002</v>
      </c>
      <c r="I46" s="1">
        <v>8.1600000000000006E-2</v>
      </c>
      <c r="J46">
        <v>3.2000000000000001E-2</v>
      </c>
      <c r="K46">
        <v>1.51627231630954</v>
      </c>
      <c r="L46">
        <v>1.50135038405107</v>
      </c>
      <c r="M46">
        <v>5.5661949263834503</v>
      </c>
      <c r="N46">
        <v>18.249231360993601</v>
      </c>
      <c r="O46">
        <v>69.341422378731195</v>
      </c>
      <c r="Q46">
        <v>2.8751946198659</v>
      </c>
      <c r="R46">
        <v>10.069122559809299</v>
      </c>
      <c r="T46">
        <v>0.4579724851027816</v>
      </c>
      <c r="U46">
        <v>6.1771460748111764</v>
      </c>
      <c r="V46">
        <v>0.10253463175578152</v>
      </c>
    </row>
    <row r="47" spans="1:22" x14ac:dyDescent="0.3">
      <c r="A47" s="3" t="s">
        <v>95</v>
      </c>
      <c r="B47" s="1">
        <v>2</v>
      </c>
      <c r="C47" s="1">
        <v>3</v>
      </c>
      <c r="D47" s="1">
        <v>21.69</v>
      </c>
      <c r="E47" s="1">
        <v>9.5</v>
      </c>
      <c r="F47" s="1">
        <v>14.57</v>
      </c>
      <c r="G47" s="1">
        <v>1.9312</v>
      </c>
      <c r="H47" s="1">
        <v>0.46229999999999999</v>
      </c>
      <c r="I47" s="1">
        <v>9.2899999999999996E-2</v>
      </c>
      <c r="J47">
        <v>3.2000000000000001E-2</v>
      </c>
      <c r="K47">
        <v>1.3907101585417301</v>
      </c>
      <c r="L47">
        <v>1.39778886416671</v>
      </c>
      <c r="M47">
        <v>3.5671628042286501</v>
      </c>
      <c r="N47">
        <v>18.718159990249902</v>
      </c>
      <c r="O47">
        <v>52.336659324927901</v>
      </c>
      <c r="Q47">
        <v>10.2543368448225</v>
      </c>
      <c r="R47">
        <v>14.275772130081</v>
      </c>
      <c r="T47">
        <v>0.21468628907807805</v>
      </c>
      <c r="U47">
        <v>3.570147115567269</v>
      </c>
      <c r="V47">
        <v>5.0345426202013412E-2</v>
      </c>
    </row>
    <row r="48" spans="1:22" x14ac:dyDescent="0.3">
      <c r="A48" s="2" t="s">
        <v>96</v>
      </c>
      <c r="B48" s="1">
        <v>2.5</v>
      </c>
      <c r="C48" s="1">
        <v>1</v>
      </c>
      <c r="D48" s="1">
        <v>22.73</v>
      </c>
      <c r="E48" s="1">
        <v>9.61</v>
      </c>
      <c r="F48" s="1">
        <v>15.77</v>
      </c>
      <c r="G48" s="1">
        <v>2.1536</v>
      </c>
      <c r="H48" s="1">
        <v>0.43440000000000001</v>
      </c>
      <c r="I48" s="1">
        <v>9.4600000000000004E-2</v>
      </c>
      <c r="J48">
        <v>3.2000000000000001E-2</v>
      </c>
      <c r="K48">
        <v>1.51312972875846</v>
      </c>
      <c r="L48">
        <v>1.44076466577638</v>
      </c>
      <c r="M48">
        <v>3.7224978506030801</v>
      </c>
      <c r="N48">
        <v>17.636059078985301</v>
      </c>
      <c r="O48">
        <v>44.325263850842603</v>
      </c>
      <c r="Q48">
        <v>6.5636119459708802</v>
      </c>
      <c r="R48">
        <v>9.5715482458647507</v>
      </c>
      <c r="T48">
        <v>0.22174780346747094</v>
      </c>
      <c r="U48">
        <v>2.7833511479623194</v>
      </c>
      <c r="V48">
        <v>3.6980446450619105E-2</v>
      </c>
    </row>
    <row r="49" spans="1:22" x14ac:dyDescent="0.3">
      <c r="A49" s="3" t="s">
        <v>97</v>
      </c>
      <c r="B49" s="1">
        <v>2.5</v>
      </c>
      <c r="C49" s="1">
        <v>1</v>
      </c>
      <c r="D49" s="1">
        <v>20.81</v>
      </c>
      <c r="E49" s="1">
        <v>8.86</v>
      </c>
      <c r="F49" s="1">
        <v>14.17</v>
      </c>
      <c r="G49" s="1">
        <v>1.6778</v>
      </c>
      <c r="H49" s="1">
        <v>0.3221</v>
      </c>
      <c r="I49" s="1">
        <v>5.4300000000000001E-2</v>
      </c>
      <c r="J49">
        <v>3.2000000000000001E-2</v>
      </c>
      <c r="K49">
        <v>1.51820084523667</v>
      </c>
      <c r="L49">
        <v>1.43397886318431</v>
      </c>
      <c r="M49">
        <v>3.2360701881777101</v>
      </c>
      <c r="N49">
        <v>14.2289726166152</v>
      </c>
      <c r="O49">
        <v>38.465551715147598</v>
      </c>
      <c r="Q49">
        <v>4.5074962827884004</v>
      </c>
      <c r="R49">
        <v>7.2382989373521696</v>
      </c>
      <c r="T49">
        <v>0.30511430580956395</v>
      </c>
      <c r="U49">
        <v>4.4034695166571129</v>
      </c>
      <c r="V49">
        <v>5.8490473653109505E-2</v>
      </c>
    </row>
    <row r="50" spans="1:22" x14ac:dyDescent="0.3">
      <c r="A50" s="2" t="s">
        <v>98</v>
      </c>
      <c r="B50" s="1">
        <v>2.5</v>
      </c>
      <c r="C50" s="1">
        <v>2</v>
      </c>
      <c r="D50" s="1">
        <v>21.03</v>
      </c>
      <c r="E50" s="1">
        <v>8.0299999999999994</v>
      </c>
      <c r="F50" s="1">
        <v>14.31</v>
      </c>
      <c r="G50" s="1">
        <v>1.6506000000000001</v>
      </c>
      <c r="H50" s="1">
        <v>0.36349999999999999</v>
      </c>
      <c r="I50" s="1">
        <v>6.6900000000000001E-2</v>
      </c>
      <c r="J50">
        <v>3.2000000000000001E-2</v>
      </c>
      <c r="K50">
        <v>1.0898520474264599</v>
      </c>
      <c r="L50">
        <v>1.05367972184667</v>
      </c>
      <c r="M50">
        <v>3.63115399039099</v>
      </c>
      <c r="N50">
        <v>19.716150723374199</v>
      </c>
      <c r="O50">
        <v>80.161369637567304</v>
      </c>
      <c r="Q50">
        <v>5.0379442658577203</v>
      </c>
      <c r="R50">
        <v>19.665454287999101</v>
      </c>
      <c r="T50">
        <v>0.35420429649161522</v>
      </c>
      <c r="U50">
        <v>8.9137272304912329</v>
      </c>
      <c r="V50">
        <v>0.25429565405308391</v>
      </c>
    </row>
    <row r="51" spans="1:22" x14ac:dyDescent="0.3">
      <c r="A51" s="3" t="s">
        <v>99</v>
      </c>
      <c r="B51" s="1">
        <v>2.5</v>
      </c>
      <c r="C51" s="1">
        <v>2</v>
      </c>
      <c r="D51" s="1">
        <v>20.91</v>
      </c>
      <c r="E51" s="1">
        <v>8.3699999999999992</v>
      </c>
      <c r="F51" s="1">
        <v>14.38</v>
      </c>
      <c r="G51" s="1">
        <v>1.5270999999999999</v>
      </c>
      <c r="H51" s="1">
        <v>0.36049999999999999</v>
      </c>
      <c r="I51" s="1">
        <v>7.0099999999999996E-2</v>
      </c>
      <c r="J51">
        <v>3.2000000000000001E-2</v>
      </c>
      <c r="K51">
        <v>1.1233510611619799</v>
      </c>
      <c r="L51">
        <v>1.13166922338848</v>
      </c>
      <c r="M51">
        <v>3.36040015543951</v>
      </c>
      <c r="N51">
        <v>15.0766408589558</v>
      </c>
      <c r="O51">
        <v>46.547008421065101</v>
      </c>
      <c r="Q51">
        <v>4.18532728662053</v>
      </c>
      <c r="R51">
        <v>9.2385220700344295</v>
      </c>
      <c r="T51">
        <v>0.29229758483458412</v>
      </c>
      <c r="U51">
        <v>4.4290165224072124</v>
      </c>
      <c r="V51">
        <v>8.3838340383761797E-2</v>
      </c>
    </row>
    <row r="52" spans="1:22" x14ac:dyDescent="0.3">
      <c r="A52" s="2" t="s">
        <v>100</v>
      </c>
      <c r="B52" s="1">
        <v>2.5</v>
      </c>
      <c r="C52" s="1">
        <v>3</v>
      </c>
      <c r="D52" s="1">
        <v>21.19</v>
      </c>
      <c r="E52" s="1">
        <v>8.89</v>
      </c>
      <c r="F52" s="1">
        <v>14.38</v>
      </c>
      <c r="G52" s="1">
        <v>1.7233000000000001</v>
      </c>
      <c r="H52" s="1">
        <v>0.35909999999999997</v>
      </c>
      <c r="I52" s="1">
        <v>6.2600000000000003E-2</v>
      </c>
      <c r="J52">
        <v>3.2000000000000001E-2</v>
      </c>
      <c r="K52">
        <v>1.42364758414563</v>
      </c>
      <c r="L52">
        <v>1.4134552698234499</v>
      </c>
      <c r="M52">
        <v>3.5965567845156201</v>
      </c>
      <c r="N52">
        <v>14.805396150423</v>
      </c>
      <c r="O52">
        <v>64.5626733769803</v>
      </c>
      <c r="Q52">
        <v>6.0268199961017803</v>
      </c>
      <c r="R52">
        <v>11.6302417953837</v>
      </c>
      <c r="T52">
        <v>0.32061600775517468</v>
      </c>
      <c r="U52">
        <v>7.8416197157559697</v>
      </c>
      <c r="V52">
        <v>0.10410549024659496</v>
      </c>
    </row>
    <row r="53" spans="1:22" x14ac:dyDescent="0.3">
      <c r="A53" s="2" t="s">
        <v>101</v>
      </c>
      <c r="B53" s="1">
        <v>2.5</v>
      </c>
      <c r="C53" s="1">
        <v>3</v>
      </c>
      <c r="D53" s="1">
        <v>21.65</v>
      </c>
      <c r="E53" s="1">
        <v>8.7899999999999991</v>
      </c>
      <c r="F53" s="1">
        <v>15.85</v>
      </c>
      <c r="G53" s="1">
        <v>1.7814000000000001</v>
      </c>
      <c r="H53" s="1">
        <v>0.40510000000000002</v>
      </c>
      <c r="I53" s="1">
        <v>7.6300000000000007E-2</v>
      </c>
      <c r="J53">
        <v>3.2000000000000001E-2</v>
      </c>
      <c r="K53">
        <v>1.20057733265977</v>
      </c>
      <c r="L53">
        <v>1.15895178512633</v>
      </c>
      <c r="M53">
        <v>3.1241766198662901</v>
      </c>
      <c r="N53">
        <v>17.881022891835698</v>
      </c>
      <c r="O53">
        <v>40.643211626826201</v>
      </c>
      <c r="Q53">
        <v>4.4394390129169503</v>
      </c>
      <c r="R53">
        <v>7.9515060281563699</v>
      </c>
      <c r="T53">
        <v>0.23679542648316249</v>
      </c>
      <c r="U53">
        <v>2.9431539866831229</v>
      </c>
      <c r="V53">
        <v>5.3534396086553797E-2</v>
      </c>
    </row>
    <row r="54" spans="1:22" x14ac:dyDescent="0.3">
      <c r="A54" s="2" t="s">
        <v>102</v>
      </c>
      <c r="B54" s="1">
        <v>3</v>
      </c>
      <c r="C54" s="1">
        <v>1</v>
      </c>
      <c r="D54" s="1">
        <v>20.84</v>
      </c>
      <c r="E54" s="1">
        <v>9.52</v>
      </c>
      <c r="F54" s="1">
        <v>15.77</v>
      </c>
      <c r="G54" s="1">
        <v>2.1154000000000002</v>
      </c>
      <c r="H54" s="1">
        <v>0.40089999999999998</v>
      </c>
      <c r="I54" s="1">
        <v>7.9899999999999999E-2</v>
      </c>
      <c r="J54">
        <v>4.4999999999999998E-2</v>
      </c>
      <c r="K54">
        <v>1.18685637160446</v>
      </c>
      <c r="L54">
        <v>1.1519328737098</v>
      </c>
      <c r="M54">
        <v>3.79105597960704</v>
      </c>
      <c r="N54">
        <v>13.293644961988701</v>
      </c>
      <c r="O54">
        <v>31.870226466472001</v>
      </c>
      <c r="Q54">
        <v>3.5921311654947101</v>
      </c>
      <c r="R54">
        <v>5.9510598735186697</v>
      </c>
      <c r="T54">
        <v>0.42703257915635123</v>
      </c>
      <c r="U54">
        <v>3.2255594931470473</v>
      </c>
      <c r="V54">
        <v>4.8286443994879684E-2</v>
      </c>
    </row>
    <row r="55" spans="1:22" x14ac:dyDescent="0.3">
      <c r="A55" s="3" t="s">
        <v>103</v>
      </c>
      <c r="B55" s="1">
        <v>3</v>
      </c>
      <c r="C55" s="1">
        <v>1</v>
      </c>
      <c r="D55" s="1">
        <v>22.3</v>
      </c>
      <c r="E55" s="1">
        <v>9.66</v>
      </c>
      <c r="F55" s="1">
        <v>15.78</v>
      </c>
      <c r="G55" s="1">
        <v>2.1013000000000002</v>
      </c>
      <c r="H55" s="1">
        <v>0.57379999999999998</v>
      </c>
      <c r="I55" s="1">
        <v>0.11310000000000001</v>
      </c>
      <c r="J55">
        <v>3.2000000000000001E-2</v>
      </c>
      <c r="K55">
        <v>1.96642301336141</v>
      </c>
      <c r="L55">
        <v>1.95471769946658</v>
      </c>
      <c r="M55">
        <v>5.2520881020479901</v>
      </c>
      <c r="N55">
        <v>21.802811725759501</v>
      </c>
      <c r="O55">
        <v>50.417069322017603</v>
      </c>
      <c r="Q55">
        <v>6.1619118217906799</v>
      </c>
      <c r="R55">
        <v>10.362639330108401</v>
      </c>
      <c r="T55">
        <v>0.26803452283972101</v>
      </c>
      <c r="U55">
        <v>2.4959931011639607</v>
      </c>
      <c r="V55">
        <v>4.3197295501979163E-2</v>
      </c>
    </row>
    <row r="56" spans="1:22" x14ac:dyDescent="0.3">
      <c r="A56" s="2" t="s">
        <v>104</v>
      </c>
      <c r="B56" s="1">
        <v>3</v>
      </c>
      <c r="C56" s="1">
        <v>2</v>
      </c>
      <c r="D56" s="1">
        <v>23.03</v>
      </c>
      <c r="E56" s="1">
        <v>9.67</v>
      </c>
      <c r="F56" s="1">
        <v>15.47</v>
      </c>
      <c r="G56" s="1">
        <v>2.0983999999999998</v>
      </c>
      <c r="H56" s="1">
        <v>0.42670000000000002</v>
      </c>
      <c r="I56" s="1">
        <v>8.6699999999999999E-2</v>
      </c>
      <c r="J56">
        <v>3.2000000000000001E-2</v>
      </c>
      <c r="K56">
        <v>2.0706047134639398</v>
      </c>
      <c r="L56">
        <v>1.9878781455522501</v>
      </c>
      <c r="M56">
        <v>7.0384018733863298</v>
      </c>
      <c r="N56">
        <v>14.181729020023599</v>
      </c>
      <c r="O56">
        <v>42.4438104193896</v>
      </c>
      <c r="Q56">
        <v>3.8006207245551402</v>
      </c>
      <c r="R56">
        <v>8.91394907076603</v>
      </c>
      <c r="T56">
        <v>0.53555357490444511</v>
      </c>
      <c r="U56">
        <v>3.2159445242628055</v>
      </c>
      <c r="V56">
        <v>6.8592911185433841E-2</v>
      </c>
    </row>
    <row r="57" spans="1:22" x14ac:dyDescent="0.3">
      <c r="A57" s="3" t="s">
        <v>105</v>
      </c>
      <c r="B57" s="1">
        <v>3</v>
      </c>
      <c r="C57" s="1">
        <v>2</v>
      </c>
      <c r="D57" s="1">
        <v>21.03</v>
      </c>
      <c r="E57" s="1">
        <v>9.1</v>
      </c>
      <c r="F57" s="1">
        <v>15.7</v>
      </c>
      <c r="G57" s="1">
        <v>1.7695000000000001</v>
      </c>
      <c r="H57" s="1">
        <v>0.33429999999999999</v>
      </c>
      <c r="I57" s="1">
        <v>6.3200000000000006E-2</v>
      </c>
      <c r="J57">
        <v>3.2000000000000001E-2</v>
      </c>
      <c r="K57">
        <v>1.52018473625397</v>
      </c>
      <c r="L57">
        <v>1.50708507718692</v>
      </c>
      <c r="M57">
        <v>4.7873619039294102</v>
      </c>
      <c r="N57">
        <v>15.3283948945645</v>
      </c>
      <c r="O57">
        <v>41.557359559176199</v>
      </c>
      <c r="Q57">
        <v>1.2789262175143501</v>
      </c>
      <c r="R57">
        <v>4.5493102495513504</v>
      </c>
      <c r="T57">
        <v>0.47717647206233793</v>
      </c>
      <c r="U57">
        <v>4.09437458536698</v>
      </c>
      <c r="V57">
        <v>6.0183345642726475E-2</v>
      </c>
    </row>
    <row r="58" spans="1:22" x14ac:dyDescent="0.3">
      <c r="A58" s="2" t="s">
        <v>106</v>
      </c>
      <c r="B58" s="1">
        <v>3</v>
      </c>
      <c r="C58" s="1">
        <v>3</v>
      </c>
      <c r="D58" s="1">
        <v>24.14</v>
      </c>
      <c r="E58" s="1">
        <v>9.92</v>
      </c>
      <c r="F58" s="1">
        <v>16.95</v>
      </c>
      <c r="G58" s="1">
        <v>2.2961</v>
      </c>
      <c r="H58" s="1">
        <v>0.48149999999999998</v>
      </c>
      <c r="I58" s="1">
        <v>9.6299999999999997E-2</v>
      </c>
      <c r="J58">
        <v>3.2000000000000001E-2</v>
      </c>
      <c r="K58">
        <v>2.21104007144528</v>
      </c>
      <c r="L58">
        <v>2.1221360026788401</v>
      </c>
      <c r="M58">
        <v>5.6048717041143297</v>
      </c>
      <c r="N58">
        <v>22.497327884959901</v>
      </c>
      <c r="O58">
        <v>57.614785024482003</v>
      </c>
      <c r="Q58">
        <v>7.5592340619921696</v>
      </c>
      <c r="R58">
        <v>13.2734685635912</v>
      </c>
      <c r="T58">
        <v>0.33249095477380397</v>
      </c>
      <c r="U58">
        <v>3.5976613204119348</v>
      </c>
      <c r="V58">
        <v>6.9012287588159249E-2</v>
      </c>
    </row>
    <row r="59" spans="1:22" x14ac:dyDescent="0.3">
      <c r="A59" s="3" t="s">
        <v>107</v>
      </c>
      <c r="B59" s="1">
        <v>3</v>
      </c>
      <c r="C59" s="1">
        <v>3</v>
      </c>
      <c r="D59" s="1">
        <v>22.09</v>
      </c>
      <c r="E59" s="1">
        <v>8.3800000000000008</v>
      </c>
      <c r="F59" s="1">
        <v>16.010000000000002</v>
      </c>
      <c r="G59" s="1">
        <v>1.71</v>
      </c>
      <c r="H59" s="1">
        <v>0.36849999999999999</v>
      </c>
      <c r="I59" s="1">
        <v>7.5999999999999998E-2</v>
      </c>
      <c r="J59">
        <v>3.2000000000000001E-2</v>
      </c>
      <c r="K59">
        <v>1.58164842146639</v>
      </c>
      <c r="L59">
        <v>1.57659094309554</v>
      </c>
      <c r="M59">
        <v>4.2200838456130896</v>
      </c>
      <c r="N59">
        <v>22.949802273899</v>
      </c>
      <c r="O59">
        <v>62.814734943119298</v>
      </c>
      <c r="Q59">
        <v>3.1071261469417601</v>
      </c>
      <c r="R59">
        <v>7.2122875281202301</v>
      </c>
      <c r="T59">
        <v>0.3197791624813861</v>
      </c>
      <c r="U59">
        <v>5.1748878913349969</v>
      </c>
      <c r="V59">
        <v>6.2821932799550104E-2</v>
      </c>
    </row>
    <row r="60" spans="1:22" x14ac:dyDescent="0.3">
      <c r="A60" s="2" t="s">
        <v>108</v>
      </c>
      <c r="B60" s="1">
        <v>4</v>
      </c>
      <c r="C60" s="1">
        <v>1</v>
      </c>
      <c r="D60" s="1">
        <v>21</v>
      </c>
      <c r="E60" s="1">
        <v>8.19</v>
      </c>
      <c r="F60" s="1">
        <v>14.83</v>
      </c>
      <c r="G60" s="1">
        <v>1.7101</v>
      </c>
      <c r="H60" s="1">
        <v>0.30180000000000001</v>
      </c>
      <c r="I60" s="1">
        <v>5.9200000000000003E-2</v>
      </c>
      <c r="J60">
        <v>3.2000000000000001E-2</v>
      </c>
      <c r="K60">
        <v>1.31934443157864</v>
      </c>
      <c r="L60">
        <v>1.3298864449464001</v>
      </c>
      <c r="M60">
        <v>2.6795582965015301</v>
      </c>
      <c r="N60">
        <v>14.743616768285101</v>
      </c>
      <c r="O60">
        <v>40.715428017115201</v>
      </c>
      <c r="Q60">
        <v>4.16083245309781</v>
      </c>
      <c r="R60">
        <v>5.7038806925671404</v>
      </c>
      <c r="T60">
        <v>0.20960039078475073</v>
      </c>
      <c r="U60">
        <v>4.3281672475753084</v>
      </c>
      <c r="V60">
        <v>3.0314642304601524E-2</v>
      </c>
    </row>
    <row r="61" spans="1:22" x14ac:dyDescent="0.3">
      <c r="A61" s="3" t="s">
        <v>109</v>
      </c>
      <c r="B61" s="1">
        <v>4</v>
      </c>
      <c r="C61" s="1">
        <v>1</v>
      </c>
      <c r="D61" s="1">
        <v>19.91</v>
      </c>
      <c r="E61" s="1">
        <v>8.7799999999999994</v>
      </c>
      <c r="F61" s="1">
        <v>14.56</v>
      </c>
      <c r="G61" s="1">
        <v>1.518</v>
      </c>
      <c r="H61" s="1">
        <v>0.35110000000000002</v>
      </c>
      <c r="I61" s="1">
        <v>6.7900000000000002E-2</v>
      </c>
      <c r="J61">
        <v>3.2000000000000001E-2</v>
      </c>
      <c r="K61">
        <v>1.33162849649562</v>
      </c>
      <c r="L61">
        <v>1.32143529909748</v>
      </c>
      <c r="M61">
        <v>4.7202365962445798</v>
      </c>
      <c r="N61">
        <v>15.3027669079367</v>
      </c>
      <c r="O61">
        <v>47.127445811024799</v>
      </c>
      <c r="Q61">
        <v>4.4688675159757096</v>
      </c>
      <c r="R61">
        <v>8.4456088858374194</v>
      </c>
      <c r="T61">
        <v>0.46019469227469179</v>
      </c>
      <c r="U61">
        <v>4.6239992958218847</v>
      </c>
      <c r="V61">
        <v>6.8116484282827156E-2</v>
      </c>
    </row>
    <row r="62" spans="1:22" x14ac:dyDescent="0.3">
      <c r="A62" s="2" t="s">
        <v>110</v>
      </c>
      <c r="B62" s="1">
        <v>4</v>
      </c>
      <c r="C62" s="1">
        <v>2</v>
      </c>
      <c r="D62" s="1">
        <v>21.52</v>
      </c>
      <c r="E62" s="1">
        <v>9.67</v>
      </c>
      <c r="F62" s="1">
        <v>15.16</v>
      </c>
      <c r="G62" s="1">
        <v>1.9964</v>
      </c>
      <c r="H62" s="1">
        <v>0.38490000000000002</v>
      </c>
      <c r="I62" s="1">
        <v>7.4399999999999994E-2</v>
      </c>
      <c r="J62">
        <v>3.2000000000000001E-2</v>
      </c>
      <c r="K62">
        <v>1.24368857447182</v>
      </c>
      <c r="L62">
        <v>1.24086823133601</v>
      </c>
      <c r="M62">
        <v>3.8470537850955999</v>
      </c>
      <c r="N62">
        <v>15.0030119906425</v>
      </c>
      <c r="O62">
        <v>40.130355056095297</v>
      </c>
      <c r="Q62">
        <v>3.69574467907798</v>
      </c>
      <c r="R62">
        <v>10.2343429552821</v>
      </c>
      <c r="T62">
        <v>0.32204606864306679</v>
      </c>
      <c r="U62">
        <v>3.3319397277759566</v>
      </c>
      <c r="V62">
        <v>0.10221305563382313</v>
      </c>
    </row>
    <row r="63" spans="1:22" x14ac:dyDescent="0.3">
      <c r="A63" s="3" t="s">
        <v>111</v>
      </c>
      <c r="B63" s="1">
        <v>4</v>
      </c>
      <c r="C63" s="1">
        <v>2</v>
      </c>
      <c r="D63" s="1">
        <v>21.38</v>
      </c>
      <c r="E63" s="1">
        <v>8.64</v>
      </c>
      <c r="F63" s="1">
        <v>14.97</v>
      </c>
      <c r="G63" s="1">
        <v>1.6652</v>
      </c>
      <c r="H63" s="1">
        <v>0.3448</v>
      </c>
      <c r="I63" s="1">
        <v>6.54E-2</v>
      </c>
      <c r="J63">
        <v>3.2000000000000001E-2</v>
      </c>
      <c r="K63">
        <v>1.35394442134529</v>
      </c>
      <c r="L63">
        <v>1.4164076233238201</v>
      </c>
      <c r="M63">
        <v>3.3165080742192798</v>
      </c>
      <c r="N63">
        <v>12.446748321952001</v>
      </c>
      <c r="O63">
        <v>26.3825845319123</v>
      </c>
      <c r="Q63">
        <v>4.2881197121348302</v>
      </c>
      <c r="R63">
        <v>7.5589211970050201</v>
      </c>
      <c r="T63">
        <v>0.26710647561701067</v>
      </c>
      <c r="U63">
        <v>2.1022230231343175</v>
      </c>
      <c r="V63">
        <v>5.8166253195159417E-2</v>
      </c>
    </row>
    <row r="64" spans="1:22" x14ac:dyDescent="0.3">
      <c r="A64" s="2" t="s">
        <v>112</v>
      </c>
      <c r="B64" s="1">
        <v>4</v>
      </c>
      <c r="C64" s="1">
        <v>3</v>
      </c>
      <c r="D64" s="1">
        <v>23.45</v>
      </c>
      <c r="E64" s="1">
        <v>9.65</v>
      </c>
      <c r="F64" s="1">
        <v>15.84</v>
      </c>
      <c r="G64" s="1">
        <v>2.0146999999999999</v>
      </c>
      <c r="H64" s="1">
        <v>0.53339999999999999</v>
      </c>
      <c r="I64" s="1">
        <v>0.10680000000000001</v>
      </c>
      <c r="J64">
        <v>0.04</v>
      </c>
      <c r="K64">
        <v>1.4378986630505699</v>
      </c>
      <c r="L64">
        <v>1.4065220222982699</v>
      </c>
      <c r="M64">
        <v>4.9779319170144696</v>
      </c>
      <c r="N64">
        <v>17.352157767041799</v>
      </c>
      <c r="O64">
        <v>47.381853492636303</v>
      </c>
      <c r="Q64">
        <v>5.9806119647255302</v>
      </c>
      <c r="R64">
        <v>10.3000542738948</v>
      </c>
      <c r="T64">
        <v>0.38429440552508021</v>
      </c>
      <c r="U64">
        <v>3.4674738547568484</v>
      </c>
      <c r="V64">
        <v>5.8797801770321012E-2</v>
      </c>
    </row>
    <row r="65" spans="1:22" x14ac:dyDescent="0.3">
      <c r="A65" s="3" t="s">
        <v>113</v>
      </c>
      <c r="B65" s="1">
        <v>4</v>
      </c>
      <c r="C65" s="1">
        <v>3</v>
      </c>
      <c r="D65" s="1">
        <v>21.24</v>
      </c>
      <c r="E65" s="1">
        <v>8.18</v>
      </c>
      <c r="F65" s="1">
        <v>14.67</v>
      </c>
      <c r="G65" s="1">
        <v>1.6420999999999999</v>
      </c>
      <c r="H65" s="1">
        <v>0.39389999999999997</v>
      </c>
      <c r="I65" s="1">
        <v>7.8E-2</v>
      </c>
      <c r="J65">
        <v>3.2000000000000001E-2</v>
      </c>
      <c r="K65">
        <v>1.24925525139936</v>
      </c>
      <c r="L65">
        <v>1.1539611996446699</v>
      </c>
      <c r="M65">
        <v>4.8038786785751402</v>
      </c>
      <c r="N65">
        <v>19.362342730127502</v>
      </c>
      <c r="O65">
        <v>66.280942578167398</v>
      </c>
      <c r="Q65">
        <v>4.7826190507292399</v>
      </c>
      <c r="R65">
        <v>9.1278324979212506</v>
      </c>
      <c r="T65">
        <v>0.43020360684993808</v>
      </c>
      <c r="U65">
        <v>5.934360752061826</v>
      </c>
      <c r="V65">
        <v>6.4790474969515344E-2</v>
      </c>
    </row>
    <row r="66" spans="1:22" x14ac:dyDescent="0.3">
      <c r="A66" s="2" t="s">
        <v>114</v>
      </c>
      <c r="B66" s="1">
        <v>6</v>
      </c>
      <c r="C66" s="1">
        <v>1</v>
      </c>
      <c r="D66" s="1">
        <v>20.7</v>
      </c>
      <c r="E66" s="1">
        <v>8.86</v>
      </c>
      <c r="F66" s="1">
        <v>13.73</v>
      </c>
      <c r="G66" s="1">
        <v>1.5508999999999999</v>
      </c>
      <c r="H66" s="1">
        <v>0.28410000000000002</v>
      </c>
      <c r="I66" s="1">
        <v>5.21E-2</v>
      </c>
      <c r="J66">
        <v>3.2000000000000001E-2</v>
      </c>
      <c r="K66">
        <v>1.2509415905411301</v>
      </c>
      <c r="L66">
        <v>1.3019214567334001</v>
      </c>
      <c r="M66">
        <v>4.9977856671604304</v>
      </c>
      <c r="N66">
        <v>10.6432041265503</v>
      </c>
      <c r="O66">
        <v>23.724657255511499</v>
      </c>
      <c r="Q66">
        <v>2.9465230041789101</v>
      </c>
      <c r="R66">
        <v>5.1631527429382</v>
      </c>
      <c r="T66">
        <v>0.652174610460306</v>
      </c>
      <c r="U66">
        <v>2.4770899038211058</v>
      </c>
      <c r="V66">
        <v>4.948232344273714E-2</v>
      </c>
    </row>
    <row r="67" spans="1:22" x14ac:dyDescent="0.3">
      <c r="A67" s="3" t="s">
        <v>115</v>
      </c>
      <c r="B67" s="1">
        <v>6</v>
      </c>
      <c r="C67" s="1">
        <v>1</v>
      </c>
      <c r="D67" s="1">
        <v>21.71</v>
      </c>
      <c r="E67" s="1">
        <v>8.6300000000000008</v>
      </c>
      <c r="F67" s="1">
        <v>14.53</v>
      </c>
      <c r="G67" s="1">
        <v>1.7839</v>
      </c>
      <c r="H67" s="1">
        <v>0.42949999999999999</v>
      </c>
      <c r="I67" s="1">
        <v>8.6699999999999999E-2</v>
      </c>
      <c r="J67">
        <v>3.2000000000000001E-2</v>
      </c>
      <c r="K67">
        <v>1.69193974495026</v>
      </c>
      <c r="L67">
        <v>1.68528389654844</v>
      </c>
      <c r="M67">
        <v>5.2338921728171499</v>
      </c>
      <c r="N67">
        <v>16.799519515191001</v>
      </c>
      <c r="O67">
        <v>30.485117116999501</v>
      </c>
      <c r="Q67">
        <v>4.0739150644941899</v>
      </c>
      <c r="R67">
        <v>6.92179609749682</v>
      </c>
      <c r="T67">
        <v>0.3762916383933565</v>
      </c>
      <c r="U67">
        <v>1.5572852560599995</v>
      </c>
      <c r="V67">
        <v>3.8202993732680268E-2</v>
      </c>
    </row>
    <row r="68" spans="1:22" x14ac:dyDescent="0.3">
      <c r="A68" s="2" t="s">
        <v>116</v>
      </c>
      <c r="B68" s="1">
        <v>6</v>
      </c>
      <c r="C68" s="1">
        <v>2</v>
      </c>
      <c r="D68" s="1">
        <v>22.84</v>
      </c>
      <c r="E68" s="1">
        <v>9.1300000000000008</v>
      </c>
      <c r="F68" s="1">
        <v>16.66</v>
      </c>
      <c r="G68" s="1">
        <v>1.9805999999999999</v>
      </c>
      <c r="H68" s="1">
        <v>0.4229</v>
      </c>
      <c r="I68" s="1">
        <v>7.7799999999999994E-2</v>
      </c>
      <c r="J68">
        <v>3.2000000000000001E-2</v>
      </c>
      <c r="K68">
        <v>2.2512268939926301</v>
      </c>
      <c r="L68">
        <v>2.17955558533991</v>
      </c>
      <c r="M68">
        <v>6.0184980919970297</v>
      </c>
      <c r="N68">
        <v>16.9588522158332</v>
      </c>
      <c r="O68">
        <v>42.929920311879002</v>
      </c>
      <c r="Q68">
        <v>5.6527789050472901</v>
      </c>
      <c r="R68">
        <v>8.9667869773042508</v>
      </c>
      <c r="T68">
        <v>0.4536465530745874</v>
      </c>
      <c r="U68">
        <v>3.2933183728579625</v>
      </c>
      <c r="V68">
        <v>4.9541438924906638E-2</v>
      </c>
    </row>
    <row r="69" spans="1:22" x14ac:dyDescent="0.3">
      <c r="A69" s="3" t="s">
        <v>117</v>
      </c>
      <c r="B69" s="1">
        <v>6</v>
      </c>
      <c r="C69" s="1">
        <v>2</v>
      </c>
      <c r="D69" s="1">
        <v>21.67</v>
      </c>
      <c r="E69" s="1">
        <v>10.53</v>
      </c>
      <c r="F69" s="1">
        <v>16.39</v>
      </c>
      <c r="G69" s="1">
        <v>2.2989999999999999</v>
      </c>
      <c r="H69" s="1">
        <v>0.4763</v>
      </c>
      <c r="I69" s="1">
        <v>9.5200000000000007E-2</v>
      </c>
      <c r="J69">
        <v>3.2000000000000001E-2</v>
      </c>
      <c r="K69">
        <v>2.3937778744321698</v>
      </c>
      <c r="L69">
        <v>2.38071384502418</v>
      </c>
      <c r="M69">
        <v>5.9817039265323899</v>
      </c>
      <c r="N69">
        <v>17.313585664293399</v>
      </c>
      <c r="O69">
        <v>30.1638955878582</v>
      </c>
      <c r="Q69">
        <v>6.64449209553751</v>
      </c>
      <c r="R69">
        <v>10.189739499297801</v>
      </c>
      <c r="T69">
        <v>0.3477527564427928</v>
      </c>
      <c r="U69">
        <v>1.3316808569529508</v>
      </c>
      <c r="V69">
        <v>4.3311602315854708E-2</v>
      </c>
    </row>
    <row r="70" spans="1:22" x14ac:dyDescent="0.3">
      <c r="A70" s="2" t="s">
        <v>118</v>
      </c>
      <c r="B70" s="1">
        <v>6</v>
      </c>
      <c r="C70" s="1">
        <v>3</v>
      </c>
      <c r="D70" s="1">
        <v>20.79</v>
      </c>
      <c r="E70" s="1">
        <v>8.2799999999999994</v>
      </c>
      <c r="F70" s="1">
        <v>14.34</v>
      </c>
      <c r="G70" s="1">
        <v>1.6682999999999999</v>
      </c>
      <c r="H70" s="1">
        <v>0.35060000000000002</v>
      </c>
      <c r="I70" s="1">
        <v>6.8400000000000002E-2</v>
      </c>
      <c r="J70">
        <v>3.2000000000000001E-2</v>
      </c>
      <c r="K70">
        <v>1.37219584614483</v>
      </c>
      <c r="L70">
        <v>1.3448442134010601</v>
      </c>
      <c r="M70">
        <v>4.3937534729419703</v>
      </c>
      <c r="N70">
        <v>19.210852351264499</v>
      </c>
      <c r="O70">
        <v>51.120387112013198</v>
      </c>
      <c r="Q70">
        <v>5.7659736578845298</v>
      </c>
      <c r="R70">
        <v>12.0151365575261</v>
      </c>
      <c r="T70">
        <v>0.40980193228823553</v>
      </c>
      <c r="U70">
        <v>4.6024372242052989</v>
      </c>
      <c r="V70">
        <v>0.10625769618127386</v>
      </c>
    </row>
    <row r="71" spans="1:22" x14ac:dyDescent="0.3">
      <c r="A71" s="3" t="s">
        <v>119</v>
      </c>
      <c r="B71" s="1">
        <v>6</v>
      </c>
      <c r="C71" s="1">
        <v>3</v>
      </c>
      <c r="D71" s="1">
        <v>22.08</v>
      </c>
      <c r="E71" s="1">
        <v>8.48</v>
      </c>
      <c r="F71" s="1">
        <v>14.6</v>
      </c>
      <c r="G71" s="1">
        <v>1.7670999999999999</v>
      </c>
      <c r="H71" s="1">
        <v>0.37769999999999998</v>
      </c>
      <c r="I71" s="1">
        <v>7.3200000000000001E-2</v>
      </c>
      <c r="J71">
        <v>3.2000000000000001E-2</v>
      </c>
      <c r="K71">
        <v>1.22879856719049</v>
      </c>
      <c r="L71">
        <v>1.1867627057540799</v>
      </c>
      <c r="M71">
        <v>2.9717392358091299</v>
      </c>
      <c r="N71">
        <v>13.701565564970601</v>
      </c>
      <c r="O71">
        <v>25.726189521983699</v>
      </c>
      <c r="Q71">
        <v>4.9105590592119404</v>
      </c>
      <c r="R71">
        <v>7.3760874266356797</v>
      </c>
      <c r="T71">
        <v>0.22418524899882661</v>
      </c>
      <c r="U71">
        <v>1.6206301927637763</v>
      </c>
      <c r="V71">
        <v>3.9173608093558826E-2</v>
      </c>
    </row>
    <row r="72" spans="1:22" x14ac:dyDescent="0.3">
      <c r="A72" s="3" t="s">
        <v>120</v>
      </c>
      <c r="B72" s="1">
        <v>9</v>
      </c>
      <c r="C72" s="1">
        <v>1</v>
      </c>
      <c r="D72" s="1">
        <v>22.5</v>
      </c>
      <c r="E72" s="1">
        <v>9.5399999999999991</v>
      </c>
      <c r="F72" s="1">
        <v>15.68</v>
      </c>
      <c r="G72" s="1">
        <v>2.0316999999999998</v>
      </c>
      <c r="H72" s="1">
        <v>0.42480000000000001</v>
      </c>
      <c r="I72" s="1">
        <v>7.7899999999999997E-2</v>
      </c>
      <c r="J72">
        <v>3.2000000000000001E-2</v>
      </c>
      <c r="K72">
        <v>1.7472234773164299</v>
      </c>
      <c r="L72">
        <v>1.7004713850898701</v>
      </c>
      <c r="M72">
        <v>4.3998459604375002</v>
      </c>
      <c r="N72">
        <v>15.414839243905799</v>
      </c>
      <c r="O72">
        <v>26.460486562183899</v>
      </c>
      <c r="Q72">
        <v>4.0328814635474703</v>
      </c>
      <c r="R72">
        <v>6.6629579565177197</v>
      </c>
      <c r="T72">
        <v>0.31857471239943486</v>
      </c>
      <c r="U72">
        <v>1.3988695530578232</v>
      </c>
      <c r="V72">
        <v>3.9266805704545819E-2</v>
      </c>
    </row>
    <row r="73" spans="1:22" x14ac:dyDescent="0.3">
      <c r="A73" s="2" t="s">
        <v>121</v>
      </c>
      <c r="B73" s="1">
        <v>9</v>
      </c>
      <c r="C73" s="1">
        <v>1</v>
      </c>
      <c r="D73" s="1">
        <v>22.98</v>
      </c>
      <c r="E73" s="1">
        <v>9.7799999999999994</v>
      </c>
      <c r="F73" s="1">
        <v>15.95</v>
      </c>
      <c r="G73" s="1">
        <v>2.3328000000000002</v>
      </c>
      <c r="H73" s="1">
        <v>0.47470000000000001</v>
      </c>
      <c r="I73" s="1">
        <v>9.3399999999999997E-2</v>
      </c>
      <c r="J73">
        <v>3.2000000000000001E-2</v>
      </c>
      <c r="K73">
        <v>1.83258072551829</v>
      </c>
      <c r="L73">
        <v>1.7976492657079901</v>
      </c>
      <c r="M73">
        <v>5.9722997381454501</v>
      </c>
      <c r="N73">
        <v>18.078039835837799</v>
      </c>
      <c r="O73">
        <v>27.1683046549187</v>
      </c>
      <c r="Q73">
        <v>5.56935287839549</v>
      </c>
      <c r="R73">
        <v>8.3196492171943195</v>
      </c>
      <c r="T73">
        <v>0.41092148376232374</v>
      </c>
      <c r="U73">
        <v>0.96018111990497357</v>
      </c>
      <c r="V73">
        <v>3.4247373167843591E-2</v>
      </c>
    </row>
    <row r="74" spans="1:22" x14ac:dyDescent="0.3">
      <c r="A74" s="3" t="s">
        <v>122</v>
      </c>
      <c r="B74" s="1">
        <v>9</v>
      </c>
      <c r="C74" s="1">
        <v>2</v>
      </c>
      <c r="D74" s="1">
        <v>23.34</v>
      </c>
      <c r="E74" s="1">
        <v>9.7799999999999994</v>
      </c>
      <c r="F74" s="1">
        <v>16.11</v>
      </c>
      <c r="G74" s="1">
        <v>2.2349000000000001</v>
      </c>
      <c r="H74" s="1">
        <v>0.52380000000000004</v>
      </c>
      <c r="I74" s="1">
        <v>0.1084</v>
      </c>
      <c r="J74">
        <v>3.2000000000000001E-2</v>
      </c>
      <c r="K74">
        <v>2.1849902823943199</v>
      </c>
      <c r="L74">
        <v>2.2542143338252298</v>
      </c>
      <c r="M74">
        <v>5.8627773905526599</v>
      </c>
      <c r="N74">
        <v>26.949734712703499</v>
      </c>
      <c r="O74">
        <v>44.289736206929597</v>
      </c>
      <c r="Q74">
        <v>6.6183024805047497</v>
      </c>
      <c r="R74">
        <v>9.7140042899415704</v>
      </c>
      <c r="T74">
        <v>0.30604875754916333</v>
      </c>
      <c r="U74">
        <v>1.5781320917106734</v>
      </c>
      <c r="V74">
        <v>3.3214253066857935E-2</v>
      </c>
    </row>
    <row r="75" spans="1:22" x14ac:dyDescent="0.3">
      <c r="A75" s="2" t="s">
        <v>123</v>
      </c>
      <c r="B75" s="1">
        <v>9</v>
      </c>
      <c r="C75" s="1">
        <v>2</v>
      </c>
      <c r="D75" s="1">
        <v>21.46</v>
      </c>
      <c r="E75" s="1">
        <v>8.86</v>
      </c>
      <c r="F75" s="1">
        <v>15.96</v>
      </c>
      <c r="G75" s="1">
        <v>1.9257</v>
      </c>
      <c r="H75" s="1">
        <v>0.39850000000000002</v>
      </c>
      <c r="I75" s="1">
        <v>7.5899999999999995E-2</v>
      </c>
      <c r="J75">
        <v>3.2000000000000001E-2</v>
      </c>
      <c r="K75">
        <v>1.8071677302173801</v>
      </c>
      <c r="L75">
        <v>1.7216432395886001</v>
      </c>
      <c r="M75">
        <v>4.2033337215068096</v>
      </c>
      <c r="N75">
        <v>13.6392489297582</v>
      </c>
      <c r="O75">
        <v>20.033580103785098</v>
      </c>
      <c r="Q75">
        <v>5.07275836399812</v>
      </c>
      <c r="R75">
        <v>8.6128195653181105</v>
      </c>
      <c r="T75">
        <v>0.30060170770175565</v>
      </c>
      <c r="U75">
        <v>0.8311451071209458</v>
      </c>
      <c r="V75">
        <v>5.4245491167104115E-2</v>
      </c>
    </row>
    <row r="76" spans="1:22" x14ac:dyDescent="0.3">
      <c r="A76" s="3" t="s">
        <v>124</v>
      </c>
      <c r="B76" s="1">
        <v>9</v>
      </c>
      <c r="C76" s="1">
        <v>3</v>
      </c>
      <c r="D76" s="1">
        <v>20.76</v>
      </c>
      <c r="E76" s="1">
        <v>8.94</v>
      </c>
      <c r="F76" s="1">
        <v>14.29</v>
      </c>
      <c r="G76" s="1">
        <v>1.7831999999999999</v>
      </c>
      <c r="H76" s="1">
        <v>0.32890000000000003</v>
      </c>
      <c r="I76" s="1">
        <v>7.4200000000000002E-2</v>
      </c>
      <c r="J76">
        <v>3.2000000000000001E-2</v>
      </c>
      <c r="K76">
        <v>1.26814939267536</v>
      </c>
      <c r="L76">
        <v>1.2718250269781499</v>
      </c>
      <c r="M76">
        <v>2.8922600093542599</v>
      </c>
      <c r="N76">
        <v>14.055050464600599</v>
      </c>
      <c r="O76">
        <v>21.517893019855599</v>
      </c>
      <c r="Q76">
        <v>5.2610039332524501</v>
      </c>
      <c r="R76">
        <v>6.49824949159576</v>
      </c>
      <c r="T76">
        <v>0.20077669884060653</v>
      </c>
      <c r="U76">
        <v>0.99225632767013117</v>
      </c>
      <c r="V76">
        <v>1.9393073775951529E-2</v>
      </c>
    </row>
    <row r="77" spans="1:22" x14ac:dyDescent="0.3">
      <c r="A77" s="2" t="s">
        <v>125</v>
      </c>
      <c r="B77" s="1">
        <v>9</v>
      </c>
      <c r="C77" s="1">
        <v>3</v>
      </c>
      <c r="D77" s="1">
        <v>21.58</v>
      </c>
      <c r="E77" s="1">
        <v>9.25</v>
      </c>
      <c r="F77" s="1">
        <v>15.54</v>
      </c>
      <c r="G77" s="1">
        <v>1.9624999999999999</v>
      </c>
      <c r="H77" s="1">
        <v>0.38950000000000001</v>
      </c>
      <c r="I77" s="1">
        <v>6.4000000000000001E-2</v>
      </c>
      <c r="J77">
        <v>3.2000000000000001E-2</v>
      </c>
      <c r="K77">
        <v>1.6315712594862499</v>
      </c>
      <c r="L77">
        <v>1.6223831633916801</v>
      </c>
      <c r="M77">
        <v>4.4759570815839202</v>
      </c>
      <c r="N77">
        <v>14.3125434022961</v>
      </c>
      <c r="O77">
        <v>30.447892852010401</v>
      </c>
      <c r="Q77">
        <v>5.9336196004908803</v>
      </c>
      <c r="R77">
        <v>9.0911291961485201</v>
      </c>
      <c r="T77">
        <v>0.40991589334831535</v>
      </c>
      <c r="U77">
        <v>2.4872641176734596</v>
      </c>
      <c r="V77">
        <v>5.7379843127088465E-2</v>
      </c>
    </row>
    <row r="78" spans="1:22" x14ac:dyDescent="0.3">
      <c r="A78" s="3" t="s">
        <v>126</v>
      </c>
      <c r="B78" s="1">
        <v>12</v>
      </c>
      <c r="C78" s="1">
        <v>1</v>
      </c>
      <c r="D78" s="1">
        <v>21.98</v>
      </c>
      <c r="E78" s="1">
        <v>9.18</v>
      </c>
      <c r="F78" s="1">
        <v>15.1</v>
      </c>
      <c r="G78" s="1">
        <v>1.9661999999999999</v>
      </c>
      <c r="H78" s="1">
        <v>0.40860000000000002</v>
      </c>
      <c r="I78" s="1">
        <v>8.2900000000000001E-2</v>
      </c>
      <c r="J78">
        <v>3.2000000000000001E-2</v>
      </c>
      <c r="K78">
        <v>1.7743981874507</v>
      </c>
      <c r="L78">
        <v>1.7835716388624001</v>
      </c>
      <c r="M78">
        <v>5.3130935268846198</v>
      </c>
      <c r="N78">
        <v>18.189520076729</v>
      </c>
      <c r="O78">
        <v>26.286615550935601</v>
      </c>
      <c r="Q78">
        <v>3.6485218508684998</v>
      </c>
      <c r="R78">
        <v>6.50490774458732</v>
      </c>
      <c r="T78">
        <v>0.39142355162510345</v>
      </c>
      <c r="U78">
        <v>0.96360319795334914</v>
      </c>
      <c r="V78">
        <v>4.0073474666233254E-2</v>
      </c>
    </row>
    <row r="79" spans="1:22" x14ac:dyDescent="0.3">
      <c r="A79" s="2" t="s">
        <v>127</v>
      </c>
      <c r="B79" s="1">
        <v>12</v>
      </c>
      <c r="C79" s="1">
        <v>1</v>
      </c>
      <c r="D79" s="1">
        <v>22.66</v>
      </c>
      <c r="E79" s="1">
        <v>9.8800000000000008</v>
      </c>
      <c r="F79" s="1">
        <v>16.34</v>
      </c>
      <c r="G79" s="1">
        <v>2.415</v>
      </c>
      <c r="H79" s="1">
        <v>0.50749999999999995</v>
      </c>
      <c r="I79" s="1">
        <v>0.1066</v>
      </c>
      <c r="J79">
        <v>3.2000000000000001E-2</v>
      </c>
      <c r="K79">
        <v>1.9289047889047799</v>
      </c>
      <c r="L79">
        <v>1.9260854962754399</v>
      </c>
      <c r="M79">
        <v>5.5068814332945699</v>
      </c>
      <c r="N79">
        <v>20.126715160856499</v>
      </c>
      <c r="O79">
        <v>32.063242247477497</v>
      </c>
      <c r="Q79">
        <v>5.9583297538862103</v>
      </c>
      <c r="R79">
        <v>8.4608057269661394</v>
      </c>
      <c r="T79">
        <v>0.30882181544633275</v>
      </c>
      <c r="U79">
        <v>1.1046998276338473</v>
      </c>
      <c r="V79">
        <v>2.7302811029370364E-2</v>
      </c>
    </row>
    <row r="80" spans="1:22" x14ac:dyDescent="0.3">
      <c r="A80" s="3" t="s">
        <v>128</v>
      </c>
      <c r="B80" s="1">
        <v>12</v>
      </c>
      <c r="C80" s="1">
        <v>2</v>
      </c>
      <c r="D80" s="1">
        <v>23.6</v>
      </c>
      <c r="E80" s="1">
        <v>9.32</v>
      </c>
      <c r="F80" s="1">
        <v>16.04</v>
      </c>
      <c r="G80" s="1">
        <v>2.2431000000000001</v>
      </c>
      <c r="H80" s="1">
        <v>0.54520000000000002</v>
      </c>
      <c r="I80" s="1">
        <v>0.1011</v>
      </c>
      <c r="J80">
        <v>3.2000000000000001E-2</v>
      </c>
      <c r="K80">
        <v>2.5451616638765202</v>
      </c>
      <c r="L80">
        <v>2.5215045821456399</v>
      </c>
      <c r="M80">
        <v>4.3410922536126</v>
      </c>
      <c r="N80">
        <v>20.338097359178199</v>
      </c>
      <c r="O80">
        <v>27.012515511428902</v>
      </c>
      <c r="Q80">
        <v>10.694768443021101</v>
      </c>
      <c r="R80">
        <v>13.535786505861401</v>
      </c>
      <c r="T80">
        <v>0.16546549175468492</v>
      </c>
      <c r="U80">
        <v>0.6513070200083535</v>
      </c>
      <c r="V80">
        <v>3.2682667139523079E-2</v>
      </c>
    </row>
    <row r="81" spans="1:22" x14ac:dyDescent="0.3">
      <c r="A81" s="2" t="s">
        <v>129</v>
      </c>
      <c r="B81" s="1">
        <v>12</v>
      </c>
      <c r="C81" s="1">
        <v>2</v>
      </c>
      <c r="D81" s="1">
        <v>22.43</v>
      </c>
      <c r="E81" s="1">
        <v>9.51</v>
      </c>
      <c r="F81" s="1">
        <v>16.72</v>
      </c>
      <c r="G81" s="1">
        <v>2.1013000000000002</v>
      </c>
      <c r="H81" s="1">
        <v>0.41710000000000003</v>
      </c>
      <c r="I81" s="1">
        <v>7.3899999999999993E-2</v>
      </c>
      <c r="J81">
        <v>3.2000000000000001E-2</v>
      </c>
      <c r="K81">
        <v>1.56246657223049</v>
      </c>
      <c r="L81">
        <v>1.5293667071795001</v>
      </c>
      <c r="M81">
        <v>4.6346703848762196</v>
      </c>
      <c r="N81">
        <v>20.714308610518</v>
      </c>
      <c r="O81">
        <v>28.271573245526898</v>
      </c>
      <c r="Q81">
        <v>5.0718627148401296</v>
      </c>
      <c r="R81">
        <v>7.4965462674404701</v>
      </c>
      <c r="T81">
        <v>0.38631826645835671</v>
      </c>
      <c r="U81">
        <v>1.008889715604111</v>
      </c>
      <c r="V81">
        <v>3.8159728809422207E-2</v>
      </c>
    </row>
    <row r="82" spans="1:22" x14ac:dyDescent="0.3">
      <c r="A82" s="3" t="s">
        <v>130</v>
      </c>
      <c r="B82" s="1">
        <v>12</v>
      </c>
      <c r="C82" s="1">
        <v>3</v>
      </c>
      <c r="D82" s="1">
        <v>21.36</v>
      </c>
      <c r="E82" s="1">
        <v>9.42</v>
      </c>
      <c r="F82" s="1">
        <v>15.36</v>
      </c>
      <c r="G82" s="1">
        <v>1.9319</v>
      </c>
      <c r="H82" s="1">
        <v>0.35720000000000002</v>
      </c>
      <c r="I82" s="1">
        <v>7.1099999999999997E-2</v>
      </c>
      <c r="J82">
        <v>3.2000000000000001E-2</v>
      </c>
      <c r="K82">
        <v>1.6868762558314301</v>
      </c>
      <c r="L82">
        <v>1.65589502709798</v>
      </c>
      <c r="M82">
        <v>5.9086893504537299</v>
      </c>
      <c r="N82">
        <v>16.691070932129701</v>
      </c>
      <c r="O82">
        <v>22.142185594630899</v>
      </c>
      <c r="Q82">
        <v>3.1066242325080902</v>
      </c>
      <c r="R82">
        <v>5.8886734679808903</v>
      </c>
      <c r="T82">
        <v>0.54990843728837446</v>
      </c>
      <c r="U82">
        <v>0.75637857685473731</v>
      </c>
      <c r="V82">
        <v>4.5508221418063093E-2</v>
      </c>
    </row>
    <row r="83" spans="1:22" x14ac:dyDescent="0.3">
      <c r="A83" s="2" t="s">
        <v>131</v>
      </c>
      <c r="B83" s="1">
        <v>12</v>
      </c>
      <c r="C83" s="1">
        <v>3</v>
      </c>
      <c r="D83" s="1">
        <v>23.54</v>
      </c>
      <c r="E83" s="1">
        <v>8.8699999999999992</v>
      </c>
      <c r="F83" s="1">
        <v>16.48</v>
      </c>
      <c r="G83" s="1">
        <v>2.2574999999999998</v>
      </c>
      <c r="H83" s="1">
        <v>0.4713</v>
      </c>
      <c r="I83" s="1">
        <v>8.6900000000000005E-2</v>
      </c>
      <c r="J83">
        <v>3.2000000000000001E-2</v>
      </c>
      <c r="K83">
        <v>2.2496642724934799</v>
      </c>
      <c r="L83">
        <v>2.2343385977535801</v>
      </c>
      <c r="M83">
        <v>7.2656636320531396</v>
      </c>
      <c r="N83">
        <v>22.7752226249629</v>
      </c>
      <c r="O83">
        <v>36.177711143919197</v>
      </c>
      <c r="Q83">
        <v>8.5312586882784007</v>
      </c>
      <c r="R83">
        <v>12.0773589859201</v>
      </c>
      <c r="T83">
        <v>0.53228987152285878</v>
      </c>
      <c r="U83">
        <v>1.5215603076250315</v>
      </c>
      <c r="V83">
        <v>4.7459798505974704E-2</v>
      </c>
    </row>
    <row r="84" spans="1:22" x14ac:dyDescent="0.3">
      <c r="A84" s="3" t="s">
        <v>132</v>
      </c>
      <c r="B84" s="1">
        <v>16</v>
      </c>
      <c r="C84" s="1">
        <v>1</v>
      </c>
      <c r="D84" s="1">
        <v>22.28</v>
      </c>
      <c r="E84" s="1">
        <v>8.83</v>
      </c>
      <c r="F84" s="1">
        <v>15.06</v>
      </c>
      <c r="G84" s="1">
        <v>1.7747999999999999</v>
      </c>
      <c r="H84" s="1">
        <v>0.40910000000000002</v>
      </c>
      <c r="I84" s="1">
        <v>7.5800000000000006E-2</v>
      </c>
      <c r="J84">
        <v>3.2000000000000001E-2</v>
      </c>
      <c r="K84">
        <v>2.0054642195944399</v>
      </c>
      <c r="L84">
        <v>1.99027415247147</v>
      </c>
      <c r="M84">
        <v>3.8893646378638098</v>
      </c>
      <c r="N84">
        <v>16.308474351832398</v>
      </c>
      <c r="O84">
        <v>23.315899187768299</v>
      </c>
      <c r="Q84">
        <v>8.9504509511449601</v>
      </c>
      <c r="R84">
        <v>10.8099594867766</v>
      </c>
      <c r="T84">
        <v>0.23033612515175478</v>
      </c>
      <c r="U84">
        <v>0.91203760503178399</v>
      </c>
      <c r="V84">
        <v>2.853143545225624E-2</v>
      </c>
    </row>
    <row r="85" spans="1:22" x14ac:dyDescent="0.3">
      <c r="A85" s="2" t="s">
        <v>133</v>
      </c>
      <c r="B85" s="1">
        <v>16</v>
      </c>
      <c r="C85" s="1">
        <v>1</v>
      </c>
      <c r="H85" s="1">
        <v>0.4335</v>
      </c>
      <c r="I85" s="1">
        <v>8.5000000000000006E-2</v>
      </c>
      <c r="J85">
        <v>3.2000000000000001E-2</v>
      </c>
      <c r="K85">
        <v>1.62262073920834</v>
      </c>
      <c r="L85">
        <v>1.66373184524342</v>
      </c>
      <c r="M85">
        <v>4.3146774753849</v>
      </c>
      <c r="N85">
        <v>20.721074241333401</v>
      </c>
      <c r="O85">
        <v>27.226878645582399</v>
      </c>
      <c r="Q85">
        <v>7.3366533928719297</v>
      </c>
      <c r="R85">
        <v>11.6145932348189</v>
      </c>
      <c r="T85">
        <v>0.28672627935610245</v>
      </c>
      <c r="U85">
        <v>0.75510192859481085</v>
      </c>
      <c r="V85">
        <v>5.8534295926800053E-2</v>
      </c>
    </row>
    <row r="86" spans="1:22" x14ac:dyDescent="0.3">
      <c r="A86" s="3" t="s">
        <v>134</v>
      </c>
      <c r="B86" s="1">
        <v>16</v>
      </c>
      <c r="C86" s="1">
        <v>2</v>
      </c>
      <c r="D86" s="1">
        <v>22.43</v>
      </c>
      <c r="E86" s="1">
        <v>9.07</v>
      </c>
      <c r="F86" s="1">
        <v>15.18</v>
      </c>
      <c r="G86" s="1">
        <v>2.0482</v>
      </c>
      <c r="H86" s="1">
        <v>0.4904</v>
      </c>
      <c r="I86" s="1">
        <v>8.7900000000000006E-2</v>
      </c>
      <c r="J86">
        <v>3.2000000000000001E-2</v>
      </c>
      <c r="K86">
        <v>2.2974366718138302</v>
      </c>
      <c r="L86">
        <v>2.2399923700516902</v>
      </c>
      <c r="M86">
        <v>7.0484468828995297</v>
      </c>
      <c r="N86">
        <v>20.527299089981401</v>
      </c>
      <c r="O86">
        <v>26.962660901614399</v>
      </c>
      <c r="Q86">
        <v>7.0488258976090004</v>
      </c>
      <c r="R86">
        <v>9.7583700172075893</v>
      </c>
      <c r="T86">
        <v>0.50292386131192157</v>
      </c>
      <c r="U86">
        <v>0.72228333889472707</v>
      </c>
      <c r="V86">
        <v>3.5851060214538599E-2</v>
      </c>
    </row>
    <row r="87" spans="1:22" x14ac:dyDescent="0.3">
      <c r="A87" s="2" t="s">
        <v>135</v>
      </c>
      <c r="B87" s="1">
        <v>16</v>
      </c>
      <c r="C87" s="1">
        <v>2</v>
      </c>
      <c r="D87" s="1">
        <v>22.84</v>
      </c>
      <c r="E87" s="1">
        <v>9.85</v>
      </c>
      <c r="F87" s="1">
        <v>15.29</v>
      </c>
      <c r="G87" s="1">
        <v>2.3755999999999999</v>
      </c>
      <c r="H87" s="1">
        <v>0.49399999999999999</v>
      </c>
      <c r="I87" s="1">
        <v>9.0999999999999998E-2</v>
      </c>
      <c r="J87">
        <v>3.2000000000000001E-2</v>
      </c>
      <c r="K87">
        <v>1.91025629775162</v>
      </c>
      <c r="L87">
        <v>1.8898042890198099</v>
      </c>
      <c r="M87">
        <v>5.5836709778008196</v>
      </c>
      <c r="N87">
        <v>26.653090888776301</v>
      </c>
      <c r="O87">
        <v>40.183758367654498</v>
      </c>
      <c r="Q87">
        <v>5.0815739428792801</v>
      </c>
      <c r="R87">
        <v>8.5380507559211001</v>
      </c>
      <c r="T87">
        <v>0.37318607461513292</v>
      </c>
      <c r="U87">
        <v>1.4669027810947335</v>
      </c>
      <c r="V87">
        <v>4.4176052666375365E-2</v>
      </c>
    </row>
    <row r="88" spans="1:22" x14ac:dyDescent="0.3">
      <c r="A88" s="3" t="s">
        <v>136</v>
      </c>
      <c r="B88" s="1">
        <v>16</v>
      </c>
      <c r="C88" s="1">
        <v>3</v>
      </c>
      <c r="H88" s="1">
        <v>0.34079999999999999</v>
      </c>
      <c r="I88" s="1">
        <v>6.1899999999999997E-2</v>
      </c>
      <c r="J88">
        <v>3.2000000000000001E-2</v>
      </c>
      <c r="K88">
        <v>1.504628876623</v>
      </c>
      <c r="L88">
        <v>1.47957957090181</v>
      </c>
      <c r="M88">
        <v>5.5234086079409197</v>
      </c>
      <c r="N88">
        <v>12.6889893915952</v>
      </c>
      <c r="O88">
        <v>16.3840442779114</v>
      </c>
      <c r="Q88">
        <v>2.63046153606401</v>
      </c>
      <c r="R88">
        <v>4.6433776324737499</v>
      </c>
      <c r="T88">
        <v>0.60060333820553746</v>
      </c>
      <c r="U88">
        <v>0.58891653451439585</v>
      </c>
      <c r="V88">
        <v>3.7820709802397157E-2</v>
      </c>
    </row>
    <row r="89" spans="1:22" x14ac:dyDescent="0.3">
      <c r="A89" s="2" t="s">
        <v>137</v>
      </c>
      <c r="B89" s="1">
        <v>16</v>
      </c>
      <c r="C89" s="1">
        <v>3</v>
      </c>
      <c r="D89" s="1">
        <v>21.95</v>
      </c>
      <c r="E89" s="1">
        <v>8.2899999999999991</v>
      </c>
      <c r="F89" s="1">
        <v>15.06</v>
      </c>
      <c r="G89" s="1">
        <v>1.7445999999999999</v>
      </c>
      <c r="H89" s="1">
        <v>0.40489999999999998</v>
      </c>
      <c r="I89" s="1">
        <v>6.8400000000000002E-2</v>
      </c>
      <c r="J89">
        <v>3.2000000000000001E-2</v>
      </c>
      <c r="K89">
        <v>1.78158794783759</v>
      </c>
      <c r="L89">
        <v>1.76593054314729</v>
      </c>
      <c r="M89">
        <v>4.4271735877656901</v>
      </c>
      <c r="N89">
        <v>22.2295381744316</v>
      </c>
      <c r="O89">
        <v>28.655547301965498</v>
      </c>
      <c r="Q89">
        <v>5.3150983567529098</v>
      </c>
      <c r="R89">
        <v>7.6081061058916903</v>
      </c>
      <c r="T89">
        <v>0.3576959657164287</v>
      </c>
      <c r="U89">
        <v>0.92684847439471396</v>
      </c>
      <c r="V89">
        <v>3.8989177376584319E-2</v>
      </c>
    </row>
    <row r="90" spans="1:22" x14ac:dyDescent="0.3">
      <c r="A90" s="2" t="s">
        <v>138</v>
      </c>
      <c r="B90" s="1">
        <v>22</v>
      </c>
      <c r="C90" s="1">
        <v>1</v>
      </c>
      <c r="D90" s="1">
        <v>20.09</v>
      </c>
      <c r="E90" s="1">
        <v>8.68</v>
      </c>
      <c r="F90" s="1">
        <v>13.99</v>
      </c>
      <c r="G90" s="1">
        <v>1.5089999999999999</v>
      </c>
      <c r="H90" s="1">
        <v>0.31319999999999998</v>
      </c>
      <c r="I90" s="1">
        <v>5.6899999999999999E-2</v>
      </c>
      <c r="J90">
        <v>3.2000000000000001E-2</v>
      </c>
      <c r="K90">
        <v>1.3701084516475199</v>
      </c>
      <c r="L90">
        <v>1.39657788119642</v>
      </c>
      <c r="M90">
        <v>4.8933258674224804</v>
      </c>
      <c r="N90">
        <v>12.897856557464401</v>
      </c>
      <c r="O90">
        <v>16.390022349637398</v>
      </c>
      <c r="Q90">
        <v>3.2758627070748001</v>
      </c>
      <c r="R90">
        <v>4.4190288714158896</v>
      </c>
      <c r="T90">
        <v>0.56498598042474357</v>
      </c>
      <c r="U90">
        <v>0.6054887669466068</v>
      </c>
      <c r="V90">
        <v>2.3366396762306871E-2</v>
      </c>
    </row>
    <row r="91" spans="1:22" x14ac:dyDescent="0.3">
      <c r="A91" s="3" t="s">
        <v>139</v>
      </c>
      <c r="B91" s="1">
        <v>22</v>
      </c>
      <c r="C91" s="1">
        <v>1</v>
      </c>
      <c r="D91" s="1">
        <v>21.01</v>
      </c>
      <c r="E91" s="1">
        <v>8.91</v>
      </c>
      <c r="F91" s="1">
        <v>15.43</v>
      </c>
      <c r="G91" s="1">
        <v>1.7483</v>
      </c>
      <c r="H91" s="1">
        <v>0.40770000000000001</v>
      </c>
      <c r="I91" s="1">
        <v>6.4100000000000004E-2</v>
      </c>
      <c r="J91">
        <v>3.2000000000000001E-2</v>
      </c>
      <c r="K91">
        <v>1.6481800151566699</v>
      </c>
      <c r="L91">
        <v>1.59623480029637</v>
      </c>
      <c r="M91">
        <v>5.3329232513043801</v>
      </c>
      <c r="N91">
        <v>31.8569941135408</v>
      </c>
      <c r="O91">
        <v>39.6689054613095</v>
      </c>
      <c r="Q91">
        <v>4.4110707878731903</v>
      </c>
      <c r="R91">
        <v>6.5084895471605897</v>
      </c>
      <c r="T91">
        <v>0.53593789302944217</v>
      </c>
      <c r="U91">
        <v>1.2023274975436331</v>
      </c>
      <c r="V91">
        <v>3.8055880090508851E-2</v>
      </c>
    </row>
    <row r="92" spans="1:22" x14ac:dyDescent="0.3">
      <c r="A92" s="2" t="s">
        <v>140</v>
      </c>
      <c r="B92" s="1">
        <v>22</v>
      </c>
      <c r="C92" s="1">
        <v>2</v>
      </c>
      <c r="D92" s="1">
        <v>22.04</v>
      </c>
      <c r="E92" s="1">
        <v>8.69</v>
      </c>
      <c r="F92" s="1">
        <v>15.65</v>
      </c>
      <c r="G92" s="1">
        <v>1.9216</v>
      </c>
      <c r="H92" s="1">
        <v>0.4052</v>
      </c>
      <c r="I92" s="1">
        <v>7.0199999999999999E-2</v>
      </c>
      <c r="J92">
        <v>3.2000000000000001E-2</v>
      </c>
      <c r="K92">
        <v>1.2057888885679899</v>
      </c>
      <c r="L92">
        <v>1.21449360149402</v>
      </c>
      <c r="M92">
        <v>3.62773416514763</v>
      </c>
      <c r="N92">
        <v>15.0594150269352</v>
      </c>
      <c r="O92">
        <v>18.3657160626455</v>
      </c>
      <c r="Q92">
        <v>4.8574838323048404</v>
      </c>
      <c r="R92">
        <v>7.5061456352229303</v>
      </c>
      <c r="T92">
        <v>0.31604513455848765</v>
      </c>
      <c r="U92">
        <v>0.46465304128067714</v>
      </c>
      <c r="V92">
        <v>4.3881761015183131E-2</v>
      </c>
    </row>
    <row r="93" spans="1:22" x14ac:dyDescent="0.3">
      <c r="A93" s="3" t="s">
        <v>141</v>
      </c>
      <c r="B93" s="1">
        <v>22</v>
      </c>
      <c r="C93" s="1">
        <v>2</v>
      </c>
      <c r="D93" s="1">
        <v>22.66</v>
      </c>
      <c r="E93" s="1">
        <v>9.51</v>
      </c>
      <c r="F93" s="1">
        <v>16.14</v>
      </c>
      <c r="G93" s="1">
        <v>2.1753</v>
      </c>
      <c r="H93" s="1">
        <v>0.46300000000000002</v>
      </c>
      <c r="I93" s="1">
        <v>7.9799999999999996E-2</v>
      </c>
      <c r="J93">
        <v>3.2000000000000001E-2</v>
      </c>
      <c r="K93">
        <v>1.6218110505600201</v>
      </c>
      <c r="L93">
        <v>1.6410978450711999</v>
      </c>
      <c r="M93">
        <v>5.5504647800808096</v>
      </c>
      <c r="N93">
        <v>21.437532503461998</v>
      </c>
      <c r="O93">
        <v>26.879348406048798</v>
      </c>
      <c r="Q93">
        <v>4.9215667520291397</v>
      </c>
      <c r="R93">
        <v>7.3134023654745004</v>
      </c>
      <c r="T93">
        <v>0.45039042423188408</v>
      </c>
      <c r="U93">
        <v>0.67276665374135769</v>
      </c>
      <c r="V93">
        <v>3.4859655286484874E-2</v>
      </c>
    </row>
    <row r="94" spans="1:22" x14ac:dyDescent="0.3">
      <c r="A94" s="2" t="s">
        <v>142</v>
      </c>
      <c r="B94" s="1">
        <v>22</v>
      </c>
      <c r="C94" s="1">
        <v>3</v>
      </c>
      <c r="D94" s="1">
        <v>22.9</v>
      </c>
      <c r="E94" s="1">
        <v>9.66</v>
      </c>
      <c r="F94" s="1">
        <v>16.23</v>
      </c>
      <c r="G94" s="1">
        <v>2.1337000000000002</v>
      </c>
      <c r="H94" s="1">
        <v>0.4078</v>
      </c>
      <c r="I94" s="1">
        <v>7.4700000000000003E-2</v>
      </c>
      <c r="J94">
        <v>3.2000000000000001E-2</v>
      </c>
      <c r="K94">
        <v>1.5958819702666001</v>
      </c>
      <c r="L94">
        <v>1.5887627146201</v>
      </c>
      <c r="M94">
        <v>6.0235340315971602</v>
      </c>
      <c r="N94">
        <v>15.786802220494399</v>
      </c>
      <c r="O94">
        <v>20.6204248555599</v>
      </c>
      <c r="Q94">
        <v>10.528784088858499</v>
      </c>
      <c r="R94">
        <v>13.3573512998172</v>
      </c>
      <c r="T94">
        <v>0.54580339464203886</v>
      </c>
      <c r="U94">
        <v>0.63837466490632133</v>
      </c>
      <c r="V94">
        <v>4.4039314712629278E-2</v>
      </c>
    </row>
    <row r="95" spans="1:22" x14ac:dyDescent="0.3">
      <c r="A95" s="3" t="s">
        <v>143</v>
      </c>
      <c r="B95" s="1">
        <v>22</v>
      </c>
      <c r="C95" s="1">
        <v>3</v>
      </c>
      <c r="D95" s="1">
        <v>21.04</v>
      </c>
      <c r="E95" s="1">
        <v>8.83</v>
      </c>
      <c r="F95" s="1">
        <v>14.09</v>
      </c>
      <c r="G95" s="1">
        <v>1.6889000000000001</v>
      </c>
      <c r="H95" s="1">
        <v>0.3377</v>
      </c>
      <c r="I95" s="1">
        <v>6.5699999999999995E-2</v>
      </c>
      <c r="J95">
        <v>3.2000000000000001E-2</v>
      </c>
      <c r="K95">
        <v>1.46371643636014</v>
      </c>
      <c r="L95">
        <v>1.4771529448007299</v>
      </c>
      <c r="M95">
        <v>4.4988571936190196</v>
      </c>
      <c r="N95">
        <v>14.1132171969598</v>
      </c>
      <c r="O95">
        <v>16.529246473233901</v>
      </c>
      <c r="Q95">
        <v>5.6669853986427503</v>
      </c>
      <c r="R95">
        <v>7.11727879574845</v>
      </c>
      <c r="T95">
        <v>0.42283622803555299</v>
      </c>
      <c r="U95">
        <v>0.36279419220715026</v>
      </c>
      <c r="V95">
        <v>2.5673504300910397E-2</v>
      </c>
    </row>
    <row r="96" spans="1:22" x14ac:dyDescent="0.3">
      <c r="A96" s="2" t="s">
        <v>144</v>
      </c>
      <c r="B96" s="1">
        <v>28</v>
      </c>
      <c r="C96" s="1">
        <v>1</v>
      </c>
      <c r="D96" s="1">
        <v>22.38</v>
      </c>
      <c r="E96" s="1">
        <v>9.74</v>
      </c>
      <c r="F96" s="1">
        <v>15.14</v>
      </c>
      <c r="G96" s="1">
        <v>2.3085</v>
      </c>
      <c r="H96" s="1">
        <v>0.41420000000000001</v>
      </c>
      <c r="I96" s="1">
        <v>7.2999999999999995E-2</v>
      </c>
      <c r="J96">
        <v>3.2000000000000001E-2</v>
      </c>
      <c r="K96">
        <v>2.2427564716389901</v>
      </c>
      <c r="L96">
        <v>2.2496713037190599</v>
      </c>
      <c r="M96">
        <v>5.7396463491793597</v>
      </c>
      <c r="N96">
        <v>14.7399197780018</v>
      </c>
      <c r="O96">
        <v>18.438798229904499</v>
      </c>
      <c r="Q96">
        <v>3.67933602786424</v>
      </c>
      <c r="R96">
        <v>5.9404447091623496</v>
      </c>
      <c r="T96">
        <v>0.43952650106772351</v>
      </c>
      <c r="U96">
        <v>0.4998856884259078</v>
      </c>
      <c r="V96">
        <v>3.602410740680758E-2</v>
      </c>
    </row>
    <row r="97" spans="1:22" x14ac:dyDescent="0.3">
      <c r="A97" s="3" t="s">
        <v>145</v>
      </c>
      <c r="B97" s="1">
        <v>28</v>
      </c>
      <c r="C97" s="1">
        <v>1</v>
      </c>
      <c r="D97" s="1">
        <v>21.41</v>
      </c>
      <c r="E97" s="1">
        <v>8.4600000000000009</v>
      </c>
      <c r="F97" s="1">
        <v>13.83</v>
      </c>
      <c r="G97" s="1">
        <v>1.6759999999999999</v>
      </c>
      <c r="H97" s="1">
        <v>0.32519999999999999</v>
      </c>
      <c r="I97" s="1">
        <v>5.6099999999999997E-2</v>
      </c>
      <c r="J97">
        <v>3.2000000000000001E-2</v>
      </c>
      <c r="K97">
        <v>1.16582887434558</v>
      </c>
      <c r="L97">
        <v>1.1730333583463799</v>
      </c>
      <c r="M97">
        <v>3.5761581916621399</v>
      </c>
      <c r="N97">
        <v>10.905740655952799</v>
      </c>
      <c r="O97">
        <v>13.4704078822614</v>
      </c>
      <c r="Q97">
        <v>3.0319680797631601</v>
      </c>
      <c r="R97">
        <v>4.3710837635245099</v>
      </c>
      <c r="T97">
        <v>0.39382118480520095</v>
      </c>
      <c r="U97">
        <v>0.45101570388360301</v>
      </c>
      <c r="V97">
        <v>2.7761944827839578E-2</v>
      </c>
    </row>
    <row r="98" spans="1:22" x14ac:dyDescent="0.3">
      <c r="A98" s="2" t="s">
        <v>146</v>
      </c>
      <c r="B98" s="1">
        <v>28</v>
      </c>
      <c r="C98" s="1">
        <v>2</v>
      </c>
      <c r="D98" s="1">
        <v>24.68</v>
      </c>
      <c r="E98" s="1">
        <v>9.43</v>
      </c>
      <c r="F98" s="1">
        <v>15.8</v>
      </c>
      <c r="G98" s="1">
        <v>2.2968999999999999</v>
      </c>
      <c r="H98" s="1">
        <v>0.60880000000000001</v>
      </c>
      <c r="I98" s="1">
        <v>0.1099</v>
      </c>
      <c r="J98">
        <v>0.04</v>
      </c>
      <c r="K98">
        <v>1.6954421018841901</v>
      </c>
      <c r="L98">
        <v>1.6422021258411199</v>
      </c>
      <c r="M98">
        <v>4.3125773820931999</v>
      </c>
      <c r="N98">
        <v>18.742423241772102</v>
      </c>
      <c r="O98">
        <v>23.005890109999498</v>
      </c>
      <c r="Q98">
        <v>7.58126138629079</v>
      </c>
      <c r="R98">
        <v>8.5461046954208104</v>
      </c>
      <c r="T98">
        <v>0.27923523607687811</v>
      </c>
      <c r="U98">
        <v>0.47840831136469758</v>
      </c>
      <c r="V98">
        <v>1.2763323046526149E-2</v>
      </c>
    </row>
    <row r="99" spans="1:22" x14ac:dyDescent="0.3">
      <c r="A99" s="3" t="s">
        <v>147</v>
      </c>
      <c r="B99" s="1">
        <v>28</v>
      </c>
      <c r="C99" s="1">
        <v>2</v>
      </c>
      <c r="D99" s="1">
        <v>21.89</v>
      </c>
      <c r="E99" s="1">
        <v>9.07</v>
      </c>
      <c r="F99" s="1">
        <v>15.8</v>
      </c>
      <c r="G99" s="1">
        <v>1.9642999999999999</v>
      </c>
      <c r="H99" s="1">
        <v>0.3891</v>
      </c>
      <c r="I99" s="1">
        <v>7.3300000000000004E-2</v>
      </c>
      <c r="J99">
        <v>3.2000000000000001E-2</v>
      </c>
      <c r="K99">
        <v>1.9819221428871501</v>
      </c>
      <c r="L99">
        <v>2.1041324529306999</v>
      </c>
      <c r="M99">
        <v>5.9302920976090103</v>
      </c>
      <c r="N99">
        <v>15.736242904868</v>
      </c>
      <c r="O99">
        <v>18.6115640292401</v>
      </c>
      <c r="Q99">
        <v>5.4258007036730103</v>
      </c>
      <c r="R99">
        <v>6.4422326139275699</v>
      </c>
      <c r="T99">
        <v>0.47989333300565501</v>
      </c>
      <c r="U99">
        <v>0.38699547182272015</v>
      </c>
      <c r="V99">
        <v>1.6127571199215044E-2</v>
      </c>
    </row>
    <row r="100" spans="1:22" x14ac:dyDescent="0.3">
      <c r="A100" s="2" t="s">
        <v>148</v>
      </c>
      <c r="B100" s="1">
        <v>28</v>
      </c>
      <c r="C100" s="1">
        <v>3</v>
      </c>
      <c r="D100" s="1">
        <v>23.99</v>
      </c>
      <c r="E100" s="1">
        <v>10.23</v>
      </c>
      <c r="F100" s="1">
        <v>16.32</v>
      </c>
      <c r="G100" s="1">
        <v>2.4719000000000002</v>
      </c>
      <c r="H100" s="1">
        <v>0.54820000000000002</v>
      </c>
      <c r="I100" s="1">
        <v>9.5000000000000001E-2</v>
      </c>
      <c r="J100">
        <v>3.2000000000000001E-2</v>
      </c>
      <c r="K100">
        <v>2.2349624121965901</v>
      </c>
      <c r="L100">
        <v>2.2028049301210402</v>
      </c>
      <c r="M100">
        <v>5.2369085837849303</v>
      </c>
      <c r="N100">
        <v>23.6639590773732</v>
      </c>
      <c r="O100">
        <v>28.321685235915702</v>
      </c>
      <c r="Q100">
        <v>16.2337068776522</v>
      </c>
      <c r="R100">
        <v>18.728629762554899</v>
      </c>
      <c r="T100">
        <v>0.29362458263499308</v>
      </c>
      <c r="U100">
        <v>0.48369750726017807</v>
      </c>
      <c r="V100">
        <v>3.0544159074286689E-2</v>
      </c>
    </row>
    <row r="101" spans="1:22" x14ac:dyDescent="0.3">
      <c r="A101" s="3" t="s">
        <v>149</v>
      </c>
      <c r="B101" s="1">
        <v>28</v>
      </c>
      <c r="C101" s="1">
        <v>3</v>
      </c>
      <c r="D101" s="1">
        <v>22.46</v>
      </c>
      <c r="E101" s="1">
        <v>8.9</v>
      </c>
      <c r="F101" s="1">
        <v>14.9</v>
      </c>
      <c r="G101" s="1">
        <v>1.9100999999999999</v>
      </c>
      <c r="H101" s="1">
        <v>0.47249999999999998</v>
      </c>
      <c r="I101" s="1">
        <v>8.5999999999999993E-2</v>
      </c>
      <c r="J101">
        <v>3.2000000000000001E-2</v>
      </c>
      <c r="K101">
        <v>1.86824552133078</v>
      </c>
      <c r="L101">
        <v>1.81320668742734</v>
      </c>
      <c r="M101">
        <v>4.2583250606625302</v>
      </c>
      <c r="N101">
        <v>18.2956709593483</v>
      </c>
      <c r="O101">
        <v>21.865465599057</v>
      </c>
      <c r="Q101">
        <v>6.3823769992427497</v>
      </c>
      <c r="R101">
        <v>8.2101498774021096</v>
      </c>
      <c r="T101">
        <v>0.26138884042064009</v>
      </c>
      <c r="U101">
        <v>0.40951355811058321</v>
      </c>
      <c r="V101">
        <v>2.471829032807514E-2</v>
      </c>
    </row>
    <row r="102" spans="1:22" x14ac:dyDescent="0.3">
      <c r="A102" s="2" t="s">
        <v>150</v>
      </c>
      <c r="B102" s="1">
        <v>28</v>
      </c>
      <c r="C102" s="1">
        <v>3</v>
      </c>
      <c r="D102" s="1">
        <v>22.57</v>
      </c>
      <c r="E102" s="1">
        <v>9.5500000000000007</v>
      </c>
      <c r="F102" s="1">
        <v>16.18</v>
      </c>
      <c r="H102" s="1">
        <v>0.50580000000000003</v>
      </c>
      <c r="I102" s="1">
        <v>8.2199999999999995E-2</v>
      </c>
      <c r="J102">
        <v>3.2000000000000001E-2</v>
      </c>
      <c r="K102">
        <v>1.5676796611871</v>
      </c>
      <c r="L102">
        <v>1.5826219329140701</v>
      </c>
      <c r="M102">
        <v>3.8952039518569701</v>
      </c>
      <c r="N102">
        <v>19.6272932885358</v>
      </c>
      <c r="O102">
        <v>23.6100646601605</v>
      </c>
      <c r="Q102">
        <v>5.3280577547734502</v>
      </c>
      <c r="R102">
        <v>7.1876298729215602</v>
      </c>
      <c r="T102">
        <v>0.25864907602619769</v>
      </c>
      <c r="U102">
        <v>0.47801008812531209</v>
      </c>
      <c r="V102">
        <v>2.6310909443929172E-2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B9AC-4BF5-4EED-9A31-0A05666087FB}">
  <dimension ref="A1:D9"/>
  <sheetViews>
    <sheetView workbookViewId="0">
      <selection activeCell="F11" sqref="F11"/>
    </sheetView>
  </sheetViews>
  <sheetFormatPr defaultRowHeight="14" x14ac:dyDescent="0.3"/>
  <cols>
    <col min="1" max="1" width="14.25" customWidth="1"/>
  </cols>
  <sheetData>
    <row r="1" spans="1:4" x14ac:dyDescent="0.3">
      <c r="A1" t="s">
        <v>159</v>
      </c>
      <c r="B1" t="s">
        <v>156</v>
      </c>
      <c r="C1" t="s">
        <v>157</v>
      </c>
      <c r="D1" t="s">
        <v>158</v>
      </c>
    </row>
    <row r="2" spans="1:4" x14ac:dyDescent="0.3">
      <c r="A2" s="5">
        <v>0</v>
      </c>
      <c r="B2">
        <v>3.2478660547759377</v>
      </c>
      <c r="C2">
        <v>17.534341410694694</v>
      </c>
      <c r="D2">
        <v>5.1431436094525163</v>
      </c>
    </row>
    <row r="3" spans="1:4" x14ac:dyDescent="0.3">
      <c r="A3" s="5">
        <f>3/24</f>
        <v>0.125</v>
      </c>
      <c r="B3">
        <v>3.1958000348155475</v>
      </c>
      <c r="C3">
        <v>10.199309549618983</v>
      </c>
      <c r="D3">
        <v>4.8200027671754659</v>
      </c>
    </row>
    <row r="4" spans="1:4" x14ac:dyDescent="0.3">
      <c r="A4" s="5">
        <f>7/24</f>
        <v>0.29166666666666669</v>
      </c>
      <c r="B4">
        <v>3.0689060052215247</v>
      </c>
      <c r="C4">
        <v>10.948408131723063</v>
      </c>
      <c r="D4">
        <v>4.8869445234052025</v>
      </c>
    </row>
    <row r="5" spans="1:4" x14ac:dyDescent="0.3">
      <c r="A5" s="5">
        <f>12/24</f>
        <v>0.5</v>
      </c>
      <c r="B5">
        <v>2.9322716904227724</v>
      </c>
      <c r="C5">
        <v>11.909934426095194</v>
      </c>
      <c r="D5">
        <v>5.2137676662563335</v>
      </c>
    </row>
    <row r="6" spans="1:4" x14ac:dyDescent="0.3">
      <c r="A6" s="5">
        <v>1</v>
      </c>
      <c r="B6">
        <v>3.0455781276574694</v>
      </c>
      <c r="C6">
        <v>17.50435330779278</v>
      </c>
      <c r="D6">
        <v>5.1774328416513518</v>
      </c>
    </row>
    <row r="7" spans="1:4" x14ac:dyDescent="0.3">
      <c r="A7" s="5">
        <f>30/24</f>
        <v>1.25</v>
      </c>
      <c r="B7">
        <v>3.0152803215214776</v>
      </c>
      <c r="C7">
        <v>11.834550976605001</v>
      </c>
      <c r="D7">
        <v>5.0471935120150677</v>
      </c>
    </row>
    <row r="8" spans="1:4" x14ac:dyDescent="0.3">
      <c r="A8" s="5">
        <f>36/24</f>
        <v>1.5</v>
      </c>
      <c r="B8">
        <v>3.0874741483163062</v>
      </c>
      <c r="C8">
        <v>11.694934506548684</v>
      </c>
      <c r="D8">
        <v>4.9950716030822697</v>
      </c>
    </row>
    <row r="9" spans="1:4" x14ac:dyDescent="0.3">
      <c r="A9" s="5">
        <v>2</v>
      </c>
      <c r="B9">
        <v>3.0198422607942259</v>
      </c>
      <c r="C9">
        <v>11.427422903881917</v>
      </c>
      <c r="D9">
        <v>5.0646099190982916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0192-78FC-4B02-9D18-FA52C579D2A9}">
  <sheetPr filterMode="1"/>
  <dimension ref="A1:P562"/>
  <sheetViews>
    <sheetView workbookViewId="0">
      <selection activeCell="P349" sqref="P349"/>
    </sheetView>
  </sheetViews>
  <sheetFormatPr defaultRowHeight="14" x14ac:dyDescent="0.3"/>
  <cols>
    <col min="1" max="1" width="20.9140625" style="1" customWidth="1"/>
    <col min="2" max="2" width="13.25" style="1" customWidth="1"/>
    <col min="3" max="4" width="10.5" style="1" customWidth="1"/>
    <col min="5" max="5" width="12" style="1" customWidth="1"/>
    <col min="6" max="8" width="8.6640625" style="1"/>
    <col min="10" max="15" width="11.1640625" customWidth="1"/>
  </cols>
  <sheetData>
    <row r="1" spans="1:16" ht="14.5" x14ac:dyDescent="0.3">
      <c r="A1" s="6" t="s">
        <v>160</v>
      </c>
      <c r="B1" s="6" t="s">
        <v>1105</v>
      </c>
      <c r="C1" s="6" t="s">
        <v>18</v>
      </c>
      <c r="D1" s="6" t="s">
        <v>1031</v>
      </c>
      <c r="E1" s="6" t="s">
        <v>1036</v>
      </c>
      <c r="F1" s="1" t="s">
        <v>24</v>
      </c>
      <c r="G1" s="1" t="s">
        <v>161</v>
      </c>
      <c r="H1" s="1" t="s">
        <v>1030</v>
      </c>
      <c r="I1" t="s">
        <v>46</v>
      </c>
      <c r="J1" s="14" t="s">
        <v>1104</v>
      </c>
      <c r="K1" t="s">
        <v>1113</v>
      </c>
      <c r="L1" s="14" t="s">
        <v>1114</v>
      </c>
      <c r="M1" t="s">
        <v>1115</v>
      </c>
      <c r="N1" t="s">
        <v>1116</v>
      </c>
      <c r="O1" t="s">
        <v>1117</v>
      </c>
      <c r="P1" t="s">
        <v>1110</v>
      </c>
    </row>
    <row r="2" spans="1:16" ht="14.5" hidden="1" x14ac:dyDescent="0.3">
      <c r="A2" s="2" t="s">
        <v>1127</v>
      </c>
      <c r="B2" s="6" t="s">
        <v>1032</v>
      </c>
      <c r="C2" s="7" t="s">
        <v>1128</v>
      </c>
      <c r="D2" s="7">
        <v>0</v>
      </c>
      <c r="E2" s="7">
        <v>0</v>
      </c>
      <c r="F2" s="1">
        <v>6.9099999999999995E-2</v>
      </c>
      <c r="I2">
        <v>3.2000000000000001E-2</v>
      </c>
      <c r="J2">
        <v>1.1766819685953001</v>
      </c>
      <c r="K2">
        <v>1.1168290637159686</v>
      </c>
      <c r="L2">
        <v>17.308891333143201</v>
      </c>
      <c r="M2">
        <v>17.49734294687201</v>
      </c>
      <c r="N2">
        <v>6.2341905753844697</v>
      </c>
      <c r="O2">
        <v>6.0688857054543197</v>
      </c>
      <c r="P2">
        <v>0</v>
      </c>
    </row>
    <row r="3" spans="1:16" ht="14.5" hidden="1" x14ac:dyDescent="0.3">
      <c r="A3" s="2" t="s">
        <v>1118</v>
      </c>
      <c r="B3" s="6" t="s">
        <v>1032</v>
      </c>
      <c r="C3" s="7" t="s">
        <v>1128</v>
      </c>
      <c r="D3" s="7">
        <v>1</v>
      </c>
      <c r="E3" s="7">
        <v>0</v>
      </c>
      <c r="F3" s="1">
        <v>5.6399999999999999E-2</v>
      </c>
      <c r="I3">
        <v>3.2000000000000001E-2</v>
      </c>
      <c r="J3">
        <v>1.1669087529059601</v>
      </c>
      <c r="K3">
        <v>1.1067821979873269</v>
      </c>
      <c r="L3">
        <v>14.3283379068532</v>
      </c>
      <c r="M3">
        <v>14.445852349036308</v>
      </c>
      <c r="N3">
        <v>3.8591810282669501</v>
      </c>
      <c r="O3">
        <v>3.7720139724369672</v>
      </c>
      <c r="P3">
        <v>0</v>
      </c>
    </row>
    <row r="4" spans="1:16" ht="14.5" hidden="1" x14ac:dyDescent="0.3">
      <c r="A4" s="2" t="s">
        <v>1119</v>
      </c>
      <c r="B4" s="6" t="s">
        <v>1032</v>
      </c>
      <c r="C4" s="7" t="s">
        <v>1128</v>
      </c>
      <c r="D4" s="7">
        <v>2</v>
      </c>
      <c r="E4" s="7">
        <v>0</v>
      </c>
      <c r="F4" s="1">
        <v>7.2300000000000003E-2</v>
      </c>
      <c r="I4">
        <v>3.2000000000000001E-2</v>
      </c>
      <c r="J4">
        <v>1.2344094295502099</v>
      </c>
      <c r="K4">
        <v>1.1761728935776159</v>
      </c>
      <c r="L4">
        <v>14.5088501168267</v>
      </c>
      <c r="M4">
        <v>14.630660749607177</v>
      </c>
      <c r="N4">
        <v>5.4288210484557302</v>
      </c>
      <c r="O4">
        <v>5.2900128359615364</v>
      </c>
      <c r="P4">
        <v>0</v>
      </c>
    </row>
    <row r="5" spans="1:16" ht="14.5" hidden="1" x14ac:dyDescent="0.3">
      <c r="A5" s="2" t="s">
        <v>1120</v>
      </c>
      <c r="B5" s="6" t="s">
        <v>1032</v>
      </c>
      <c r="C5" s="7" t="s">
        <v>1128</v>
      </c>
      <c r="D5" s="7">
        <v>3</v>
      </c>
      <c r="E5" s="7">
        <v>0</v>
      </c>
      <c r="F5" s="1">
        <v>6.7000000000000004E-2</v>
      </c>
      <c r="I5">
        <v>3.2000000000000001E-2</v>
      </c>
      <c r="J5">
        <v>1.34577242653195</v>
      </c>
      <c r="K5">
        <v>1.2906540544748446</v>
      </c>
      <c r="L5">
        <v>14.031610731991201</v>
      </c>
      <c r="M5">
        <v>14.142063067412593</v>
      </c>
      <c r="N5">
        <v>4.8735118282643599</v>
      </c>
      <c r="O5">
        <v>4.752973289114462</v>
      </c>
      <c r="P5">
        <v>0</v>
      </c>
    </row>
    <row r="6" spans="1:16" ht="14.5" hidden="1" x14ac:dyDescent="0.3">
      <c r="A6" s="2" t="s">
        <v>1121</v>
      </c>
      <c r="B6" s="6" t="s">
        <v>1032</v>
      </c>
      <c r="C6" s="7" t="s">
        <v>1128</v>
      </c>
      <c r="D6" s="7">
        <v>4</v>
      </c>
      <c r="E6" s="7">
        <v>0</v>
      </c>
      <c r="F6" s="1">
        <v>7.7799999999999994E-2</v>
      </c>
      <c r="I6">
        <v>3.2000000000000001E-2</v>
      </c>
      <c r="J6">
        <v>1.5069201016803999</v>
      </c>
      <c r="K6">
        <v>1.4563138645274512</v>
      </c>
      <c r="L6">
        <v>13.3291242961604</v>
      </c>
      <c r="M6">
        <v>13.422857454409018</v>
      </c>
      <c r="N6">
        <v>6.15274977959879</v>
      </c>
      <c r="O6">
        <v>5.9901243118499892</v>
      </c>
      <c r="P6">
        <v>0</v>
      </c>
    </row>
    <row r="7" spans="1:16" ht="14.5" hidden="1" x14ac:dyDescent="0.3">
      <c r="A7" s="2" t="s">
        <v>1122</v>
      </c>
      <c r="B7" s="6" t="s">
        <v>1032</v>
      </c>
      <c r="C7" s="7" t="s">
        <v>1128</v>
      </c>
      <c r="D7" s="7">
        <v>5</v>
      </c>
      <c r="E7" s="7">
        <v>0</v>
      </c>
      <c r="F7" s="1">
        <v>8.9599999999999999E-2</v>
      </c>
      <c r="I7">
        <v>3.2000000000000001E-2</v>
      </c>
      <c r="J7">
        <v>1.80701978453923</v>
      </c>
      <c r="K7">
        <v>1.7648163385063285</v>
      </c>
      <c r="L7">
        <v>15.8978605234183</v>
      </c>
      <c r="M7">
        <v>16.052729603875655</v>
      </c>
      <c r="N7">
        <v>4.1456172101493198</v>
      </c>
      <c r="O7">
        <v>4.0490264039354065</v>
      </c>
      <c r="P7">
        <v>0</v>
      </c>
    </row>
    <row r="8" spans="1:16" ht="14.5" hidden="1" x14ac:dyDescent="0.3">
      <c r="A8" s="2" t="s">
        <v>1123</v>
      </c>
      <c r="B8" s="6" t="s">
        <v>1032</v>
      </c>
      <c r="C8" s="7" t="s">
        <v>1128</v>
      </c>
      <c r="D8" s="7">
        <v>6</v>
      </c>
      <c r="E8" s="7">
        <v>0</v>
      </c>
      <c r="F8" s="1">
        <v>9.98E-2</v>
      </c>
      <c r="I8">
        <v>3.2000000000000001E-2</v>
      </c>
      <c r="J8">
        <v>1.5563521761647601</v>
      </c>
      <c r="K8">
        <v>1.5071300370973735</v>
      </c>
      <c r="L8">
        <v>16.652856096161099</v>
      </c>
      <c r="M8">
        <v>16.825694071249732</v>
      </c>
      <c r="N8">
        <v>5.5953224971729503</v>
      </c>
      <c r="O8">
        <v>5.4510363870159599</v>
      </c>
      <c r="P8">
        <v>0</v>
      </c>
    </row>
    <row r="9" spans="1:16" ht="14.5" hidden="1" x14ac:dyDescent="0.3">
      <c r="A9" s="2" t="s">
        <v>1124</v>
      </c>
      <c r="B9" s="6" t="s">
        <v>1032</v>
      </c>
      <c r="C9" s="7" t="s">
        <v>1128</v>
      </c>
      <c r="D9" s="7">
        <v>7</v>
      </c>
      <c r="E9" s="7">
        <v>0</v>
      </c>
      <c r="F9" s="1">
        <v>8.1600000000000006E-2</v>
      </c>
      <c r="I9">
        <v>3.2000000000000001E-2</v>
      </c>
      <c r="J9">
        <v>1.6467100878298999</v>
      </c>
      <c r="K9">
        <v>1.6000179702891371</v>
      </c>
      <c r="L9">
        <v>16.346765267401</v>
      </c>
      <c r="M9">
        <v>16.512318280765143</v>
      </c>
      <c r="N9">
        <v>5.3137380151183304</v>
      </c>
      <c r="O9">
        <v>5.1787160344209369</v>
      </c>
      <c r="P9">
        <v>0</v>
      </c>
    </row>
    <row r="10" spans="1:16" ht="14.5" hidden="1" x14ac:dyDescent="0.3">
      <c r="A10" s="2" t="s">
        <v>1125</v>
      </c>
      <c r="B10" s="6" t="s">
        <v>1032</v>
      </c>
      <c r="C10" s="7" t="s">
        <v>1128</v>
      </c>
      <c r="D10" s="7">
        <v>8</v>
      </c>
      <c r="E10" s="7">
        <v>0</v>
      </c>
      <c r="F10" s="1">
        <v>8.9399999999999993E-2</v>
      </c>
      <c r="I10">
        <v>3.2000000000000001E-2</v>
      </c>
      <c r="J10">
        <v>1.43191689556237</v>
      </c>
      <c r="K10">
        <v>1.3792105686381164</v>
      </c>
      <c r="L10">
        <v>18.222639690735999</v>
      </c>
      <c r="M10">
        <v>18.432838515375515</v>
      </c>
      <c r="N10">
        <v>4.6255411622930103</v>
      </c>
      <c r="O10">
        <v>4.5131608580535696</v>
      </c>
      <c r="P10">
        <v>0</v>
      </c>
    </row>
    <row r="11" spans="1:16" ht="14.5" hidden="1" x14ac:dyDescent="0.3">
      <c r="A11" s="2" t="s">
        <v>1126</v>
      </c>
      <c r="B11" s="6" t="s">
        <v>1032</v>
      </c>
      <c r="C11" s="7" t="s">
        <v>1128</v>
      </c>
      <c r="D11" s="7">
        <v>9</v>
      </c>
      <c r="E11" s="7">
        <v>0</v>
      </c>
      <c r="F11" s="1">
        <v>8.6699999999999999E-2</v>
      </c>
      <c r="I11">
        <v>3.2000000000000001E-2</v>
      </c>
      <c r="J11">
        <v>1.9620859911547599</v>
      </c>
      <c r="K11">
        <v>1.9242243989070933</v>
      </c>
      <c r="L11">
        <v>21.725607994335</v>
      </c>
      <c r="M11">
        <v>22.019177464600173</v>
      </c>
      <c r="N11">
        <v>4.9441793187057499</v>
      </c>
      <c r="O11">
        <v>4.82131581912033</v>
      </c>
      <c r="P11">
        <v>0</v>
      </c>
    </row>
    <row r="12" spans="1:16" ht="14.5" hidden="1" x14ac:dyDescent="0.3">
      <c r="A12" s="6" t="s">
        <v>162</v>
      </c>
      <c r="B12" s="6" t="s">
        <v>1032</v>
      </c>
      <c r="C12" s="7">
        <v>1</v>
      </c>
      <c r="D12" s="7">
        <v>1</v>
      </c>
      <c r="E12" s="7">
        <v>14</v>
      </c>
      <c r="F12" s="6">
        <v>4.8500000000000001E-2</v>
      </c>
      <c r="I12">
        <v>3.2000000000000001E-2</v>
      </c>
      <c r="J12">
        <v>0.534205546966253</v>
      </c>
      <c r="K12">
        <v>6.5159173632543004</v>
      </c>
      <c r="L12">
        <v>21.7118590730908</v>
      </c>
      <c r="M12">
        <v>153.879043766812</v>
      </c>
      <c r="N12">
        <v>4.7459639135169001</v>
      </c>
      <c r="O12">
        <v>26.706375296332801</v>
      </c>
      <c r="P12">
        <v>0</v>
      </c>
    </row>
    <row r="13" spans="1:16" ht="14.5" hidden="1" x14ac:dyDescent="0.3">
      <c r="A13" s="6" t="s">
        <v>163</v>
      </c>
      <c r="B13" s="6" t="s">
        <v>1032</v>
      </c>
      <c r="C13" s="7">
        <v>1</v>
      </c>
      <c r="D13" s="7">
        <v>2</v>
      </c>
      <c r="E13" s="7">
        <v>14</v>
      </c>
      <c r="F13" s="6">
        <v>4.7899999999999998E-2</v>
      </c>
      <c r="I13">
        <v>3.2000000000000001E-2</v>
      </c>
      <c r="J13">
        <v>0.86568456875838695</v>
      </c>
      <c r="K13">
        <v>10.541146916656301</v>
      </c>
      <c r="L13">
        <v>13.2007919030697</v>
      </c>
      <c r="M13">
        <v>73.819179410484793</v>
      </c>
      <c r="N13">
        <v>2.8126538124360199</v>
      </c>
      <c r="O13">
        <v>24.1767168041013</v>
      </c>
      <c r="P13">
        <v>0</v>
      </c>
    </row>
    <row r="14" spans="1:16" ht="14.5" hidden="1" x14ac:dyDescent="0.3">
      <c r="A14" s="6" t="s">
        <v>164</v>
      </c>
      <c r="B14" s="6" t="s">
        <v>1032</v>
      </c>
      <c r="C14" s="7">
        <v>1</v>
      </c>
      <c r="D14" s="7">
        <v>3</v>
      </c>
      <c r="E14" s="7">
        <v>14</v>
      </c>
      <c r="F14" s="6">
        <v>7.9000000000000001E-2</v>
      </c>
      <c r="I14">
        <v>3.2000000000000001E-2</v>
      </c>
      <c r="J14">
        <v>2.0821429280563102</v>
      </c>
      <c r="K14">
        <v>26.820421803744601</v>
      </c>
      <c r="L14">
        <v>17.6864003276267</v>
      </c>
      <c r="M14">
        <v>102.056702804995</v>
      </c>
      <c r="N14">
        <v>3.5561086631879002</v>
      </c>
      <c r="O14">
        <v>33.880245464028903</v>
      </c>
      <c r="P14">
        <v>0</v>
      </c>
    </row>
    <row r="15" spans="1:16" ht="14.5" hidden="1" x14ac:dyDescent="0.3">
      <c r="A15" s="6" t="s">
        <v>165</v>
      </c>
      <c r="B15" s="6" t="s">
        <v>1032</v>
      </c>
      <c r="C15" s="7">
        <v>1</v>
      </c>
      <c r="D15" s="7">
        <v>4</v>
      </c>
      <c r="E15" s="7">
        <v>14</v>
      </c>
      <c r="F15" s="6">
        <v>4.41E-2</v>
      </c>
      <c r="I15">
        <v>3.2000000000000001E-2</v>
      </c>
      <c r="J15">
        <v>0.75138012125514797</v>
      </c>
      <c r="K15">
        <v>8.0469575955041996</v>
      </c>
      <c r="L15">
        <v>8.6111822092124299</v>
      </c>
      <c r="M15">
        <v>28.778896252219202</v>
      </c>
      <c r="N15">
        <v>2.1881914523738502</v>
      </c>
      <c r="O15">
        <v>18.041616813699399</v>
      </c>
      <c r="P15">
        <v>0</v>
      </c>
    </row>
    <row r="16" spans="1:16" ht="14.5" hidden="1" x14ac:dyDescent="0.3">
      <c r="A16" s="6" t="s">
        <v>166</v>
      </c>
      <c r="B16" s="6" t="s">
        <v>1032</v>
      </c>
      <c r="C16" s="7">
        <v>1</v>
      </c>
      <c r="D16" s="7">
        <v>5</v>
      </c>
      <c r="E16" s="7">
        <v>14</v>
      </c>
      <c r="F16" s="6">
        <v>5.5199999999999999E-2</v>
      </c>
      <c r="I16">
        <v>3.2000000000000001E-2</v>
      </c>
      <c r="J16">
        <v>0.72745352107328598</v>
      </c>
      <c r="K16">
        <v>8.6023103859733805</v>
      </c>
      <c r="L16">
        <v>9.8766943723272291</v>
      </c>
      <c r="M16">
        <v>54.305232748047999</v>
      </c>
      <c r="N16">
        <v>5.8052831931814</v>
      </c>
      <c r="O16">
        <v>20.845371892972199</v>
      </c>
      <c r="P16">
        <v>0</v>
      </c>
    </row>
    <row r="17" spans="1:16" ht="14.5" hidden="1" x14ac:dyDescent="0.3">
      <c r="A17" s="6" t="s">
        <v>167</v>
      </c>
      <c r="B17" s="6" t="s">
        <v>1032</v>
      </c>
      <c r="C17" s="7">
        <v>1</v>
      </c>
      <c r="D17" s="7">
        <v>6</v>
      </c>
      <c r="E17" s="7">
        <v>14</v>
      </c>
      <c r="F17" s="6">
        <v>9.8599999999999993E-2</v>
      </c>
      <c r="I17">
        <v>3.2000000000000001E-2</v>
      </c>
      <c r="J17">
        <v>1.7261085572301</v>
      </c>
      <c r="K17">
        <v>18.525292883002798</v>
      </c>
      <c r="L17">
        <v>20.2958747934298</v>
      </c>
      <c r="M17">
        <v>99.189694211720195</v>
      </c>
      <c r="N17">
        <v>10.1344915007274</v>
      </c>
      <c r="O17">
        <v>40.400966240673199</v>
      </c>
      <c r="P17">
        <v>0</v>
      </c>
    </row>
    <row r="18" spans="1:16" ht="14.5" hidden="1" x14ac:dyDescent="0.3">
      <c r="A18" s="6" t="s">
        <v>168</v>
      </c>
      <c r="B18" s="6" t="s">
        <v>1032</v>
      </c>
      <c r="C18" s="7">
        <v>1</v>
      </c>
      <c r="D18" s="7">
        <v>7</v>
      </c>
      <c r="E18" s="7">
        <v>14</v>
      </c>
      <c r="F18" s="6">
        <v>5.8400000000000001E-2</v>
      </c>
      <c r="I18">
        <v>3.2000000000000001E-2</v>
      </c>
      <c r="J18">
        <v>0.87576499356215798</v>
      </c>
      <c r="K18">
        <v>8.1046459926474093</v>
      </c>
      <c r="L18">
        <v>8.8536545985848107</v>
      </c>
      <c r="M18">
        <v>40.781960891340901</v>
      </c>
      <c r="N18">
        <v>3.1979064772342398</v>
      </c>
      <c r="O18">
        <v>20.954798166859899</v>
      </c>
      <c r="P18">
        <v>0</v>
      </c>
    </row>
    <row r="19" spans="1:16" ht="14.5" hidden="1" x14ac:dyDescent="0.3">
      <c r="A19" s="6" t="s">
        <v>169</v>
      </c>
      <c r="B19" s="6" t="s">
        <v>1032</v>
      </c>
      <c r="C19" s="7">
        <v>1</v>
      </c>
      <c r="D19" s="7">
        <v>8</v>
      </c>
      <c r="E19" s="7">
        <v>14</v>
      </c>
      <c r="F19" s="6">
        <v>5.3100000000000001E-2</v>
      </c>
      <c r="I19">
        <v>3.2000000000000001E-2</v>
      </c>
      <c r="J19">
        <v>1.4051935461435701</v>
      </c>
      <c r="K19">
        <v>19.388418581387999</v>
      </c>
      <c r="L19">
        <v>16.809636496207698</v>
      </c>
      <c r="M19">
        <v>105.91420401439601</v>
      </c>
      <c r="N19">
        <v>1.5767582730151599</v>
      </c>
      <c r="O19">
        <v>41.5063188111721</v>
      </c>
      <c r="P19">
        <v>0</v>
      </c>
    </row>
    <row r="20" spans="1:16" ht="14.5" hidden="1" x14ac:dyDescent="0.3">
      <c r="A20" s="6" t="s">
        <v>170</v>
      </c>
      <c r="B20" s="6" t="s">
        <v>1032</v>
      </c>
      <c r="C20" s="7">
        <v>1</v>
      </c>
      <c r="D20" s="7">
        <v>9</v>
      </c>
      <c r="E20" s="7">
        <v>14</v>
      </c>
      <c r="F20" s="6">
        <v>5.8099999999999999E-2</v>
      </c>
      <c r="I20">
        <v>3.2000000000000001E-2</v>
      </c>
      <c r="J20">
        <v>1.0499200207660799</v>
      </c>
      <c r="K20">
        <v>11.352742312523199</v>
      </c>
      <c r="L20">
        <v>10.932354218789101</v>
      </c>
      <c r="M20">
        <v>51.183864767387703</v>
      </c>
      <c r="N20">
        <v>4.85221170231162</v>
      </c>
      <c r="O20">
        <v>23.9349442757891</v>
      </c>
      <c r="P20">
        <v>0</v>
      </c>
    </row>
    <row r="21" spans="1:16" ht="14.5" hidden="1" x14ac:dyDescent="0.3">
      <c r="A21" s="6" t="s">
        <v>171</v>
      </c>
      <c r="B21" s="6" t="s">
        <v>1032</v>
      </c>
      <c r="C21" s="7">
        <v>1</v>
      </c>
      <c r="D21" s="7">
        <v>10</v>
      </c>
      <c r="E21" s="7">
        <v>14</v>
      </c>
      <c r="F21" s="6">
        <v>5.2200000000000003E-2</v>
      </c>
      <c r="I21">
        <v>3.2000000000000001E-2</v>
      </c>
      <c r="J21">
        <v>1.1188730771470701</v>
      </c>
      <c r="K21">
        <v>11.089849955092401</v>
      </c>
      <c r="L21">
        <v>11.575748922458001</v>
      </c>
      <c r="M21">
        <v>56.853572388000501</v>
      </c>
      <c r="N21">
        <v>4.3637925544608596</v>
      </c>
      <c r="O21">
        <v>14.9013989227906</v>
      </c>
      <c r="P21">
        <v>0</v>
      </c>
    </row>
    <row r="22" spans="1:16" ht="14.5" hidden="1" x14ac:dyDescent="0.3">
      <c r="A22" s="6" t="s">
        <v>172</v>
      </c>
      <c r="B22" s="6" t="s">
        <v>1033</v>
      </c>
      <c r="C22" s="7">
        <v>1</v>
      </c>
      <c r="D22" s="6">
        <v>1</v>
      </c>
      <c r="E22" s="6" t="s">
        <v>1107</v>
      </c>
      <c r="F22" s="6">
        <v>4.82E-2</v>
      </c>
      <c r="I22">
        <v>3.2000000000000001E-2</v>
      </c>
      <c r="J22">
        <v>1.2050626488054501</v>
      </c>
      <c r="K22">
        <v>12.347879992633599</v>
      </c>
      <c r="L22">
        <v>9.8549014677765694</v>
      </c>
      <c r="M22">
        <v>45.476741107041697</v>
      </c>
      <c r="N22">
        <v>4.0020471882084401</v>
      </c>
      <c r="O22">
        <v>13.3771619021941</v>
      </c>
      <c r="P22">
        <v>0</v>
      </c>
    </row>
    <row r="23" spans="1:16" ht="14.5" hidden="1" x14ac:dyDescent="0.3">
      <c r="A23" s="6" t="s">
        <v>173</v>
      </c>
      <c r="B23" s="6" t="s">
        <v>1033</v>
      </c>
      <c r="C23" s="7">
        <v>1</v>
      </c>
      <c r="D23" s="6">
        <v>1</v>
      </c>
      <c r="E23" s="6" t="s">
        <v>1107</v>
      </c>
      <c r="F23" s="6">
        <v>8.7900000000000006E-2</v>
      </c>
      <c r="I23">
        <v>3.2000000000000001E-2</v>
      </c>
      <c r="J23">
        <v>1.8143367842006199</v>
      </c>
      <c r="K23">
        <v>14.1914785211475</v>
      </c>
      <c r="L23">
        <v>16.6714069155834</v>
      </c>
      <c r="M23">
        <v>69.598392292042604</v>
      </c>
      <c r="N23">
        <v>6.1390332050224403</v>
      </c>
      <c r="O23">
        <v>25.874974543578901</v>
      </c>
      <c r="P23">
        <v>0</v>
      </c>
    </row>
    <row r="24" spans="1:16" ht="14.5" hidden="1" x14ac:dyDescent="0.3">
      <c r="A24" s="6" t="s">
        <v>174</v>
      </c>
      <c r="B24" s="6" t="s">
        <v>1033</v>
      </c>
      <c r="C24" s="7">
        <v>1</v>
      </c>
      <c r="D24" s="6">
        <v>1</v>
      </c>
      <c r="E24" s="6" t="s">
        <v>1107</v>
      </c>
      <c r="F24" s="6">
        <v>0.14680000000000001</v>
      </c>
      <c r="I24">
        <v>5.2000000000000005E-2</v>
      </c>
      <c r="J24">
        <v>1.4283810862447599</v>
      </c>
      <c r="K24">
        <v>14.243016949762</v>
      </c>
      <c r="L24">
        <v>16.3252293718846</v>
      </c>
      <c r="M24">
        <v>58.109154584326902</v>
      </c>
      <c r="N24">
        <v>9.1308771141214802</v>
      </c>
      <c r="O24">
        <v>26.278776915748701</v>
      </c>
      <c r="P24">
        <v>0</v>
      </c>
    </row>
    <row r="25" spans="1:16" ht="14.5" hidden="1" x14ac:dyDescent="0.3">
      <c r="A25" s="6" t="s">
        <v>175</v>
      </c>
      <c r="B25" s="6" t="s">
        <v>1033</v>
      </c>
      <c r="C25" s="7">
        <v>1</v>
      </c>
      <c r="D25" s="6">
        <v>2</v>
      </c>
      <c r="E25" s="6" t="s">
        <v>1107</v>
      </c>
      <c r="F25" s="6">
        <v>6.7000000000000004E-2</v>
      </c>
      <c r="I25">
        <v>3.2000000000000001E-2</v>
      </c>
      <c r="J25">
        <v>1.38973551260772</v>
      </c>
      <c r="K25">
        <v>16.559190386830799</v>
      </c>
      <c r="L25">
        <v>17.338448231793201</v>
      </c>
      <c r="M25">
        <v>84.090229132518203</v>
      </c>
      <c r="N25">
        <v>8.6053008950280194</v>
      </c>
      <c r="O25">
        <v>51.8471562716039</v>
      </c>
      <c r="P25">
        <v>0</v>
      </c>
    </row>
    <row r="26" spans="1:16" ht="14.5" hidden="1" x14ac:dyDescent="0.3">
      <c r="A26" s="6" t="s">
        <v>176</v>
      </c>
      <c r="B26" s="6" t="s">
        <v>1033</v>
      </c>
      <c r="C26" s="7">
        <v>1</v>
      </c>
      <c r="D26" s="6">
        <v>2</v>
      </c>
      <c r="E26" s="6" t="s">
        <v>1107</v>
      </c>
      <c r="F26" s="6">
        <v>0.1139</v>
      </c>
      <c r="I26">
        <v>3.2000000000000001E-2</v>
      </c>
      <c r="J26">
        <v>2.2270737595499801</v>
      </c>
      <c r="K26">
        <v>16.809291892465701</v>
      </c>
      <c r="L26">
        <v>20.000337370765902</v>
      </c>
      <c r="M26">
        <v>88.015132910889307</v>
      </c>
      <c r="N26">
        <v>9.46359500841025</v>
      </c>
      <c r="O26">
        <v>25.406882391760799</v>
      </c>
      <c r="P26">
        <v>0</v>
      </c>
    </row>
    <row r="27" spans="1:16" ht="14.5" hidden="1" x14ac:dyDescent="0.3">
      <c r="A27" s="6" t="s">
        <v>177</v>
      </c>
      <c r="B27" s="6" t="s">
        <v>1033</v>
      </c>
      <c r="C27" s="7">
        <v>1</v>
      </c>
      <c r="D27" s="6">
        <v>2</v>
      </c>
      <c r="E27" s="6" t="s">
        <v>1107</v>
      </c>
      <c r="F27" s="6">
        <v>8.7599999999999997E-2</v>
      </c>
      <c r="I27">
        <v>3.2000000000000001E-2</v>
      </c>
      <c r="J27">
        <v>1.6117819932802899</v>
      </c>
      <c r="K27">
        <v>15.5313704303358</v>
      </c>
      <c r="L27">
        <v>16.628411498997799</v>
      </c>
      <c r="M27">
        <v>69.523748031531198</v>
      </c>
      <c r="N27">
        <v>4.6216613604379901</v>
      </c>
      <c r="O27">
        <v>21.706387772951899</v>
      </c>
      <c r="P27">
        <v>0</v>
      </c>
    </row>
    <row r="28" spans="1:16" ht="14.5" hidden="1" x14ac:dyDescent="0.3">
      <c r="A28" s="6" t="s">
        <v>178</v>
      </c>
      <c r="B28" s="6" t="s">
        <v>1033</v>
      </c>
      <c r="C28" s="7">
        <v>1</v>
      </c>
      <c r="D28" s="6">
        <v>3</v>
      </c>
      <c r="E28" s="6" t="s">
        <v>1107</v>
      </c>
      <c r="F28" s="6">
        <v>7.5200000000000003E-2</v>
      </c>
      <c r="I28">
        <v>3.2000000000000001E-2</v>
      </c>
      <c r="J28">
        <v>1.0954879402951501</v>
      </c>
      <c r="K28">
        <v>14.962465893702801</v>
      </c>
      <c r="L28">
        <v>13.4472139012095</v>
      </c>
      <c r="M28">
        <v>45.3000426376937</v>
      </c>
      <c r="N28">
        <v>3.9784521501359098</v>
      </c>
      <c r="O28">
        <v>21.7719272596498</v>
      </c>
      <c r="P28">
        <v>0</v>
      </c>
    </row>
    <row r="29" spans="1:16" ht="14.5" hidden="1" x14ac:dyDescent="0.3">
      <c r="A29" s="6" t="s">
        <v>179</v>
      </c>
      <c r="B29" s="6" t="s">
        <v>1033</v>
      </c>
      <c r="C29" s="7">
        <v>1</v>
      </c>
      <c r="D29" s="6">
        <v>3</v>
      </c>
      <c r="E29" s="6" t="s">
        <v>1107</v>
      </c>
      <c r="F29" s="6">
        <v>6.9199999999999998E-2</v>
      </c>
      <c r="I29">
        <v>3.2000000000000001E-2</v>
      </c>
      <c r="J29">
        <v>1.2084946742829199</v>
      </c>
      <c r="K29">
        <v>12.826960464771</v>
      </c>
      <c r="L29">
        <v>14.3561440453046</v>
      </c>
      <c r="M29">
        <v>71.1795062072608</v>
      </c>
      <c r="N29">
        <v>5.0478089896254197</v>
      </c>
      <c r="O29">
        <v>28.567299276039702</v>
      </c>
      <c r="P29">
        <v>0</v>
      </c>
    </row>
    <row r="30" spans="1:16" ht="14.5" hidden="1" x14ac:dyDescent="0.3">
      <c r="A30" s="6" t="s">
        <v>180</v>
      </c>
      <c r="B30" s="6" t="s">
        <v>1033</v>
      </c>
      <c r="C30" s="7">
        <v>1</v>
      </c>
      <c r="D30" s="6">
        <v>3</v>
      </c>
      <c r="E30" s="6" t="s">
        <v>1107</v>
      </c>
      <c r="F30" s="6">
        <v>5.6500000000000002E-2</v>
      </c>
      <c r="I30">
        <v>3.2000000000000001E-2</v>
      </c>
      <c r="J30">
        <v>0.94268202512449095</v>
      </c>
      <c r="K30">
        <v>8.1663766985694508</v>
      </c>
      <c r="L30">
        <v>10.678716573787201</v>
      </c>
      <c r="M30">
        <v>46.179405647467902</v>
      </c>
      <c r="N30">
        <v>2.84693095987845</v>
      </c>
      <c r="O30">
        <v>20.0232059112031</v>
      </c>
      <c r="P30">
        <v>0</v>
      </c>
    </row>
    <row r="31" spans="1:16" ht="14.5" x14ac:dyDescent="0.3">
      <c r="A31" s="6" t="s">
        <v>181</v>
      </c>
      <c r="B31" s="6" t="s">
        <v>1034</v>
      </c>
      <c r="C31" s="7">
        <v>1</v>
      </c>
      <c r="D31" s="6">
        <v>1</v>
      </c>
      <c r="E31" s="6" t="s">
        <v>1107</v>
      </c>
      <c r="F31" s="6">
        <v>0.12479999999999999</v>
      </c>
      <c r="H31" s="1">
        <v>6</v>
      </c>
      <c r="I31">
        <v>0.04</v>
      </c>
      <c r="J31">
        <v>1.6861623078774799</v>
      </c>
      <c r="K31">
        <v>14.0576762244135</v>
      </c>
      <c r="L31">
        <v>20.0405842564514</v>
      </c>
      <c r="M31">
        <v>80.7702248119123</v>
      </c>
      <c r="N31">
        <v>8.5608799504967408</v>
      </c>
      <c r="O31">
        <v>22.8032755314889</v>
      </c>
      <c r="P31">
        <v>0</v>
      </c>
    </row>
    <row r="32" spans="1:16" ht="14.5" x14ac:dyDescent="0.3">
      <c r="A32" s="6" t="s">
        <v>182</v>
      </c>
      <c r="B32" s="6" t="s">
        <v>1034</v>
      </c>
      <c r="C32" s="7">
        <v>1</v>
      </c>
      <c r="D32" s="6">
        <v>1</v>
      </c>
      <c r="E32" s="6" t="s">
        <v>1107</v>
      </c>
      <c r="F32" s="6">
        <v>6.5100000000000005E-2</v>
      </c>
      <c r="H32" s="1">
        <v>6</v>
      </c>
      <c r="I32">
        <v>3.2000000000000001E-2</v>
      </c>
      <c r="J32">
        <v>1.2718945180067101</v>
      </c>
      <c r="K32">
        <v>15.3030189875901</v>
      </c>
      <c r="L32">
        <v>13.739869432388399</v>
      </c>
      <c r="M32">
        <v>61.822160906003603</v>
      </c>
      <c r="N32">
        <v>6.1680751687153297</v>
      </c>
      <c r="O32">
        <v>28.193985435234701</v>
      </c>
      <c r="P32">
        <v>0</v>
      </c>
    </row>
    <row r="33" spans="1:16" ht="14.5" x14ac:dyDescent="0.3">
      <c r="A33" s="6" t="s">
        <v>183</v>
      </c>
      <c r="B33" s="6" t="s">
        <v>1034</v>
      </c>
      <c r="C33" s="7">
        <v>1</v>
      </c>
      <c r="D33" s="6">
        <v>1</v>
      </c>
      <c r="E33" s="6" t="s">
        <v>1107</v>
      </c>
      <c r="F33" s="6">
        <v>6.1100000000000002E-2</v>
      </c>
      <c r="H33" s="1">
        <v>6</v>
      </c>
      <c r="I33">
        <v>3.2000000000000001E-2</v>
      </c>
      <c r="J33">
        <v>1.1208197520930401</v>
      </c>
      <c r="K33">
        <v>16.1422469122666</v>
      </c>
      <c r="L33">
        <v>15.103175723978801</v>
      </c>
      <c r="M33">
        <v>87.733804300802703</v>
      </c>
      <c r="N33">
        <v>2.9039258405961399</v>
      </c>
      <c r="O33">
        <v>39.172038365239601</v>
      </c>
      <c r="P33">
        <v>0</v>
      </c>
    </row>
    <row r="34" spans="1:16" ht="14.5" x14ac:dyDescent="0.3">
      <c r="A34" s="6" t="s">
        <v>184</v>
      </c>
      <c r="B34" s="6" t="s">
        <v>1034</v>
      </c>
      <c r="C34" s="7">
        <v>1</v>
      </c>
      <c r="D34" s="6">
        <v>2</v>
      </c>
      <c r="E34" s="6" t="s">
        <v>1107</v>
      </c>
      <c r="F34" s="6">
        <v>3.6900000000000002E-2</v>
      </c>
      <c r="H34" s="1">
        <v>6</v>
      </c>
      <c r="I34">
        <v>3.2000000000000001E-2</v>
      </c>
      <c r="J34">
        <v>0.49361181532503501</v>
      </c>
      <c r="K34">
        <v>5.75048162977816</v>
      </c>
      <c r="L34">
        <v>6.87818693336422</v>
      </c>
      <c r="M34">
        <v>29.861022987043999</v>
      </c>
      <c r="N34">
        <v>2.41904986632131</v>
      </c>
      <c r="O34">
        <v>12.7487639821227</v>
      </c>
      <c r="P34">
        <v>0</v>
      </c>
    </row>
    <row r="35" spans="1:16" ht="14.5" x14ac:dyDescent="0.3">
      <c r="A35" s="6" t="s">
        <v>185</v>
      </c>
      <c r="B35" s="6" t="s">
        <v>1034</v>
      </c>
      <c r="C35" s="7">
        <v>1</v>
      </c>
      <c r="D35" s="6">
        <v>2</v>
      </c>
      <c r="E35" s="6" t="s">
        <v>1107</v>
      </c>
      <c r="F35" s="6">
        <v>6.5000000000000002E-2</v>
      </c>
      <c r="H35" s="1">
        <v>6</v>
      </c>
      <c r="I35">
        <v>3.2000000000000001E-2</v>
      </c>
      <c r="J35">
        <v>1.5001744702763</v>
      </c>
      <c r="K35">
        <v>18.5669491642883</v>
      </c>
      <c r="L35">
        <v>17.735920580370401</v>
      </c>
      <c r="M35">
        <v>104.825007028705</v>
      </c>
      <c r="N35">
        <v>7.5631847810597801</v>
      </c>
      <c r="O35">
        <v>31.587125763563801</v>
      </c>
      <c r="P35">
        <v>0</v>
      </c>
    </row>
    <row r="36" spans="1:16" ht="14.5" x14ac:dyDescent="0.3">
      <c r="A36" s="6" t="s">
        <v>186</v>
      </c>
      <c r="B36" s="6" t="s">
        <v>1034</v>
      </c>
      <c r="C36" s="7">
        <v>1</v>
      </c>
      <c r="D36" s="6">
        <v>2</v>
      </c>
      <c r="E36" s="6" t="s">
        <v>1107</v>
      </c>
      <c r="F36" s="6">
        <v>9.0399999999999994E-2</v>
      </c>
      <c r="H36" s="1">
        <v>6</v>
      </c>
      <c r="I36">
        <v>3.2000000000000001E-2</v>
      </c>
      <c r="J36">
        <v>1.8294522961417099</v>
      </c>
      <c r="K36">
        <v>18.1979932645161</v>
      </c>
      <c r="L36">
        <v>27.211470775581098</v>
      </c>
      <c r="M36">
        <v>121.004713283895</v>
      </c>
      <c r="N36">
        <v>8.1064968237678805</v>
      </c>
      <c r="O36">
        <v>33.084019120161003</v>
      </c>
      <c r="P36">
        <v>0</v>
      </c>
    </row>
    <row r="37" spans="1:16" ht="14.5" x14ac:dyDescent="0.3">
      <c r="A37" s="6" t="s">
        <v>187</v>
      </c>
      <c r="B37" s="6" t="s">
        <v>1034</v>
      </c>
      <c r="C37" s="7">
        <v>1</v>
      </c>
      <c r="D37" s="6">
        <v>3</v>
      </c>
      <c r="E37" s="6" t="s">
        <v>1107</v>
      </c>
      <c r="F37" s="6">
        <v>5.5E-2</v>
      </c>
      <c r="H37" s="1">
        <v>6</v>
      </c>
      <c r="I37">
        <v>5.6000000000000001E-2</v>
      </c>
      <c r="J37">
        <v>0.76181896099582103</v>
      </c>
      <c r="K37">
        <v>7.3282332625854902</v>
      </c>
      <c r="L37">
        <v>6.6992690215817499</v>
      </c>
      <c r="M37">
        <v>27.109061707346498</v>
      </c>
      <c r="N37">
        <v>1.47757829244363</v>
      </c>
      <c r="O37">
        <v>9.2506636169735295</v>
      </c>
      <c r="P37">
        <v>0</v>
      </c>
    </row>
    <row r="38" spans="1:16" ht="14.5" x14ac:dyDescent="0.3">
      <c r="A38" s="6" t="s">
        <v>188</v>
      </c>
      <c r="B38" s="6" t="s">
        <v>1034</v>
      </c>
      <c r="C38" s="7">
        <v>1</v>
      </c>
      <c r="D38" s="6">
        <v>3</v>
      </c>
      <c r="E38" s="6" t="s">
        <v>1107</v>
      </c>
      <c r="F38" s="6">
        <v>4.8800000000000003E-2</v>
      </c>
      <c r="H38" s="1">
        <v>6</v>
      </c>
      <c r="I38">
        <v>3.2000000000000001E-2</v>
      </c>
      <c r="J38">
        <v>1.0494120117001899</v>
      </c>
      <c r="K38">
        <v>14.791125197449301</v>
      </c>
      <c r="L38">
        <v>10.7964196771832</v>
      </c>
      <c r="M38">
        <v>54.723261279112798</v>
      </c>
      <c r="N38">
        <v>3.31773472033733</v>
      </c>
      <c r="O38">
        <v>25.974240638326901</v>
      </c>
      <c r="P38">
        <v>0</v>
      </c>
    </row>
    <row r="39" spans="1:16" ht="14.5" x14ac:dyDescent="0.3">
      <c r="A39" s="6" t="s">
        <v>189</v>
      </c>
      <c r="B39" s="6" t="s">
        <v>1034</v>
      </c>
      <c r="C39" s="7">
        <v>1</v>
      </c>
      <c r="D39" s="6">
        <v>3</v>
      </c>
      <c r="E39" s="6" t="s">
        <v>1107</v>
      </c>
      <c r="F39" s="6">
        <v>0.11409999999999999</v>
      </c>
      <c r="H39" s="1">
        <v>6</v>
      </c>
      <c r="I39">
        <v>3.2000000000000001E-2</v>
      </c>
      <c r="J39">
        <v>1.9619649392880301</v>
      </c>
      <c r="K39">
        <v>16.916319296963199</v>
      </c>
      <c r="L39">
        <v>19.748077790637499</v>
      </c>
      <c r="M39">
        <v>70.9373723894861</v>
      </c>
      <c r="N39">
        <v>21.115149327950402</v>
      </c>
      <c r="O39">
        <v>40.951403570946297</v>
      </c>
      <c r="P39">
        <v>0</v>
      </c>
    </row>
    <row r="40" spans="1:16" ht="14.5" x14ac:dyDescent="0.3">
      <c r="A40" s="6" t="s">
        <v>190</v>
      </c>
      <c r="B40" s="6" t="s">
        <v>1034</v>
      </c>
      <c r="C40" s="7">
        <v>1</v>
      </c>
      <c r="D40" s="6">
        <v>4</v>
      </c>
      <c r="E40" s="6" t="s">
        <v>1107</v>
      </c>
      <c r="F40" s="6">
        <v>0.10290000000000001</v>
      </c>
      <c r="H40" s="1">
        <v>6</v>
      </c>
      <c r="I40">
        <v>3.2000000000000001E-2</v>
      </c>
      <c r="J40">
        <v>2.0967586387993302</v>
      </c>
      <c r="K40">
        <v>18.296614663194799</v>
      </c>
      <c r="L40">
        <v>17.913607653916401</v>
      </c>
      <c r="M40">
        <v>65.161669463442706</v>
      </c>
      <c r="N40">
        <v>11.111936057633899</v>
      </c>
      <c r="O40">
        <v>30.706255966490701</v>
      </c>
      <c r="P40">
        <v>0</v>
      </c>
    </row>
    <row r="41" spans="1:16" ht="14.5" x14ac:dyDescent="0.3">
      <c r="A41" s="6" t="s">
        <v>191</v>
      </c>
      <c r="B41" s="6" t="s">
        <v>1034</v>
      </c>
      <c r="C41" s="7">
        <v>1</v>
      </c>
      <c r="D41" s="6">
        <v>4</v>
      </c>
      <c r="E41" s="6" t="s">
        <v>1107</v>
      </c>
      <c r="F41" s="6">
        <v>9.7500000000000003E-2</v>
      </c>
      <c r="H41" s="1">
        <v>6</v>
      </c>
      <c r="I41">
        <v>3.2000000000000001E-2</v>
      </c>
      <c r="J41">
        <v>1.81542365291118</v>
      </c>
      <c r="K41">
        <v>21.165041363310699</v>
      </c>
      <c r="L41">
        <v>24.262925182004398</v>
      </c>
      <c r="M41">
        <v>107.63373248760399</v>
      </c>
      <c r="N41">
        <v>10.1797287021864</v>
      </c>
      <c r="O41">
        <v>49.593418602859401</v>
      </c>
      <c r="P41">
        <v>0</v>
      </c>
    </row>
    <row r="42" spans="1:16" ht="14.5" x14ac:dyDescent="0.3">
      <c r="A42" s="6" t="s">
        <v>192</v>
      </c>
      <c r="B42" s="6" t="s">
        <v>1034</v>
      </c>
      <c r="C42" s="7">
        <v>1</v>
      </c>
      <c r="D42" s="6">
        <v>4</v>
      </c>
      <c r="E42" s="6" t="s">
        <v>1107</v>
      </c>
      <c r="F42" s="6">
        <v>0.1</v>
      </c>
      <c r="H42" s="1">
        <v>6</v>
      </c>
      <c r="I42">
        <v>3.2000000000000001E-2</v>
      </c>
      <c r="J42">
        <v>2.1907342985896099</v>
      </c>
      <c r="K42">
        <v>21.287746767931299</v>
      </c>
      <c r="L42">
        <v>25.230774967562098</v>
      </c>
      <c r="M42">
        <v>105.069071646929</v>
      </c>
      <c r="N42">
        <v>6.4082139841231101</v>
      </c>
      <c r="O42">
        <v>36.131889925896601</v>
      </c>
      <c r="P42">
        <v>0</v>
      </c>
    </row>
    <row r="43" spans="1:16" ht="14.5" hidden="1" x14ac:dyDescent="0.3">
      <c r="A43" s="1" t="s">
        <v>193</v>
      </c>
      <c r="B43" s="6" t="s">
        <v>1033</v>
      </c>
      <c r="C43" s="7">
        <v>1</v>
      </c>
      <c r="D43" s="6">
        <v>1</v>
      </c>
      <c r="E43" s="6" t="s">
        <v>1108</v>
      </c>
      <c r="F43" s="6">
        <v>6.1400000000000003E-2</v>
      </c>
      <c r="I43">
        <v>3.2000000000000001E-2</v>
      </c>
      <c r="J43">
        <v>1.4452769992449599</v>
      </c>
      <c r="K43">
        <v>11.2362296102211</v>
      </c>
      <c r="L43">
        <v>11.9198282310174</v>
      </c>
      <c r="M43">
        <v>55.123141671975603</v>
      </c>
      <c r="N43">
        <v>4.4310158791569796</v>
      </c>
      <c r="O43">
        <v>17.0667455477084</v>
      </c>
      <c r="P43">
        <v>0</v>
      </c>
    </row>
    <row r="44" spans="1:16" ht="14.5" hidden="1" x14ac:dyDescent="0.3">
      <c r="A44" s="1" t="s">
        <v>194</v>
      </c>
      <c r="B44" s="6" t="s">
        <v>1033</v>
      </c>
      <c r="C44" s="7">
        <v>1</v>
      </c>
      <c r="D44" s="6">
        <v>1</v>
      </c>
      <c r="E44" s="6" t="s">
        <v>1108</v>
      </c>
      <c r="F44" s="6">
        <v>6.8900000000000003E-2</v>
      </c>
      <c r="I44">
        <v>3.2000000000000001E-2</v>
      </c>
      <c r="J44">
        <v>1.43123388628426</v>
      </c>
      <c r="K44">
        <v>12.1855246038426</v>
      </c>
      <c r="L44">
        <v>14.411387937292901</v>
      </c>
      <c r="M44">
        <v>71.941592876912296</v>
      </c>
      <c r="N44">
        <v>3.9410239048728699</v>
      </c>
      <c r="O44">
        <v>15.4557159861183</v>
      </c>
      <c r="P44">
        <v>0</v>
      </c>
    </row>
    <row r="45" spans="1:16" ht="14.5" hidden="1" x14ac:dyDescent="0.3">
      <c r="A45" s="1" t="s">
        <v>195</v>
      </c>
      <c r="B45" s="6" t="s">
        <v>1033</v>
      </c>
      <c r="C45" s="7">
        <v>1</v>
      </c>
      <c r="D45" s="6">
        <v>1</v>
      </c>
      <c r="E45" s="6" t="s">
        <v>1108</v>
      </c>
      <c r="F45" s="6">
        <v>0.1273</v>
      </c>
      <c r="I45">
        <v>0.04</v>
      </c>
      <c r="J45">
        <v>1.79105078180396</v>
      </c>
      <c r="K45">
        <v>14.6944038277607</v>
      </c>
      <c r="L45">
        <v>17.575728462902799</v>
      </c>
      <c r="M45">
        <v>57.3369854790175</v>
      </c>
      <c r="N45">
        <v>6.3874951816834704</v>
      </c>
      <c r="O45">
        <v>19.264195541473399</v>
      </c>
      <c r="P45">
        <v>0</v>
      </c>
    </row>
    <row r="46" spans="1:16" ht="14.5" hidden="1" x14ac:dyDescent="0.3">
      <c r="A46" s="1" t="s">
        <v>196</v>
      </c>
      <c r="B46" s="6" t="s">
        <v>1033</v>
      </c>
      <c r="C46" s="7">
        <v>1</v>
      </c>
      <c r="D46" s="6">
        <v>2</v>
      </c>
      <c r="E46" s="6" t="s">
        <v>1108</v>
      </c>
      <c r="F46" s="6">
        <v>7.9500000000000001E-2</v>
      </c>
      <c r="I46">
        <v>3.2000000000000001E-2</v>
      </c>
      <c r="J46">
        <v>2.09725404538632</v>
      </c>
      <c r="K46">
        <v>13.6320446596234</v>
      </c>
      <c r="L46">
        <v>16.318846175318001</v>
      </c>
      <c r="M46">
        <v>69.945254844794604</v>
      </c>
      <c r="N46">
        <v>4.3939788047263804</v>
      </c>
      <c r="O46">
        <v>13.7101184602661</v>
      </c>
      <c r="P46">
        <v>0</v>
      </c>
    </row>
    <row r="47" spans="1:16" ht="14.5" hidden="1" x14ac:dyDescent="0.3">
      <c r="A47" s="1" t="s">
        <v>197</v>
      </c>
      <c r="B47" s="6" t="s">
        <v>1033</v>
      </c>
      <c r="C47" s="7">
        <v>1</v>
      </c>
      <c r="D47" s="6">
        <v>2</v>
      </c>
      <c r="E47" s="6" t="s">
        <v>1108</v>
      </c>
      <c r="F47" s="6">
        <v>5.6800000000000003E-2</v>
      </c>
      <c r="I47">
        <v>3.2000000000000001E-2</v>
      </c>
      <c r="J47">
        <v>1.0838264402875699</v>
      </c>
      <c r="K47">
        <v>12.0122749246661</v>
      </c>
      <c r="L47">
        <v>15.211968003062299</v>
      </c>
      <c r="M47">
        <v>86.0203927313527</v>
      </c>
      <c r="N47">
        <v>3.5222484201805999</v>
      </c>
      <c r="O47">
        <v>20.051869826047799</v>
      </c>
      <c r="P47">
        <v>0</v>
      </c>
    </row>
    <row r="48" spans="1:16" ht="14.5" hidden="1" x14ac:dyDescent="0.3">
      <c r="A48" s="1" t="s">
        <v>198</v>
      </c>
      <c r="B48" s="6" t="s">
        <v>1033</v>
      </c>
      <c r="C48" s="7">
        <v>1</v>
      </c>
      <c r="D48" s="6">
        <v>2</v>
      </c>
      <c r="E48" s="6" t="s">
        <v>1108</v>
      </c>
      <c r="F48" s="6">
        <v>7.0599999999999996E-2</v>
      </c>
      <c r="I48">
        <v>3.2000000000000001E-2</v>
      </c>
      <c r="J48">
        <v>1.3966520994617599</v>
      </c>
      <c r="K48">
        <v>13.803333160668</v>
      </c>
      <c r="L48">
        <v>13.4098465339694</v>
      </c>
      <c r="M48">
        <v>66.342280010877303</v>
      </c>
      <c r="N48">
        <v>5.27813120781967</v>
      </c>
      <c r="O48">
        <v>21.871253116585802</v>
      </c>
      <c r="P48">
        <v>0</v>
      </c>
    </row>
    <row r="49" spans="1:16" ht="14.5" hidden="1" x14ac:dyDescent="0.3">
      <c r="A49" s="1" t="s">
        <v>199</v>
      </c>
      <c r="B49" s="6" t="s">
        <v>1033</v>
      </c>
      <c r="C49" s="7">
        <v>1</v>
      </c>
      <c r="D49" s="6">
        <v>3</v>
      </c>
      <c r="E49" s="6" t="s">
        <v>1108</v>
      </c>
      <c r="F49" s="6">
        <v>4.2500000000000003E-2</v>
      </c>
      <c r="I49">
        <v>3.2000000000000001E-2</v>
      </c>
      <c r="J49">
        <v>0.75253873903776003</v>
      </c>
      <c r="K49">
        <v>8.7034224650917693</v>
      </c>
      <c r="L49">
        <v>8.1881599837780197</v>
      </c>
      <c r="M49">
        <v>33.916243290580198</v>
      </c>
      <c r="N49">
        <v>2.7071940622751201</v>
      </c>
      <c r="O49">
        <v>11.403062316158</v>
      </c>
      <c r="P49">
        <v>0</v>
      </c>
    </row>
    <row r="50" spans="1:16" ht="14.5" hidden="1" x14ac:dyDescent="0.3">
      <c r="A50" s="1" t="s">
        <v>200</v>
      </c>
      <c r="B50" s="6" t="s">
        <v>1033</v>
      </c>
      <c r="C50" s="7">
        <v>1</v>
      </c>
      <c r="D50" s="6">
        <v>3</v>
      </c>
      <c r="E50" s="6" t="s">
        <v>1108</v>
      </c>
      <c r="F50" s="6">
        <v>0.1084</v>
      </c>
      <c r="I50">
        <v>3.2000000000000001E-2</v>
      </c>
      <c r="J50">
        <v>1.6439288456807699</v>
      </c>
      <c r="K50">
        <v>18.997193198626501</v>
      </c>
      <c r="L50">
        <v>19.7773294297617</v>
      </c>
      <c r="M50">
        <v>79.910492301709894</v>
      </c>
      <c r="N50">
        <v>7.4191888583210597</v>
      </c>
      <c r="O50">
        <v>49.123485274528001</v>
      </c>
      <c r="P50">
        <v>0</v>
      </c>
    </row>
    <row r="51" spans="1:16" ht="14.5" hidden="1" x14ac:dyDescent="0.3">
      <c r="A51" s="1" t="s">
        <v>201</v>
      </c>
      <c r="B51" s="6" t="s">
        <v>1033</v>
      </c>
      <c r="C51" s="7">
        <v>1</v>
      </c>
      <c r="D51" s="6">
        <v>3</v>
      </c>
      <c r="E51" s="6" t="s">
        <v>1108</v>
      </c>
      <c r="F51" s="6">
        <v>3.8300000000000001E-2</v>
      </c>
      <c r="I51">
        <v>3.2000000000000001E-2</v>
      </c>
      <c r="J51">
        <v>0.64016937846468702</v>
      </c>
      <c r="K51">
        <v>9.35382189229591</v>
      </c>
      <c r="L51">
        <v>6.3919817788845004</v>
      </c>
      <c r="M51">
        <v>25.9586786262903</v>
      </c>
      <c r="N51">
        <v>3.0201894950640198</v>
      </c>
      <c r="O51">
        <v>22.297408015014302</v>
      </c>
      <c r="P51">
        <v>0</v>
      </c>
    </row>
    <row r="52" spans="1:16" ht="14.5" hidden="1" x14ac:dyDescent="0.3">
      <c r="A52" s="1" t="s">
        <v>202</v>
      </c>
      <c r="B52" s="6" t="s">
        <v>1035</v>
      </c>
      <c r="C52" s="7">
        <v>1</v>
      </c>
      <c r="D52" s="6">
        <v>1</v>
      </c>
      <c r="E52" s="6" t="s">
        <v>1108</v>
      </c>
      <c r="F52" s="6">
        <v>0.10390000000000001</v>
      </c>
      <c r="H52" s="1">
        <v>24.3</v>
      </c>
      <c r="I52">
        <v>3.2000000000000001E-2</v>
      </c>
      <c r="J52">
        <v>2.1679515109209699</v>
      </c>
      <c r="K52">
        <v>15.3980953781951</v>
      </c>
      <c r="L52">
        <v>16.623840647167398</v>
      </c>
      <c r="M52">
        <v>60.644194715253498</v>
      </c>
      <c r="N52">
        <v>10.4542589105113</v>
      </c>
      <c r="O52">
        <v>26.133168378701399</v>
      </c>
      <c r="P52">
        <v>0</v>
      </c>
    </row>
    <row r="53" spans="1:16" ht="14.5" hidden="1" x14ac:dyDescent="0.3">
      <c r="A53" s="1" t="s">
        <v>203</v>
      </c>
      <c r="B53" s="6" t="s">
        <v>1035</v>
      </c>
      <c r="C53" s="7">
        <v>1</v>
      </c>
      <c r="D53" s="6">
        <v>1</v>
      </c>
      <c r="E53" s="6" t="s">
        <v>1108</v>
      </c>
      <c r="F53" s="6">
        <v>7.5399999999999995E-2</v>
      </c>
      <c r="H53" s="1">
        <v>24.3</v>
      </c>
      <c r="I53">
        <v>3.2000000000000001E-2</v>
      </c>
      <c r="J53">
        <v>1.4058107029985001</v>
      </c>
      <c r="K53">
        <v>13.136973329542601</v>
      </c>
      <c r="L53">
        <v>16.5518950058717</v>
      </c>
      <c r="M53">
        <v>79.021031207443102</v>
      </c>
      <c r="N53">
        <v>7.8404180768971399</v>
      </c>
      <c r="O53">
        <v>22.415031572480199</v>
      </c>
      <c r="P53">
        <v>0</v>
      </c>
    </row>
    <row r="54" spans="1:16" ht="14.5" hidden="1" x14ac:dyDescent="0.3">
      <c r="A54" s="1" t="s">
        <v>204</v>
      </c>
      <c r="B54" s="6" t="s">
        <v>1035</v>
      </c>
      <c r="C54" s="7">
        <v>1</v>
      </c>
      <c r="D54" s="6">
        <v>1</v>
      </c>
      <c r="E54" s="6" t="s">
        <v>1108</v>
      </c>
      <c r="F54" s="6">
        <v>7.9600000000000004E-2</v>
      </c>
      <c r="H54" s="1">
        <v>24.3</v>
      </c>
      <c r="I54">
        <v>3.2000000000000001E-2</v>
      </c>
      <c r="J54">
        <v>1.27065992429423</v>
      </c>
      <c r="K54">
        <v>15.534745573679301</v>
      </c>
      <c r="L54">
        <v>18.155205777208199</v>
      </c>
      <c r="M54">
        <v>93.893557972056698</v>
      </c>
      <c r="N54">
        <v>10.688506515467299</v>
      </c>
      <c r="O54">
        <v>47.312398446036298</v>
      </c>
      <c r="P54">
        <v>0</v>
      </c>
    </row>
    <row r="55" spans="1:16" ht="14.5" hidden="1" x14ac:dyDescent="0.3">
      <c r="A55" s="1" t="s">
        <v>205</v>
      </c>
      <c r="B55" s="6" t="s">
        <v>1035</v>
      </c>
      <c r="C55" s="7">
        <v>1</v>
      </c>
      <c r="D55" s="6">
        <v>1</v>
      </c>
      <c r="E55" s="6" t="s">
        <v>1108</v>
      </c>
      <c r="F55" s="6">
        <v>5.7200000000000001E-2</v>
      </c>
      <c r="H55" s="1">
        <v>24.3</v>
      </c>
      <c r="I55">
        <v>3.2000000000000001E-2</v>
      </c>
      <c r="J55">
        <v>1.13794333285711</v>
      </c>
      <c r="K55">
        <v>11.1099731903407</v>
      </c>
      <c r="L55">
        <v>10.0890574769601</v>
      </c>
      <c r="M55">
        <v>44.234116335013603</v>
      </c>
      <c r="N55">
        <v>4.4121444915228896</v>
      </c>
      <c r="O55">
        <v>14.088068517436</v>
      </c>
      <c r="P55">
        <v>0</v>
      </c>
    </row>
    <row r="56" spans="1:16" ht="14.5" hidden="1" x14ac:dyDescent="0.3">
      <c r="A56" s="1" t="s">
        <v>206</v>
      </c>
      <c r="B56" s="6" t="s">
        <v>1035</v>
      </c>
      <c r="C56" s="7">
        <v>1</v>
      </c>
      <c r="D56" s="6">
        <v>2</v>
      </c>
      <c r="E56" s="6" t="s">
        <v>1108</v>
      </c>
      <c r="F56" s="6">
        <v>7.2599999999999998E-2</v>
      </c>
      <c r="H56" s="1">
        <v>24.333333333333332</v>
      </c>
      <c r="I56">
        <v>3.2000000000000001E-2</v>
      </c>
      <c r="J56">
        <v>1.62376486114105</v>
      </c>
      <c r="K56">
        <v>16.554408768102199</v>
      </c>
      <c r="L56">
        <v>12.656271037182799</v>
      </c>
      <c r="M56">
        <v>43.311729469907199</v>
      </c>
      <c r="N56">
        <v>8.0351308970808706</v>
      </c>
      <c r="O56">
        <v>26.552006799808701</v>
      </c>
      <c r="P56">
        <v>0</v>
      </c>
    </row>
    <row r="57" spans="1:16" ht="14.5" hidden="1" x14ac:dyDescent="0.3">
      <c r="A57" s="1" t="s">
        <v>207</v>
      </c>
      <c r="B57" s="6" t="s">
        <v>1035</v>
      </c>
      <c r="C57" s="7">
        <v>1</v>
      </c>
      <c r="D57" s="6">
        <v>2</v>
      </c>
      <c r="E57" s="6" t="s">
        <v>1108</v>
      </c>
      <c r="F57" s="6">
        <v>0.1143</v>
      </c>
      <c r="H57" s="1">
        <v>24.333333333333332</v>
      </c>
      <c r="I57">
        <v>3.2000000000000001E-2</v>
      </c>
      <c r="J57">
        <v>1.9777088410514301</v>
      </c>
      <c r="K57">
        <v>22.421870220912901</v>
      </c>
      <c r="L57">
        <v>20.696438652668501</v>
      </c>
      <c r="M57">
        <v>102.975453851135</v>
      </c>
      <c r="N57">
        <v>12.451074476386401</v>
      </c>
      <c r="O57">
        <v>48.208154406102203</v>
      </c>
      <c r="P57">
        <v>0</v>
      </c>
    </row>
    <row r="58" spans="1:16" ht="14.5" hidden="1" x14ac:dyDescent="0.3">
      <c r="A58" s="1" t="s">
        <v>208</v>
      </c>
      <c r="B58" s="6" t="s">
        <v>1035</v>
      </c>
      <c r="C58" s="7">
        <v>1</v>
      </c>
      <c r="D58" s="6">
        <v>2</v>
      </c>
      <c r="E58" s="6" t="s">
        <v>1108</v>
      </c>
      <c r="F58" s="6">
        <v>8.3000000000000004E-2</v>
      </c>
      <c r="H58" s="1">
        <v>24.333333333333332</v>
      </c>
      <c r="I58">
        <v>3.2000000000000001E-2</v>
      </c>
      <c r="J58">
        <v>2.0064011471676402</v>
      </c>
      <c r="K58">
        <v>16.7167069356044</v>
      </c>
      <c r="L58">
        <v>14.3977286541484</v>
      </c>
      <c r="M58">
        <v>55.297103515267104</v>
      </c>
      <c r="N58">
        <v>6.1757559945293297</v>
      </c>
      <c r="O58">
        <v>26.4354822875999</v>
      </c>
      <c r="P58">
        <v>0</v>
      </c>
    </row>
    <row r="59" spans="1:16" ht="14.5" hidden="1" x14ac:dyDescent="0.3">
      <c r="A59" s="1" t="s">
        <v>209</v>
      </c>
      <c r="B59" s="6" t="s">
        <v>1035</v>
      </c>
      <c r="C59" s="7">
        <v>1</v>
      </c>
      <c r="D59" s="6">
        <v>2</v>
      </c>
      <c r="E59" s="6" t="s">
        <v>1108</v>
      </c>
      <c r="F59" s="6">
        <v>9.7299999999999998E-2</v>
      </c>
      <c r="H59" s="1">
        <v>24.333333333333332</v>
      </c>
      <c r="I59">
        <v>3.2000000000000001E-2</v>
      </c>
      <c r="J59">
        <v>1.6062369695919501</v>
      </c>
      <c r="K59">
        <v>14.884811833854901</v>
      </c>
      <c r="L59">
        <v>14.256536295181</v>
      </c>
      <c r="M59">
        <v>39.119765415024403</v>
      </c>
      <c r="N59">
        <v>9.8124528218345493</v>
      </c>
      <c r="O59">
        <v>23.565115376621499</v>
      </c>
      <c r="P59">
        <v>0</v>
      </c>
    </row>
    <row r="60" spans="1:16" ht="14.5" hidden="1" x14ac:dyDescent="0.3">
      <c r="A60" s="1" t="s">
        <v>210</v>
      </c>
      <c r="B60" s="6" t="s">
        <v>1035</v>
      </c>
      <c r="C60" s="7">
        <v>1</v>
      </c>
      <c r="D60" s="6">
        <v>3</v>
      </c>
      <c r="E60" s="6" t="s">
        <v>1108</v>
      </c>
      <c r="F60" s="6">
        <v>8.3199999999999996E-2</v>
      </c>
      <c r="H60" s="1">
        <v>24.7</v>
      </c>
      <c r="I60">
        <v>3.2000000000000001E-2</v>
      </c>
      <c r="J60">
        <v>1.4798688042124699</v>
      </c>
      <c r="K60">
        <v>14.54221056734</v>
      </c>
      <c r="L60">
        <v>17.0638153152467</v>
      </c>
      <c r="M60">
        <v>81.938948068037007</v>
      </c>
      <c r="N60">
        <v>8.2969369876371903</v>
      </c>
      <c r="O60">
        <v>27.7547760361951</v>
      </c>
      <c r="P60">
        <v>0</v>
      </c>
    </row>
    <row r="61" spans="1:16" ht="14.5" hidden="1" x14ac:dyDescent="0.3">
      <c r="A61" s="1" t="s">
        <v>211</v>
      </c>
      <c r="B61" s="6" t="s">
        <v>1035</v>
      </c>
      <c r="C61" s="7">
        <v>1</v>
      </c>
      <c r="D61" s="6">
        <v>3</v>
      </c>
      <c r="E61" s="6" t="s">
        <v>1108</v>
      </c>
      <c r="F61" s="6">
        <v>4.6100000000000002E-2</v>
      </c>
      <c r="H61" s="1">
        <v>24.7</v>
      </c>
      <c r="I61">
        <v>3.2000000000000001E-2</v>
      </c>
      <c r="J61">
        <v>0.81701327718777395</v>
      </c>
      <c r="K61">
        <v>8.5691253260792397</v>
      </c>
      <c r="L61">
        <v>9.5157746580565803</v>
      </c>
      <c r="M61">
        <v>43.931404244762199</v>
      </c>
      <c r="N61">
        <v>2.7678090746317099</v>
      </c>
      <c r="O61">
        <v>12.0046212670565</v>
      </c>
      <c r="P61">
        <v>0</v>
      </c>
    </row>
    <row r="62" spans="1:16" ht="14.5" hidden="1" x14ac:dyDescent="0.3">
      <c r="A62" s="1" t="s">
        <v>212</v>
      </c>
      <c r="B62" s="6" t="s">
        <v>1035</v>
      </c>
      <c r="C62" s="7">
        <v>1</v>
      </c>
      <c r="D62" s="6">
        <v>3</v>
      </c>
      <c r="E62" s="6" t="s">
        <v>1108</v>
      </c>
      <c r="F62" s="6">
        <v>8.6699999999999999E-2</v>
      </c>
      <c r="H62" s="1">
        <v>24.7</v>
      </c>
      <c r="I62">
        <v>3.2000000000000001E-2</v>
      </c>
      <c r="J62">
        <v>1.72489332088012</v>
      </c>
      <c r="K62">
        <v>21.8770809649541</v>
      </c>
      <c r="L62">
        <v>32.133542133191199</v>
      </c>
      <c r="M62">
        <v>206.794491430693</v>
      </c>
      <c r="N62">
        <v>10.947465943833</v>
      </c>
      <c r="O62">
        <v>52.787091532471003</v>
      </c>
      <c r="P62">
        <v>0</v>
      </c>
    </row>
    <row r="63" spans="1:16" ht="14.5" hidden="1" x14ac:dyDescent="0.3">
      <c r="A63" s="1" t="s">
        <v>213</v>
      </c>
      <c r="B63" s="6" t="s">
        <v>1035</v>
      </c>
      <c r="C63" s="7">
        <v>1</v>
      </c>
      <c r="D63" s="6">
        <v>3</v>
      </c>
      <c r="E63" s="6" t="s">
        <v>1108</v>
      </c>
      <c r="F63" s="6">
        <v>0.1206</v>
      </c>
      <c r="H63" s="1">
        <v>24.7</v>
      </c>
      <c r="I63">
        <v>0.04</v>
      </c>
      <c r="J63">
        <v>1.9668619946677901</v>
      </c>
      <c r="K63">
        <v>16.9800165500695</v>
      </c>
      <c r="L63">
        <v>18.6822815546283</v>
      </c>
      <c r="M63">
        <v>98.630846620594298</v>
      </c>
      <c r="N63">
        <v>9.5229140227101201</v>
      </c>
      <c r="O63">
        <v>34.9933498559664</v>
      </c>
      <c r="P63">
        <v>0</v>
      </c>
    </row>
    <row r="64" spans="1:16" ht="14.5" hidden="1" x14ac:dyDescent="0.3">
      <c r="A64" s="1" t="s">
        <v>214</v>
      </c>
      <c r="B64" s="6" t="s">
        <v>1035</v>
      </c>
      <c r="C64" s="7">
        <v>1</v>
      </c>
      <c r="D64" s="6">
        <v>4</v>
      </c>
      <c r="E64" s="6" t="s">
        <v>1108</v>
      </c>
      <c r="F64" s="6">
        <v>8.4900000000000003E-2</v>
      </c>
      <c r="H64" s="1">
        <v>24.75</v>
      </c>
      <c r="I64">
        <v>3.2000000000000001E-2</v>
      </c>
      <c r="J64">
        <v>1.60940447386662</v>
      </c>
      <c r="K64">
        <v>15.083658857078801</v>
      </c>
      <c r="L64">
        <v>19.488889142684201</v>
      </c>
      <c r="M64">
        <v>99.545073183609304</v>
      </c>
      <c r="N64">
        <v>6.6047617837942996</v>
      </c>
      <c r="O64">
        <v>27.5112153601989</v>
      </c>
      <c r="P64">
        <v>0</v>
      </c>
    </row>
    <row r="65" spans="1:16" ht="14.5" hidden="1" x14ac:dyDescent="0.3">
      <c r="A65" s="1" t="s">
        <v>215</v>
      </c>
      <c r="B65" s="6" t="s">
        <v>1035</v>
      </c>
      <c r="C65" s="7">
        <v>1</v>
      </c>
      <c r="D65" s="6">
        <v>4</v>
      </c>
      <c r="E65" s="6" t="s">
        <v>1108</v>
      </c>
      <c r="F65" s="6">
        <v>6.83E-2</v>
      </c>
      <c r="H65" s="1">
        <v>24.75</v>
      </c>
      <c r="I65">
        <v>3.2000000000000001E-2</v>
      </c>
      <c r="J65">
        <v>1.39927005623336</v>
      </c>
      <c r="K65">
        <v>15.4471271818782</v>
      </c>
      <c r="L65">
        <v>15.249579206971701</v>
      </c>
      <c r="M65">
        <v>76.937824399542905</v>
      </c>
      <c r="N65">
        <v>7.3090113585191299</v>
      </c>
      <c r="O65">
        <v>38.936256074837502</v>
      </c>
      <c r="P65">
        <v>0</v>
      </c>
    </row>
    <row r="66" spans="1:16" ht="14.5" hidden="1" x14ac:dyDescent="0.3">
      <c r="A66" s="1" t="s">
        <v>216</v>
      </c>
      <c r="B66" s="6" t="s">
        <v>1035</v>
      </c>
      <c r="C66" s="7">
        <v>1</v>
      </c>
      <c r="D66" s="6">
        <v>4</v>
      </c>
      <c r="E66" s="6" t="s">
        <v>1108</v>
      </c>
      <c r="F66" s="6">
        <v>5.5899999999999998E-2</v>
      </c>
      <c r="H66" s="1">
        <v>24.75</v>
      </c>
      <c r="I66">
        <v>3.2000000000000001E-2</v>
      </c>
      <c r="J66">
        <v>1.0911056415868301</v>
      </c>
      <c r="K66">
        <v>11.366925100951899</v>
      </c>
      <c r="L66">
        <v>10.5261089541592</v>
      </c>
      <c r="M66">
        <v>38.898503131740199</v>
      </c>
      <c r="N66">
        <v>5.3212075780432402</v>
      </c>
      <c r="O66">
        <v>14.548953694692401</v>
      </c>
      <c r="P66">
        <v>0</v>
      </c>
    </row>
    <row r="67" spans="1:16" ht="14.5" hidden="1" x14ac:dyDescent="0.3">
      <c r="A67" s="1" t="s">
        <v>217</v>
      </c>
      <c r="B67" s="6" t="s">
        <v>1035</v>
      </c>
      <c r="C67" s="7">
        <v>1</v>
      </c>
      <c r="D67" s="6">
        <v>4</v>
      </c>
      <c r="E67" s="6" t="s">
        <v>1108</v>
      </c>
      <c r="F67" s="6">
        <v>9.7199999999999995E-2</v>
      </c>
      <c r="H67" s="1">
        <v>24.75</v>
      </c>
      <c r="I67">
        <v>3.2000000000000001E-2</v>
      </c>
      <c r="J67">
        <v>1.9470259431002701</v>
      </c>
      <c r="K67">
        <v>18.425551156800001</v>
      </c>
      <c r="L67">
        <v>19.086861672914999</v>
      </c>
      <c r="M67">
        <v>117.85643463931</v>
      </c>
      <c r="N67">
        <v>11.338446215822</v>
      </c>
      <c r="O67">
        <v>44.483704272665598</v>
      </c>
      <c r="P67">
        <v>0</v>
      </c>
    </row>
    <row r="68" spans="1:16" ht="14.5" x14ac:dyDescent="0.3">
      <c r="A68" s="1" t="s">
        <v>218</v>
      </c>
      <c r="B68" s="6" t="s">
        <v>1034</v>
      </c>
      <c r="C68" s="7">
        <v>1</v>
      </c>
      <c r="D68" s="6">
        <v>1</v>
      </c>
      <c r="E68" s="6" t="s">
        <v>1108</v>
      </c>
      <c r="F68" s="6">
        <v>0.1</v>
      </c>
      <c r="H68" s="1">
        <v>24.216666666666665</v>
      </c>
      <c r="I68">
        <v>3.2000000000000001E-2</v>
      </c>
      <c r="J68">
        <v>1.77027033240079</v>
      </c>
      <c r="K68">
        <v>19.775722300961199</v>
      </c>
      <c r="L68">
        <v>19.442421830258699</v>
      </c>
      <c r="M68">
        <v>100.858438398462</v>
      </c>
      <c r="N68">
        <v>18.1675932315258</v>
      </c>
      <c r="O68">
        <v>50.016938322848603</v>
      </c>
      <c r="P68">
        <v>0</v>
      </c>
    </row>
    <row r="69" spans="1:16" ht="14.5" x14ac:dyDescent="0.3">
      <c r="A69" s="1" t="s">
        <v>219</v>
      </c>
      <c r="B69" s="6" t="s">
        <v>1034</v>
      </c>
      <c r="C69" s="7">
        <v>1</v>
      </c>
      <c r="D69" s="6">
        <v>1</v>
      </c>
      <c r="E69" s="6" t="s">
        <v>1108</v>
      </c>
      <c r="F69" s="6">
        <v>6.9000000000000006E-2</v>
      </c>
      <c r="H69" s="1">
        <v>24.216666666666665</v>
      </c>
      <c r="I69">
        <v>3.2000000000000001E-2</v>
      </c>
      <c r="J69">
        <v>1.2929586169368601</v>
      </c>
      <c r="K69">
        <v>13.0454134770854</v>
      </c>
      <c r="L69">
        <v>15.6523291950807</v>
      </c>
      <c r="M69">
        <v>72.859901241378097</v>
      </c>
      <c r="N69">
        <v>15.129969786272699</v>
      </c>
      <c r="O69">
        <v>38.111086591745902</v>
      </c>
      <c r="P69">
        <v>0</v>
      </c>
    </row>
    <row r="70" spans="1:16" ht="14.5" x14ac:dyDescent="0.3">
      <c r="A70" s="1" t="s">
        <v>220</v>
      </c>
      <c r="B70" s="6" t="s">
        <v>1034</v>
      </c>
      <c r="C70" s="7">
        <v>1</v>
      </c>
      <c r="D70" s="6">
        <v>1</v>
      </c>
      <c r="E70" s="6" t="s">
        <v>1108</v>
      </c>
      <c r="F70" s="6">
        <v>0.1024</v>
      </c>
      <c r="H70" s="1">
        <v>24.216666666666665</v>
      </c>
      <c r="I70">
        <v>3.2000000000000001E-2</v>
      </c>
      <c r="J70">
        <v>2.2361195785350398</v>
      </c>
      <c r="K70">
        <v>17.904861953058901</v>
      </c>
      <c r="L70">
        <v>16.094738513102602</v>
      </c>
      <c r="M70">
        <v>68.124123000252496</v>
      </c>
      <c r="N70">
        <v>23.643700045057798</v>
      </c>
      <c r="O70">
        <v>46.097538716126699</v>
      </c>
      <c r="P70">
        <v>0</v>
      </c>
    </row>
    <row r="71" spans="1:16" ht="14.5" x14ac:dyDescent="0.3">
      <c r="A71" s="1" t="s">
        <v>221</v>
      </c>
      <c r="B71" s="6" t="s">
        <v>1034</v>
      </c>
      <c r="C71" s="7">
        <v>1</v>
      </c>
      <c r="D71" s="6">
        <v>2</v>
      </c>
      <c r="E71" s="6" t="s">
        <v>1108</v>
      </c>
      <c r="F71" s="6">
        <v>8.7800000000000003E-2</v>
      </c>
      <c r="H71" s="1">
        <v>24.3</v>
      </c>
      <c r="I71">
        <v>3.2000000000000001E-2</v>
      </c>
      <c r="J71">
        <v>1.5385313442832</v>
      </c>
      <c r="K71">
        <v>21.989882166462699</v>
      </c>
      <c r="L71">
        <v>23.454835517748599</v>
      </c>
      <c r="M71">
        <v>107.469641672034</v>
      </c>
      <c r="N71">
        <v>26.024346592179299</v>
      </c>
      <c r="O71">
        <v>77.170139225197502</v>
      </c>
      <c r="P71">
        <v>0</v>
      </c>
    </row>
    <row r="72" spans="1:16" ht="14.5" x14ac:dyDescent="0.3">
      <c r="A72" s="1" t="s">
        <v>222</v>
      </c>
      <c r="B72" s="6" t="s">
        <v>1034</v>
      </c>
      <c r="C72" s="7">
        <v>1</v>
      </c>
      <c r="D72" s="6">
        <v>2</v>
      </c>
      <c r="E72" s="6" t="s">
        <v>1108</v>
      </c>
      <c r="F72" s="6">
        <v>8.5400000000000004E-2</v>
      </c>
      <c r="H72" s="1">
        <v>24.3</v>
      </c>
      <c r="I72">
        <v>3.2000000000000001E-2</v>
      </c>
      <c r="J72">
        <v>2.9712880874189098</v>
      </c>
      <c r="K72">
        <v>18.584896331618701</v>
      </c>
      <c r="L72">
        <v>16.539911968995</v>
      </c>
      <c r="M72">
        <v>72.422114371293205</v>
      </c>
      <c r="N72">
        <v>19.2525689976897</v>
      </c>
      <c r="O72">
        <v>38.773003271164001</v>
      </c>
      <c r="P72">
        <v>0</v>
      </c>
    </row>
    <row r="73" spans="1:16" ht="14.5" x14ac:dyDescent="0.3">
      <c r="A73" s="1" t="s">
        <v>223</v>
      </c>
      <c r="B73" s="6" t="s">
        <v>1034</v>
      </c>
      <c r="C73" s="7">
        <v>1</v>
      </c>
      <c r="D73" s="6">
        <v>2</v>
      </c>
      <c r="E73" s="6" t="s">
        <v>1108</v>
      </c>
      <c r="F73" s="6">
        <v>0.12379999999999999</v>
      </c>
      <c r="H73" s="1">
        <v>24.3</v>
      </c>
      <c r="I73">
        <v>0.04</v>
      </c>
      <c r="J73">
        <v>2.1065021974953999</v>
      </c>
      <c r="K73">
        <v>17.356254038091802</v>
      </c>
      <c r="L73">
        <v>18.3692274713115</v>
      </c>
      <c r="M73">
        <v>87.343396614082593</v>
      </c>
      <c r="N73">
        <v>18.956574367635</v>
      </c>
      <c r="O73">
        <v>39.032010879469702</v>
      </c>
      <c r="P73">
        <v>0</v>
      </c>
    </row>
    <row r="74" spans="1:16" ht="14.5" x14ac:dyDescent="0.3">
      <c r="A74" s="1" t="s">
        <v>224</v>
      </c>
      <c r="B74" s="6" t="s">
        <v>1034</v>
      </c>
      <c r="C74" s="7">
        <v>1</v>
      </c>
      <c r="D74" s="6">
        <v>3</v>
      </c>
      <c r="E74" s="6" t="s">
        <v>1108</v>
      </c>
      <c r="F74" s="6">
        <v>0.11799999999999999</v>
      </c>
      <c r="H74" s="1">
        <v>24.216666666666665</v>
      </c>
      <c r="I74">
        <v>3.2000000000000001E-2</v>
      </c>
      <c r="J74">
        <v>2.0498266927534798</v>
      </c>
      <c r="K74">
        <v>18.352722029998802</v>
      </c>
      <c r="L74">
        <v>23.3681236191915</v>
      </c>
      <c r="M74">
        <v>122.46168702426399</v>
      </c>
      <c r="N74">
        <v>17.714375831523</v>
      </c>
      <c r="O74">
        <v>36.510217975235101</v>
      </c>
      <c r="P74">
        <v>0</v>
      </c>
    </row>
    <row r="75" spans="1:16" ht="14.5" x14ac:dyDescent="0.3">
      <c r="A75" s="1" t="s">
        <v>225</v>
      </c>
      <c r="B75" s="6" t="s">
        <v>1034</v>
      </c>
      <c r="C75" s="7">
        <v>1</v>
      </c>
      <c r="D75" s="6">
        <v>3</v>
      </c>
      <c r="E75" s="6" t="s">
        <v>1108</v>
      </c>
      <c r="F75" s="6">
        <v>0.1226</v>
      </c>
      <c r="H75" s="1">
        <v>24.216666666666665</v>
      </c>
      <c r="I75">
        <v>0.04</v>
      </c>
      <c r="J75">
        <v>1.6870716142772699</v>
      </c>
      <c r="K75">
        <v>19.086490346093001</v>
      </c>
      <c r="L75">
        <v>24.4316847323853</v>
      </c>
      <c r="M75">
        <v>102.863774703602</v>
      </c>
      <c r="N75">
        <v>30.130505795105599</v>
      </c>
      <c r="O75">
        <v>48.948382140797101</v>
      </c>
      <c r="P75">
        <v>0</v>
      </c>
    </row>
    <row r="76" spans="1:16" ht="14.5" x14ac:dyDescent="0.3">
      <c r="A76" s="1" t="s">
        <v>226</v>
      </c>
      <c r="B76" s="6" t="s">
        <v>1034</v>
      </c>
      <c r="C76" s="7">
        <v>1</v>
      </c>
      <c r="D76" s="6">
        <v>3</v>
      </c>
      <c r="E76" s="6" t="s">
        <v>1108</v>
      </c>
      <c r="F76" s="6">
        <v>6.3500000000000001E-2</v>
      </c>
      <c r="H76" s="1">
        <v>24.216666666666665</v>
      </c>
      <c r="I76">
        <v>3.2000000000000001E-2</v>
      </c>
      <c r="J76">
        <v>0.67904870833846698</v>
      </c>
      <c r="K76">
        <v>10.773013479072601</v>
      </c>
      <c r="L76">
        <v>16.9604467346456</v>
      </c>
      <c r="M76">
        <v>117.94263569860399</v>
      </c>
      <c r="N76">
        <v>14.490914639990701</v>
      </c>
      <c r="O76">
        <v>47.514663454504003</v>
      </c>
      <c r="P76">
        <v>0</v>
      </c>
    </row>
    <row r="77" spans="1:16" ht="14.5" x14ac:dyDescent="0.3">
      <c r="A77" s="1" t="s">
        <v>227</v>
      </c>
      <c r="B77" s="6" t="s">
        <v>1034</v>
      </c>
      <c r="C77" s="7">
        <v>1</v>
      </c>
      <c r="D77" s="6">
        <v>4</v>
      </c>
      <c r="E77" s="6" t="s">
        <v>1108</v>
      </c>
      <c r="F77" s="6">
        <v>0.1113</v>
      </c>
      <c r="H77" s="1">
        <v>24.216666666666665</v>
      </c>
      <c r="I77">
        <v>3.2000000000000001E-2</v>
      </c>
      <c r="J77">
        <v>1.7137791940802001</v>
      </c>
      <c r="K77">
        <v>18.837383744507299</v>
      </c>
      <c r="L77">
        <v>19.175470204771099</v>
      </c>
      <c r="M77">
        <v>73.574339444143703</v>
      </c>
      <c r="N77">
        <v>14.0070169693112</v>
      </c>
      <c r="O77">
        <v>43.019159499649703</v>
      </c>
      <c r="P77">
        <v>0</v>
      </c>
    </row>
    <row r="78" spans="1:16" ht="14.5" x14ac:dyDescent="0.3">
      <c r="A78" s="1" t="s">
        <v>228</v>
      </c>
      <c r="B78" s="6" t="s">
        <v>1034</v>
      </c>
      <c r="C78" s="7">
        <v>1</v>
      </c>
      <c r="D78" s="6">
        <v>4</v>
      </c>
      <c r="E78" s="6" t="s">
        <v>1108</v>
      </c>
      <c r="F78" s="6">
        <v>7.2499999999999995E-2</v>
      </c>
      <c r="H78" s="1">
        <v>24.216666666666665</v>
      </c>
      <c r="I78">
        <v>3.2000000000000001E-2</v>
      </c>
      <c r="J78">
        <v>0.91919399709196503</v>
      </c>
      <c r="K78">
        <v>11.876044013343201</v>
      </c>
      <c r="L78">
        <v>17.138852579976501</v>
      </c>
      <c r="M78">
        <v>99.567731743435203</v>
      </c>
      <c r="N78">
        <v>15.5033064187968</v>
      </c>
      <c r="O78">
        <v>37.782668848309498</v>
      </c>
      <c r="P78">
        <v>0</v>
      </c>
    </row>
    <row r="79" spans="1:16" ht="14.5" x14ac:dyDescent="0.3">
      <c r="A79" s="1" t="s">
        <v>229</v>
      </c>
      <c r="B79" s="6" t="s">
        <v>1034</v>
      </c>
      <c r="C79" s="7">
        <v>1</v>
      </c>
      <c r="D79" s="6">
        <v>4</v>
      </c>
      <c r="E79" s="6" t="s">
        <v>1108</v>
      </c>
      <c r="F79" s="6">
        <v>6.5299999999999997E-2</v>
      </c>
      <c r="H79" s="1">
        <v>24.216666666666665</v>
      </c>
      <c r="I79">
        <v>3.2000000000000001E-2</v>
      </c>
      <c r="J79">
        <v>1.1849590755546</v>
      </c>
      <c r="K79">
        <v>10.375004917556399</v>
      </c>
      <c r="L79">
        <v>19.3904061971358</v>
      </c>
      <c r="M79">
        <v>111.11309981185499</v>
      </c>
      <c r="N79">
        <v>9.7674512720301099</v>
      </c>
      <c r="O79">
        <v>30.304558044016101</v>
      </c>
      <c r="P79">
        <v>0</v>
      </c>
    </row>
    <row r="80" spans="1:16" ht="14.5" hidden="1" x14ac:dyDescent="0.3">
      <c r="A80" s="1" t="s">
        <v>230</v>
      </c>
      <c r="B80" s="6" t="s">
        <v>1033</v>
      </c>
      <c r="C80" s="7">
        <v>1</v>
      </c>
      <c r="D80" s="6">
        <v>1</v>
      </c>
      <c r="E80" s="6" t="s">
        <v>1109</v>
      </c>
      <c r="F80" s="6">
        <v>0.1134</v>
      </c>
      <c r="I80">
        <v>3.2000000000000001E-2</v>
      </c>
      <c r="J80">
        <v>2.5227369309656198</v>
      </c>
      <c r="K80">
        <v>19.9188501485675</v>
      </c>
      <c r="L80">
        <v>20.195898875447099</v>
      </c>
      <c r="M80">
        <v>65.304095873975697</v>
      </c>
      <c r="N80">
        <v>9.8829099995121599</v>
      </c>
      <c r="O80">
        <v>27.557198526284001</v>
      </c>
      <c r="P80">
        <v>0</v>
      </c>
    </row>
    <row r="81" spans="1:16" ht="14.5" hidden="1" x14ac:dyDescent="0.3">
      <c r="A81" s="1" t="s">
        <v>231</v>
      </c>
      <c r="B81" s="6" t="s">
        <v>1033</v>
      </c>
      <c r="C81" s="7">
        <v>1</v>
      </c>
      <c r="D81" s="6">
        <v>1</v>
      </c>
      <c r="E81" s="6" t="s">
        <v>1109</v>
      </c>
      <c r="F81" s="6">
        <v>7.51E-2</v>
      </c>
      <c r="I81">
        <v>3.2000000000000001E-2</v>
      </c>
      <c r="J81">
        <v>1.0682017851988099</v>
      </c>
      <c r="K81">
        <v>11.596867921069</v>
      </c>
      <c r="L81">
        <v>12.0163849785579</v>
      </c>
      <c r="M81">
        <v>36.713289465269099</v>
      </c>
      <c r="N81">
        <v>5.0992740160868504</v>
      </c>
      <c r="O81">
        <v>31.957657089155099</v>
      </c>
      <c r="P81">
        <v>0</v>
      </c>
    </row>
    <row r="82" spans="1:16" ht="14.5" hidden="1" x14ac:dyDescent="0.3">
      <c r="A82" s="1" t="s">
        <v>232</v>
      </c>
      <c r="B82" s="6" t="s">
        <v>1033</v>
      </c>
      <c r="C82" s="7">
        <v>1</v>
      </c>
      <c r="D82" s="6">
        <v>1</v>
      </c>
      <c r="E82" s="6" t="s">
        <v>1109</v>
      </c>
      <c r="F82" s="6">
        <v>8.1699999999999995E-2</v>
      </c>
      <c r="I82">
        <v>3.2000000000000001E-2</v>
      </c>
      <c r="J82">
        <v>1.5126800254964301</v>
      </c>
      <c r="K82">
        <v>14.851079623198499</v>
      </c>
      <c r="L82">
        <v>16.7583364087916</v>
      </c>
      <c r="M82">
        <v>56.649678700435103</v>
      </c>
      <c r="N82">
        <v>11.721644527925401</v>
      </c>
      <c r="O82">
        <v>45.9025408657619</v>
      </c>
      <c r="P82">
        <v>0</v>
      </c>
    </row>
    <row r="83" spans="1:16" ht="14.5" hidden="1" x14ac:dyDescent="0.3">
      <c r="A83" s="1" t="s">
        <v>233</v>
      </c>
      <c r="B83" s="6" t="s">
        <v>1033</v>
      </c>
      <c r="C83" s="7">
        <v>1</v>
      </c>
      <c r="D83" s="6">
        <v>2</v>
      </c>
      <c r="E83" s="6" t="s">
        <v>1109</v>
      </c>
      <c r="F83" s="6">
        <v>6.08E-2</v>
      </c>
      <c r="I83">
        <v>3.2000000000000001E-2</v>
      </c>
      <c r="J83">
        <v>1.01693328284437</v>
      </c>
      <c r="K83">
        <v>12.0673740455399</v>
      </c>
      <c r="L83">
        <v>10.752817562477601</v>
      </c>
      <c r="M83">
        <v>52.696483393530201</v>
      </c>
      <c r="N83">
        <v>3.3209733472681902</v>
      </c>
      <c r="O83">
        <v>18.898320670607301</v>
      </c>
      <c r="P83">
        <v>0</v>
      </c>
    </row>
    <row r="84" spans="1:16" ht="14.5" hidden="1" x14ac:dyDescent="0.3">
      <c r="A84" s="1" t="s">
        <v>234</v>
      </c>
      <c r="B84" s="6" t="s">
        <v>1033</v>
      </c>
      <c r="C84" s="7">
        <v>1</v>
      </c>
      <c r="D84" s="6">
        <v>2</v>
      </c>
      <c r="E84" s="6" t="s">
        <v>1109</v>
      </c>
      <c r="F84" s="6">
        <v>8.2100000000000006E-2</v>
      </c>
      <c r="I84">
        <v>3.2000000000000001E-2</v>
      </c>
      <c r="J84">
        <v>1.55443546287904</v>
      </c>
      <c r="K84">
        <v>15.939143266519499</v>
      </c>
      <c r="L84">
        <v>29.551388019411199</v>
      </c>
      <c r="M84">
        <v>232.709159593039</v>
      </c>
      <c r="N84">
        <v>5.7330253839749803</v>
      </c>
      <c r="O84">
        <v>39.873386271158701</v>
      </c>
      <c r="P84">
        <v>0</v>
      </c>
    </row>
    <row r="85" spans="1:16" ht="14.5" hidden="1" x14ac:dyDescent="0.3">
      <c r="A85" s="1" t="s">
        <v>235</v>
      </c>
      <c r="B85" s="6" t="s">
        <v>1033</v>
      </c>
      <c r="C85" s="7">
        <v>1</v>
      </c>
      <c r="D85" s="6">
        <v>2</v>
      </c>
      <c r="E85" s="6" t="s">
        <v>1109</v>
      </c>
      <c r="F85" s="6">
        <v>9.3299999999999994E-2</v>
      </c>
      <c r="I85">
        <v>3.2000000000000001E-2</v>
      </c>
      <c r="J85">
        <v>1.8756141234099</v>
      </c>
      <c r="K85">
        <v>19.678450439196801</v>
      </c>
      <c r="L85">
        <v>14.4114775269276</v>
      </c>
      <c r="M85">
        <v>41.657331784155602</v>
      </c>
      <c r="N85">
        <v>8.2626007339376706</v>
      </c>
      <c r="O85">
        <v>30.755236268801401</v>
      </c>
      <c r="P85">
        <v>0</v>
      </c>
    </row>
    <row r="86" spans="1:16" ht="14.5" hidden="1" x14ac:dyDescent="0.3">
      <c r="A86" s="1" t="s">
        <v>236</v>
      </c>
      <c r="B86" s="6" t="s">
        <v>1033</v>
      </c>
      <c r="C86" s="7">
        <v>1</v>
      </c>
      <c r="D86" s="6">
        <v>3</v>
      </c>
      <c r="E86" s="6" t="s">
        <v>1109</v>
      </c>
      <c r="F86" s="6">
        <v>5.4199999999999998E-2</v>
      </c>
      <c r="I86">
        <v>3.2000000000000001E-2</v>
      </c>
      <c r="J86">
        <v>0.97698135096227701</v>
      </c>
      <c r="K86">
        <v>10.702167469771499</v>
      </c>
      <c r="L86">
        <v>10.596454404676599</v>
      </c>
      <c r="M86">
        <v>48.4097907875964</v>
      </c>
      <c r="N86">
        <v>5.3883199627125302</v>
      </c>
      <c r="O86">
        <v>35.144011366115201</v>
      </c>
      <c r="P86">
        <v>0</v>
      </c>
    </row>
    <row r="87" spans="1:16" ht="14.5" hidden="1" x14ac:dyDescent="0.3">
      <c r="A87" s="1" t="s">
        <v>237</v>
      </c>
      <c r="B87" s="6" t="s">
        <v>1033</v>
      </c>
      <c r="C87" s="7">
        <v>1</v>
      </c>
      <c r="D87" s="6">
        <v>3</v>
      </c>
      <c r="E87" s="6" t="s">
        <v>1109</v>
      </c>
      <c r="F87" s="6">
        <v>0.12920000000000001</v>
      </c>
      <c r="I87">
        <v>0.04</v>
      </c>
      <c r="J87">
        <v>1.8635033801910901</v>
      </c>
      <c r="K87">
        <v>15.194628661429601</v>
      </c>
      <c r="L87">
        <v>18.1466946027383</v>
      </c>
      <c r="M87">
        <v>61.050958246031698</v>
      </c>
      <c r="N87">
        <v>14.5878068739349</v>
      </c>
      <c r="O87">
        <v>43.4633032662095</v>
      </c>
      <c r="P87">
        <v>0</v>
      </c>
    </row>
    <row r="88" spans="1:16" ht="14.5" hidden="1" x14ac:dyDescent="0.3">
      <c r="A88" s="1" t="s">
        <v>238</v>
      </c>
      <c r="B88" s="6" t="s">
        <v>1033</v>
      </c>
      <c r="C88" s="7">
        <v>1</v>
      </c>
      <c r="D88" s="6">
        <v>3</v>
      </c>
      <c r="E88" s="6" t="s">
        <v>1109</v>
      </c>
      <c r="F88" s="6">
        <v>4.48E-2</v>
      </c>
      <c r="I88">
        <v>3.2000000000000001E-2</v>
      </c>
      <c r="J88">
        <v>0.85998953777365805</v>
      </c>
      <c r="K88">
        <v>10.770675933816401</v>
      </c>
      <c r="L88">
        <v>6.3426547315536697</v>
      </c>
      <c r="M88">
        <v>16.502107411875102</v>
      </c>
      <c r="N88">
        <v>3.8384624698919101</v>
      </c>
      <c r="O88">
        <v>20.1845809446529</v>
      </c>
      <c r="P88">
        <v>0</v>
      </c>
    </row>
    <row r="89" spans="1:16" ht="14.5" x14ac:dyDescent="0.3">
      <c r="A89" s="1" t="s">
        <v>239</v>
      </c>
      <c r="B89" s="6" t="s">
        <v>1034</v>
      </c>
      <c r="C89" s="7">
        <v>1</v>
      </c>
      <c r="D89" s="6">
        <v>1</v>
      </c>
      <c r="E89" s="6" t="s">
        <v>1109</v>
      </c>
      <c r="F89" s="6">
        <v>8.43E-2</v>
      </c>
      <c r="H89" s="1">
        <v>71.916666666666671</v>
      </c>
      <c r="I89">
        <v>3.2000000000000001E-2</v>
      </c>
      <c r="J89">
        <v>1.50435222021073</v>
      </c>
      <c r="K89">
        <v>13.569853748352701</v>
      </c>
      <c r="L89">
        <v>13.6129400504802</v>
      </c>
      <c r="M89">
        <v>46.921471426466198</v>
      </c>
      <c r="N89">
        <v>51.838795032413799</v>
      </c>
      <c r="O89">
        <v>69.569259509290902</v>
      </c>
      <c r="P89">
        <v>0</v>
      </c>
    </row>
    <row r="90" spans="1:16" ht="14.5" x14ac:dyDescent="0.3">
      <c r="A90" s="1" t="s">
        <v>240</v>
      </c>
      <c r="B90" s="6" t="s">
        <v>1034</v>
      </c>
      <c r="C90" s="7">
        <v>1</v>
      </c>
      <c r="D90" s="6">
        <v>1</v>
      </c>
      <c r="E90" s="6" t="s">
        <v>1109</v>
      </c>
      <c r="F90" s="6">
        <v>0.09</v>
      </c>
      <c r="H90" s="1">
        <v>71.916666666666671</v>
      </c>
      <c r="I90">
        <v>3.2000000000000001E-2</v>
      </c>
      <c r="J90">
        <v>1.65026630369512</v>
      </c>
      <c r="K90">
        <v>17.417234555270099</v>
      </c>
      <c r="L90">
        <v>13.1309151452288</v>
      </c>
      <c r="M90">
        <v>35.491813474997301</v>
      </c>
      <c r="N90">
        <v>132.41429795773999</v>
      </c>
      <c r="O90">
        <v>165.66381895003499</v>
      </c>
      <c r="P90">
        <v>0</v>
      </c>
    </row>
    <row r="91" spans="1:16" ht="14.5" x14ac:dyDescent="0.3">
      <c r="A91" s="1" t="s">
        <v>241</v>
      </c>
      <c r="B91" s="6" t="s">
        <v>1034</v>
      </c>
      <c r="C91" s="7">
        <v>1</v>
      </c>
      <c r="D91" s="6">
        <v>1</v>
      </c>
      <c r="E91" s="6" t="s">
        <v>1109</v>
      </c>
      <c r="F91" s="6">
        <v>6.6100000000000006E-2</v>
      </c>
      <c r="H91" s="1">
        <v>71.916666666666671</v>
      </c>
      <c r="I91">
        <v>3.2000000000000001E-2</v>
      </c>
      <c r="J91">
        <v>1.4550228014858</v>
      </c>
      <c r="K91">
        <v>12.892632085437199</v>
      </c>
      <c r="L91">
        <v>10.8036363594595</v>
      </c>
      <c r="M91">
        <v>39.4349494491711</v>
      </c>
      <c r="N91">
        <v>89.672043660084796</v>
      </c>
      <c r="O91">
        <v>100.150411147296</v>
      </c>
      <c r="P91">
        <v>0</v>
      </c>
    </row>
    <row r="92" spans="1:16" ht="14.5" x14ac:dyDescent="0.3">
      <c r="A92" s="1" t="s">
        <v>242</v>
      </c>
      <c r="B92" s="6" t="s">
        <v>1034</v>
      </c>
      <c r="C92" s="7">
        <v>1</v>
      </c>
      <c r="D92" s="6">
        <v>1</v>
      </c>
      <c r="E92" s="6" t="s">
        <v>1109</v>
      </c>
      <c r="F92" s="6">
        <v>7.2400000000000006E-2</v>
      </c>
      <c r="H92" s="1">
        <v>71.9166666666667</v>
      </c>
      <c r="I92">
        <v>3.2000000000000001E-2</v>
      </c>
      <c r="J92">
        <v>1.2576563673822501</v>
      </c>
      <c r="K92">
        <v>15.8007461698733</v>
      </c>
      <c r="L92">
        <v>17.035245463616299</v>
      </c>
      <c r="M92">
        <v>92.379231850455199</v>
      </c>
      <c r="N92">
        <v>43.312822538129403</v>
      </c>
      <c r="O92">
        <v>64.411324354891207</v>
      </c>
      <c r="P92">
        <v>0</v>
      </c>
    </row>
    <row r="93" spans="1:16" ht="14.5" x14ac:dyDescent="0.3">
      <c r="A93" s="1" t="s">
        <v>243</v>
      </c>
      <c r="B93" s="6" t="s">
        <v>1034</v>
      </c>
      <c r="C93" s="7">
        <v>1</v>
      </c>
      <c r="D93" s="6">
        <v>2</v>
      </c>
      <c r="E93" s="6" t="s">
        <v>1109</v>
      </c>
      <c r="F93" s="6">
        <v>7.9299999999999995E-2</v>
      </c>
      <c r="H93" s="1">
        <v>71.95</v>
      </c>
      <c r="I93">
        <v>3.2000000000000001E-2</v>
      </c>
      <c r="J93">
        <v>1.31930171709408</v>
      </c>
      <c r="K93">
        <v>9.8092040405713892</v>
      </c>
      <c r="L93">
        <v>15.363370608885401</v>
      </c>
      <c r="M93">
        <v>51.8933765351372</v>
      </c>
      <c r="N93">
        <v>38.805818798814897</v>
      </c>
      <c r="O93">
        <v>50.507974771606698</v>
      </c>
      <c r="P93">
        <v>0</v>
      </c>
    </row>
    <row r="94" spans="1:16" ht="14.5" x14ac:dyDescent="0.3">
      <c r="A94" s="1" t="s">
        <v>244</v>
      </c>
      <c r="B94" s="6" t="s">
        <v>1034</v>
      </c>
      <c r="C94" s="7">
        <v>1</v>
      </c>
      <c r="D94" s="6">
        <v>2</v>
      </c>
      <c r="E94" s="6" t="s">
        <v>1109</v>
      </c>
      <c r="F94" s="6">
        <v>0.1173</v>
      </c>
      <c r="H94" s="1">
        <v>71.95</v>
      </c>
      <c r="I94">
        <v>3.2000000000000001E-2</v>
      </c>
      <c r="J94">
        <v>2.5885673681432801</v>
      </c>
      <c r="K94">
        <v>24.979430326223799</v>
      </c>
      <c r="L94">
        <v>21.9273374017497</v>
      </c>
      <c r="M94">
        <v>85.441311517601406</v>
      </c>
      <c r="N94">
        <v>39.474165942142903</v>
      </c>
      <c r="O94">
        <v>66.989944359028897</v>
      </c>
      <c r="P94">
        <v>0</v>
      </c>
    </row>
    <row r="95" spans="1:16" ht="14.5" x14ac:dyDescent="0.3">
      <c r="A95" s="1" t="s">
        <v>245</v>
      </c>
      <c r="B95" s="6" t="s">
        <v>1034</v>
      </c>
      <c r="C95" s="7">
        <v>1</v>
      </c>
      <c r="D95" s="6">
        <v>2</v>
      </c>
      <c r="E95" s="6" t="s">
        <v>1109</v>
      </c>
      <c r="F95" s="6">
        <v>5.4699999999999999E-2</v>
      </c>
      <c r="H95" s="1">
        <v>71.95</v>
      </c>
      <c r="I95">
        <v>3.2000000000000001E-2</v>
      </c>
      <c r="J95">
        <v>1.2419168152868401</v>
      </c>
      <c r="K95">
        <v>12.329090478599699</v>
      </c>
      <c r="L95">
        <v>9.0957935653425999</v>
      </c>
      <c r="M95">
        <v>28.863461389095999</v>
      </c>
      <c r="N95">
        <v>44.129696927905101</v>
      </c>
      <c r="O95">
        <v>60.172951099516297</v>
      </c>
      <c r="P95">
        <v>0</v>
      </c>
    </row>
    <row r="96" spans="1:16" ht="14.5" x14ac:dyDescent="0.3">
      <c r="A96" s="1" t="s">
        <v>246</v>
      </c>
      <c r="B96" s="6" t="s">
        <v>1034</v>
      </c>
      <c r="C96" s="7">
        <v>1</v>
      </c>
      <c r="D96" s="6">
        <v>2</v>
      </c>
      <c r="E96" s="6" t="s">
        <v>1109</v>
      </c>
      <c r="F96" s="6">
        <v>9.7799999999999998E-2</v>
      </c>
      <c r="H96" s="1">
        <v>71.95</v>
      </c>
      <c r="I96">
        <v>3.2000000000000001E-2</v>
      </c>
      <c r="J96">
        <v>2.6125234402650799</v>
      </c>
      <c r="K96">
        <v>18.3156154626523</v>
      </c>
      <c r="L96">
        <v>17.2057369199593</v>
      </c>
      <c r="M96">
        <v>48.797711394322199</v>
      </c>
      <c r="N96">
        <v>42.338045348519799</v>
      </c>
      <c r="O96">
        <v>58.715211218807099</v>
      </c>
      <c r="P96">
        <v>0</v>
      </c>
    </row>
    <row r="97" spans="1:16" ht="14.5" x14ac:dyDescent="0.3">
      <c r="A97" s="1" t="s">
        <v>247</v>
      </c>
      <c r="B97" s="6" t="s">
        <v>1034</v>
      </c>
      <c r="C97" s="7">
        <v>1</v>
      </c>
      <c r="D97" s="6">
        <v>3</v>
      </c>
      <c r="E97" s="6" t="s">
        <v>1109</v>
      </c>
      <c r="F97" s="6">
        <v>8.8700000000000001E-2</v>
      </c>
      <c r="H97" s="1">
        <v>71.95</v>
      </c>
      <c r="I97">
        <v>3.2000000000000001E-2</v>
      </c>
      <c r="J97">
        <v>1.90927103897817</v>
      </c>
      <c r="K97">
        <v>24.817061158427101</v>
      </c>
      <c r="L97">
        <v>17.762023725191899</v>
      </c>
      <c r="M97">
        <v>73.499482141673496</v>
      </c>
      <c r="N97">
        <v>68.967665300862606</v>
      </c>
      <c r="O97">
        <v>97.042708412305501</v>
      </c>
      <c r="P97">
        <v>0</v>
      </c>
    </row>
    <row r="98" spans="1:16" ht="14.5" x14ac:dyDescent="0.3">
      <c r="A98" s="1" t="s">
        <v>248</v>
      </c>
      <c r="B98" s="6" t="s">
        <v>1034</v>
      </c>
      <c r="C98" s="7">
        <v>1</v>
      </c>
      <c r="D98" s="6">
        <v>3</v>
      </c>
      <c r="E98" s="6" t="s">
        <v>1109</v>
      </c>
      <c r="F98" s="6">
        <v>7.5999999999999998E-2</v>
      </c>
      <c r="H98" s="1">
        <v>71.95</v>
      </c>
      <c r="I98">
        <v>3.2000000000000001E-2</v>
      </c>
      <c r="J98">
        <v>1.0918706878228399</v>
      </c>
      <c r="K98">
        <v>22.865684569015599</v>
      </c>
      <c r="L98">
        <v>15.7142298152444</v>
      </c>
      <c r="M98">
        <v>73.180590202366005</v>
      </c>
      <c r="N98">
        <v>63.544658510477198</v>
      </c>
      <c r="O98">
        <v>113.38898425702899</v>
      </c>
      <c r="P98">
        <v>0</v>
      </c>
    </row>
    <row r="99" spans="1:16" ht="14.5" x14ac:dyDescent="0.3">
      <c r="A99" s="1" t="s">
        <v>249</v>
      </c>
      <c r="B99" s="6" t="s">
        <v>1034</v>
      </c>
      <c r="C99" s="7">
        <v>1</v>
      </c>
      <c r="D99" s="6">
        <v>3</v>
      </c>
      <c r="E99" s="6" t="s">
        <v>1109</v>
      </c>
      <c r="F99" s="6">
        <v>9.06E-2</v>
      </c>
      <c r="H99" s="1">
        <v>71.95</v>
      </c>
      <c r="I99">
        <v>3.2000000000000001E-2</v>
      </c>
      <c r="J99">
        <v>1.7321894590165401</v>
      </c>
      <c r="K99">
        <v>17.133828450251301</v>
      </c>
      <c r="L99">
        <v>21.590327039528798</v>
      </c>
      <c r="M99">
        <v>87.051738209211507</v>
      </c>
      <c r="N99">
        <v>64.956138665418095</v>
      </c>
      <c r="O99">
        <v>92.292454078983297</v>
      </c>
      <c r="P99">
        <v>0</v>
      </c>
    </row>
    <row r="100" spans="1:16" ht="14.5" x14ac:dyDescent="0.3">
      <c r="A100" s="1" t="s">
        <v>250</v>
      </c>
      <c r="B100" s="6" t="s">
        <v>1034</v>
      </c>
      <c r="C100" s="7">
        <v>1</v>
      </c>
      <c r="D100" s="6">
        <v>3</v>
      </c>
      <c r="E100" s="6" t="s">
        <v>1109</v>
      </c>
      <c r="F100" s="6">
        <v>6.3899999999999998E-2</v>
      </c>
      <c r="H100" s="1">
        <v>71.95</v>
      </c>
      <c r="I100">
        <v>3.2000000000000001E-2</v>
      </c>
      <c r="J100">
        <v>1.2180516933568899</v>
      </c>
      <c r="K100">
        <v>12.9509261316609</v>
      </c>
      <c r="L100">
        <v>8.9894909829982996</v>
      </c>
      <c r="M100">
        <v>23.090560344279599</v>
      </c>
      <c r="N100">
        <v>37.8993886367453</v>
      </c>
      <c r="O100">
        <v>50.877647053542297</v>
      </c>
      <c r="P100">
        <v>0</v>
      </c>
    </row>
    <row r="101" spans="1:16" ht="14.5" x14ac:dyDescent="0.3">
      <c r="A101" s="1" t="s">
        <v>251</v>
      </c>
      <c r="B101" s="6" t="s">
        <v>1034</v>
      </c>
      <c r="C101" s="7">
        <v>1</v>
      </c>
      <c r="D101" s="6">
        <v>4</v>
      </c>
      <c r="E101" s="6" t="s">
        <v>1109</v>
      </c>
      <c r="F101" s="6">
        <v>0.1071</v>
      </c>
      <c r="H101" s="1">
        <v>71.966666666666669</v>
      </c>
      <c r="I101">
        <v>3.2000000000000001E-2</v>
      </c>
      <c r="J101">
        <v>3.23250287631849</v>
      </c>
      <c r="K101">
        <v>24.515049982780202</v>
      </c>
      <c r="L101">
        <v>20.389253866265602</v>
      </c>
      <c r="M101">
        <v>75.6181655706431</v>
      </c>
      <c r="N101">
        <v>58.998767218148501</v>
      </c>
      <c r="O101">
        <v>88.498330469833903</v>
      </c>
      <c r="P101">
        <v>0</v>
      </c>
    </row>
    <row r="102" spans="1:16" ht="14.5" x14ac:dyDescent="0.3">
      <c r="A102" s="1" t="s">
        <v>252</v>
      </c>
      <c r="B102" s="6" t="s">
        <v>1034</v>
      </c>
      <c r="C102" s="7">
        <v>1</v>
      </c>
      <c r="D102" s="6">
        <v>4</v>
      </c>
      <c r="E102" s="6" t="s">
        <v>1109</v>
      </c>
      <c r="F102" s="6">
        <v>0.1038</v>
      </c>
      <c r="H102" s="1">
        <v>71.966666666666669</v>
      </c>
      <c r="I102">
        <v>3.2000000000000001E-2</v>
      </c>
      <c r="J102">
        <v>1.60435139179923</v>
      </c>
      <c r="K102">
        <v>18.555339035792802</v>
      </c>
      <c r="L102">
        <v>18.1960652738343</v>
      </c>
      <c r="M102">
        <v>63.759946781768498</v>
      </c>
      <c r="N102">
        <v>54.894992102594998</v>
      </c>
      <c r="O102">
        <v>92.002650359390998</v>
      </c>
      <c r="P102">
        <v>0</v>
      </c>
    </row>
    <row r="103" spans="1:16" ht="14.5" x14ac:dyDescent="0.3">
      <c r="A103" s="1" t="s">
        <v>253</v>
      </c>
      <c r="B103" s="6" t="s">
        <v>1034</v>
      </c>
      <c r="C103" s="7">
        <v>1</v>
      </c>
      <c r="D103" s="6">
        <v>4</v>
      </c>
      <c r="E103" s="6" t="s">
        <v>1109</v>
      </c>
      <c r="F103" s="6">
        <v>5.1799999999999999E-2</v>
      </c>
      <c r="H103" s="1">
        <v>71.966666666666669</v>
      </c>
      <c r="I103">
        <v>3.2000000000000001E-2</v>
      </c>
      <c r="J103">
        <v>1.1326178030705301</v>
      </c>
      <c r="K103">
        <v>13.325092215889001</v>
      </c>
      <c r="L103">
        <v>16.666010692905701</v>
      </c>
      <c r="M103">
        <v>81.862974683423303</v>
      </c>
      <c r="N103">
        <v>89.488581482833595</v>
      </c>
      <c r="O103">
        <v>117.038650507829</v>
      </c>
      <c r="P103">
        <v>0</v>
      </c>
    </row>
    <row r="104" spans="1:16" ht="14.5" x14ac:dyDescent="0.3">
      <c r="A104" s="1" t="s">
        <v>254</v>
      </c>
      <c r="B104" s="6" t="s">
        <v>1034</v>
      </c>
      <c r="C104" s="7">
        <v>1</v>
      </c>
      <c r="D104" s="6">
        <v>4</v>
      </c>
      <c r="E104" s="6" t="s">
        <v>1109</v>
      </c>
      <c r="F104" s="6">
        <v>7.0800000000000002E-2</v>
      </c>
      <c r="H104" s="1">
        <v>71.966666666666669</v>
      </c>
      <c r="I104">
        <v>3.2000000000000001E-2</v>
      </c>
      <c r="J104">
        <v>1.46664042325844</v>
      </c>
      <c r="K104">
        <v>17.616013941281199</v>
      </c>
      <c r="L104">
        <v>14.102212227217301</v>
      </c>
      <c r="M104">
        <v>61.051034424190803</v>
      </c>
      <c r="N104">
        <v>45.066487835613998</v>
      </c>
      <c r="O104">
        <v>72.164136228173703</v>
      </c>
      <c r="P104">
        <v>0</v>
      </c>
    </row>
    <row r="105" spans="1:16" ht="14.5" hidden="1" x14ac:dyDescent="0.3">
      <c r="A105" s="1" t="s">
        <v>255</v>
      </c>
      <c r="B105" s="6" t="s">
        <v>1032</v>
      </c>
      <c r="C105" s="6">
        <v>2</v>
      </c>
      <c r="D105" s="6">
        <v>2</v>
      </c>
      <c r="E105" s="6">
        <v>14</v>
      </c>
      <c r="F105" s="6">
        <v>8.0199999999999994E-2</v>
      </c>
      <c r="I105">
        <v>3.2000000000000001E-2</v>
      </c>
      <c r="J105">
        <v>2.0952341597088702</v>
      </c>
      <c r="K105">
        <v>16.942653317059602</v>
      </c>
      <c r="L105">
        <v>14.546316836815301</v>
      </c>
      <c r="M105">
        <v>44.985230546716998</v>
      </c>
      <c r="N105">
        <v>7.2775309583680299</v>
      </c>
      <c r="O105">
        <v>25.560789162996699</v>
      </c>
      <c r="P105">
        <v>0</v>
      </c>
    </row>
    <row r="106" spans="1:16" ht="14.5" hidden="1" x14ac:dyDescent="0.3">
      <c r="A106" s="1" t="s">
        <v>256</v>
      </c>
      <c r="B106" s="6" t="s">
        <v>1032</v>
      </c>
      <c r="C106" s="6">
        <v>2</v>
      </c>
      <c r="D106" s="6">
        <v>3</v>
      </c>
      <c r="E106" s="6">
        <v>14</v>
      </c>
      <c r="F106" s="6">
        <v>4.9700000000000001E-2</v>
      </c>
      <c r="I106">
        <v>3.2000000000000001E-2</v>
      </c>
      <c r="J106">
        <v>0.65711920697467197</v>
      </c>
      <c r="K106">
        <v>10.592959768678201</v>
      </c>
      <c r="L106">
        <v>18.885713178767499</v>
      </c>
      <c r="M106">
        <v>120.609954979851</v>
      </c>
      <c r="N106">
        <v>1.296830232277</v>
      </c>
      <c r="O106">
        <v>41.852736338672798</v>
      </c>
      <c r="P106">
        <v>0</v>
      </c>
    </row>
    <row r="107" spans="1:16" ht="14.5" hidden="1" x14ac:dyDescent="0.3">
      <c r="A107" s="1" t="s">
        <v>257</v>
      </c>
      <c r="B107" s="6" t="s">
        <v>1032</v>
      </c>
      <c r="C107" s="6">
        <v>2</v>
      </c>
      <c r="D107" s="6">
        <v>4</v>
      </c>
      <c r="E107" s="6">
        <v>14</v>
      </c>
      <c r="F107" s="6">
        <v>3.6600000000000001E-2</v>
      </c>
      <c r="I107">
        <v>3.2000000000000001E-2</v>
      </c>
      <c r="J107">
        <v>0.73353740049178995</v>
      </c>
      <c r="K107">
        <v>6.6162201578997903</v>
      </c>
      <c r="L107">
        <v>9.9222245864025798</v>
      </c>
      <c r="M107">
        <v>49.874742163083702</v>
      </c>
      <c r="N107">
        <v>2.3390656772215301</v>
      </c>
      <c r="O107">
        <v>26.391721714489499</v>
      </c>
      <c r="P107">
        <v>0</v>
      </c>
    </row>
    <row r="108" spans="1:16" ht="14.5" hidden="1" x14ac:dyDescent="0.3">
      <c r="A108" s="1" t="s">
        <v>258</v>
      </c>
      <c r="B108" s="6" t="s">
        <v>1032</v>
      </c>
      <c r="C108" s="6">
        <v>2</v>
      </c>
      <c r="D108" s="6">
        <v>5</v>
      </c>
      <c r="E108" s="6">
        <v>14</v>
      </c>
      <c r="F108" s="6">
        <v>7.4300000000000005E-2</v>
      </c>
      <c r="I108">
        <v>3.2000000000000001E-2</v>
      </c>
      <c r="J108">
        <v>1.35693853259762</v>
      </c>
      <c r="K108">
        <v>11.4364215169528</v>
      </c>
      <c r="L108">
        <v>17.8432565057368</v>
      </c>
      <c r="M108">
        <v>66.155031100641295</v>
      </c>
      <c r="N108">
        <v>4.17366443566398</v>
      </c>
      <c r="O108">
        <v>17.758341771963</v>
      </c>
      <c r="P108">
        <v>0</v>
      </c>
    </row>
    <row r="109" spans="1:16" ht="14.5" hidden="1" x14ac:dyDescent="0.3">
      <c r="A109" s="1" t="s">
        <v>259</v>
      </c>
      <c r="B109" s="6" t="s">
        <v>1032</v>
      </c>
      <c r="C109" s="6">
        <v>2</v>
      </c>
      <c r="D109" s="6">
        <v>6</v>
      </c>
      <c r="E109" s="6">
        <v>14</v>
      </c>
      <c r="F109" s="6">
        <v>8.5000000000000006E-2</v>
      </c>
      <c r="I109">
        <v>3.2000000000000001E-2</v>
      </c>
      <c r="J109">
        <v>1.8874714225247</v>
      </c>
      <c r="K109">
        <v>10.494155488108699</v>
      </c>
      <c r="L109">
        <v>16.366101530840599</v>
      </c>
      <c r="M109">
        <v>56.846539003352902</v>
      </c>
      <c r="N109">
        <v>6.06488565787045</v>
      </c>
      <c r="O109">
        <v>33.681970566912398</v>
      </c>
      <c r="P109">
        <v>0</v>
      </c>
    </row>
    <row r="110" spans="1:16" ht="14.5" hidden="1" x14ac:dyDescent="0.3">
      <c r="A110" s="1" t="s">
        <v>260</v>
      </c>
      <c r="B110" s="6" t="s">
        <v>1032</v>
      </c>
      <c r="C110" s="6">
        <v>2</v>
      </c>
      <c r="D110" s="6">
        <v>7</v>
      </c>
      <c r="E110" s="6">
        <v>14</v>
      </c>
      <c r="F110" s="6">
        <v>7.17E-2</v>
      </c>
      <c r="I110">
        <v>3.2000000000000001E-2</v>
      </c>
      <c r="J110">
        <v>1.5499423578918301</v>
      </c>
      <c r="K110">
        <v>17.988675206824901</v>
      </c>
      <c r="L110">
        <v>17.400795218777301</v>
      </c>
      <c r="M110">
        <v>92.856207970874394</v>
      </c>
      <c r="N110">
        <v>6.6278561878204201</v>
      </c>
      <c r="O110">
        <v>58.617793612441503</v>
      </c>
      <c r="P110">
        <v>0</v>
      </c>
    </row>
    <row r="111" spans="1:16" ht="14.5" hidden="1" x14ac:dyDescent="0.3">
      <c r="A111" s="1" t="s">
        <v>261</v>
      </c>
      <c r="B111" s="6" t="s">
        <v>1032</v>
      </c>
      <c r="C111" s="6">
        <v>2</v>
      </c>
      <c r="D111" s="6">
        <v>8</v>
      </c>
      <c r="E111" s="6">
        <v>14</v>
      </c>
      <c r="F111" s="6">
        <v>4.8399999999999999E-2</v>
      </c>
      <c r="I111">
        <v>3.2000000000000001E-2</v>
      </c>
      <c r="J111">
        <v>0.745015576184475</v>
      </c>
      <c r="K111">
        <v>8.9242938251886095</v>
      </c>
      <c r="L111">
        <v>12.9272075258784</v>
      </c>
      <c r="M111">
        <v>77.080097574006999</v>
      </c>
      <c r="N111">
        <v>3.15151513471322</v>
      </c>
      <c r="O111">
        <v>35.679201383354403</v>
      </c>
      <c r="P111">
        <v>0</v>
      </c>
    </row>
    <row r="112" spans="1:16" ht="14.5" hidden="1" x14ac:dyDescent="0.3">
      <c r="A112" s="1" t="s">
        <v>262</v>
      </c>
      <c r="B112" s="6" t="s">
        <v>1032</v>
      </c>
      <c r="C112" s="6">
        <v>2</v>
      </c>
      <c r="D112" s="6">
        <v>9</v>
      </c>
      <c r="E112" s="6">
        <v>14</v>
      </c>
      <c r="F112" s="6">
        <v>3.4599999999999999E-2</v>
      </c>
      <c r="I112">
        <v>3.2000000000000001E-2</v>
      </c>
      <c r="J112">
        <v>0.83637056031296297</v>
      </c>
      <c r="K112">
        <v>9.8557604261604208</v>
      </c>
      <c r="L112">
        <v>17.197816168748201</v>
      </c>
      <c r="M112">
        <v>121.974051765414</v>
      </c>
      <c r="N112">
        <v>3.8384595744516798</v>
      </c>
      <c r="O112">
        <v>58.490898508360097</v>
      </c>
      <c r="P112">
        <v>0</v>
      </c>
    </row>
    <row r="113" spans="1:16" ht="14.5" hidden="1" x14ac:dyDescent="0.3">
      <c r="A113" s="1" t="s">
        <v>263</v>
      </c>
      <c r="B113" s="6" t="s">
        <v>1032</v>
      </c>
      <c r="C113" s="6">
        <v>2</v>
      </c>
      <c r="D113" s="6">
        <v>10</v>
      </c>
      <c r="E113" s="6">
        <v>14</v>
      </c>
      <c r="F113" s="6">
        <v>5.3499999999999999E-2</v>
      </c>
      <c r="I113">
        <v>3.2000000000000001E-2</v>
      </c>
      <c r="J113">
        <v>1.22631843783342</v>
      </c>
      <c r="K113">
        <v>12.510565105467601</v>
      </c>
      <c r="L113">
        <v>14.792102179817601</v>
      </c>
      <c r="M113">
        <v>63.7048246461665</v>
      </c>
      <c r="N113">
        <v>4.5255652979771197</v>
      </c>
      <c r="O113">
        <v>27.119822198143002</v>
      </c>
      <c r="P113">
        <v>0</v>
      </c>
    </row>
    <row r="114" spans="1:16" ht="14.5" hidden="1" x14ac:dyDescent="0.3">
      <c r="A114" s="1" t="s">
        <v>264</v>
      </c>
      <c r="B114" s="6" t="s">
        <v>1032</v>
      </c>
      <c r="C114" s="6">
        <v>2</v>
      </c>
      <c r="D114" s="6">
        <v>11</v>
      </c>
      <c r="E114" s="6">
        <v>14</v>
      </c>
      <c r="F114" s="6">
        <v>4.2299999999999997E-2</v>
      </c>
      <c r="I114">
        <v>3.2000000000000001E-2</v>
      </c>
      <c r="J114">
        <v>0.91137064337206597</v>
      </c>
      <c r="K114">
        <v>12.935888617686199</v>
      </c>
      <c r="L114">
        <v>9.2464280385058206</v>
      </c>
      <c r="M114">
        <v>40.187126477814701</v>
      </c>
      <c r="N114">
        <v>1.18897398705089</v>
      </c>
      <c r="O114">
        <v>39.9710658151701</v>
      </c>
      <c r="P114">
        <v>0</v>
      </c>
    </row>
    <row r="115" spans="1:16" ht="14.5" hidden="1" x14ac:dyDescent="0.3">
      <c r="A115" s="1" t="s">
        <v>265</v>
      </c>
      <c r="B115" s="1" t="s">
        <v>1033</v>
      </c>
      <c r="C115" s="6">
        <v>2</v>
      </c>
      <c r="D115" s="6">
        <v>1</v>
      </c>
      <c r="E115" s="6" t="s">
        <v>1107</v>
      </c>
      <c r="F115" s="6">
        <v>4.8399999999999999E-2</v>
      </c>
      <c r="I115">
        <v>3.2000000000000001E-2</v>
      </c>
      <c r="J115">
        <v>1.14078407772971</v>
      </c>
      <c r="K115">
        <v>13.149038003832199</v>
      </c>
      <c r="L115">
        <v>12.2513438062155</v>
      </c>
      <c r="M115">
        <v>66.555847473220297</v>
      </c>
      <c r="N115">
        <v>4.6501257077986704</v>
      </c>
      <c r="O115">
        <v>41.362468644503103</v>
      </c>
      <c r="P115">
        <v>0</v>
      </c>
    </row>
    <row r="116" spans="1:16" ht="14.5" hidden="1" x14ac:dyDescent="0.3">
      <c r="A116" s="1" t="s">
        <v>266</v>
      </c>
      <c r="B116" s="1" t="s">
        <v>1033</v>
      </c>
      <c r="C116" s="6">
        <v>2</v>
      </c>
      <c r="D116" s="6">
        <v>1</v>
      </c>
      <c r="E116" s="6" t="s">
        <v>1107</v>
      </c>
      <c r="F116" s="6">
        <v>9.0800000000000006E-2</v>
      </c>
      <c r="I116">
        <v>3.2000000000000001E-2</v>
      </c>
      <c r="J116">
        <v>2.07528205840695</v>
      </c>
      <c r="K116">
        <v>20.813250821526498</v>
      </c>
      <c r="L116">
        <v>17.8912962247373</v>
      </c>
      <c r="M116">
        <v>65.779402520706896</v>
      </c>
      <c r="N116">
        <v>5.2845350207042401</v>
      </c>
      <c r="O116">
        <v>52.318584623930001</v>
      </c>
      <c r="P116">
        <v>0</v>
      </c>
    </row>
    <row r="117" spans="1:16" ht="14.5" hidden="1" x14ac:dyDescent="0.3">
      <c r="A117" s="1" t="s">
        <v>267</v>
      </c>
      <c r="B117" s="1" t="s">
        <v>1033</v>
      </c>
      <c r="C117" s="6">
        <v>2</v>
      </c>
      <c r="D117" s="6">
        <v>1</v>
      </c>
      <c r="E117" s="6" t="s">
        <v>1107</v>
      </c>
      <c r="F117" s="6">
        <v>8.6999999999999994E-2</v>
      </c>
      <c r="I117">
        <v>3.2000000000000001E-2</v>
      </c>
      <c r="J117">
        <v>2.15364063920337</v>
      </c>
      <c r="K117">
        <v>19.7720613562559</v>
      </c>
      <c r="L117">
        <v>14.3002048111105</v>
      </c>
      <c r="M117">
        <v>44.096137683909802</v>
      </c>
      <c r="N117">
        <v>8.35529845059569</v>
      </c>
      <c r="O117">
        <v>30.557515192410602</v>
      </c>
      <c r="P117">
        <v>0</v>
      </c>
    </row>
    <row r="118" spans="1:16" ht="14.5" hidden="1" x14ac:dyDescent="0.3">
      <c r="A118" s="1" t="s">
        <v>268</v>
      </c>
      <c r="B118" s="1" t="s">
        <v>1033</v>
      </c>
      <c r="C118" s="6">
        <v>2</v>
      </c>
      <c r="D118" s="6">
        <v>2</v>
      </c>
      <c r="E118" s="6" t="s">
        <v>1107</v>
      </c>
      <c r="F118" s="6">
        <v>8.4000000000000005E-2</v>
      </c>
      <c r="I118">
        <v>3.2000000000000001E-2</v>
      </c>
      <c r="J118">
        <v>1.23899230437633</v>
      </c>
      <c r="K118">
        <v>15.2000289578578</v>
      </c>
      <c r="L118">
        <v>22.8236419026248</v>
      </c>
      <c r="M118">
        <v>137.68602881689699</v>
      </c>
      <c r="N118">
        <v>9.3633282708367993</v>
      </c>
      <c r="O118">
        <v>92.987866475480203</v>
      </c>
      <c r="P118">
        <v>0</v>
      </c>
    </row>
    <row r="119" spans="1:16" ht="14.5" hidden="1" x14ac:dyDescent="0.3">
      <c r="A119" s="1" t="s">
        <v>269</v>
      </c>
      <c r="B119" s="1" t="s">
        <v>1033</v>
      </c>
      <c r="C119" s="6">
        <v>2</v>
      </c>
      <c r="D119" s="6">
        <v>2</v>
      </c>
      <c r="E119" s="6" t="s">
        <v>1107</v>
      </c>
      <c r="F119" s="6">
        <v>7.6200000000000004E-2</v>
      </c>
      <c r="I119">
        <v>3.2000000000000001E-2</v>
      </c>
      <c r="J119">
        <v>1.22075245000388</v>
      </c>
      <c r="K119">
        <v>14.3014694838627</v>
      </c>
      <c r="L119">
        <v>15.8862384873878</v>
      </c>
      <c r="M119">
        <v>58.253380740360498</v>
      </c>
      <c r="N119">
        <v>8.4021629002530105</v>
      </c>
      <c r="O119">
        <v>39.0737018772423</v>
      </c>
      <c r="P119">
        <v>0</v>
      </c>
    </row>
    <row r="120" spans="1:16" ht="14.5" hidden="1" x14ac:dyDescent="0.3">
      <c r="A120" s="1" t="s">
        <v>270</v>
      </c>
      <c r="B120" s="1" t="s">
        <v>1033</v>
      </c>
      <c r="C120" s="6">
        <v>2</v>
      </c>
      <c r="D120" s="6">
        <v>2</v>
      </c>
      <c r="E120" s="6" t="s">
        <v>1107</v>
      </c>
      <c r="F120" s="6">
        <v>6.2899999999999998E-2</v>
      </c>
      <c r="I120">
        <v>3.2000000000000001E-2</v>
      </c>
      <c r="J120">
        <v>1.42473310068106</v>
      </c>
      <c r="K120">
        <v>17.981804347990401</v>
      </c>
      <c r="L120">
        <v>15.677327906331399</v>
      </c>
      <c r="M120">
        <v>68.820932488321006</v>
      </c>
      <c r="N120">
        <v>5.5087550315942897</v>
      </c>
      <c r="O120">
        <v>54.168210745672603</v>
      </c>
      <c r="P120">
        <v>0</v>
      </c>
    </row>
    <row r="121" spans="1:16" ht="14.5" hidden="1" x14ac:dyDescent="0.3">
      <c r="A121" s="1" t="s">
        <v>271</v>
      </c>
      <c r="B121" s="1" t="s">
        <v>1033</v>
      </c>
      <c r="C121" s="6">
        <v>2</v>
      </c>
      <c r="D121" s="6">
        <v>3</v>
      </c>
      <c r="E121" s="6" t="s">
        <v>1107</v>
      </c>
      <c r="F121" s="6">
        <v>6.13E-2</v>
      </c>
      <c r="I121">
        <v>3.2000000000000001E-2</v>
      </c>
      <c r="J121">
        <v>1.0330073842970999</v>
      </c>
      <c r="K121">
        <v>12.275070342153599</v>
      </c>
      <c r="L121">
        <v>13.8194941273483</v>
      </c>
      <c r="M121">
        <v>63.697396350250401</v>
      </c>
      <c r="N121">
        <v>6.5390587165024003</v>
      </c>
      <c r="O121">
        <v>38.536006015204499</v>
      </c>
      <c r="P121">
        <v>0</v>
      </c>
    </row>
    <row r="122" spans="1:16" ht="14.5" hidden="1" x14ac:dyDescent="0.3">
      <c r="A122" s="1" t="s">
        <v>272</v>
      </c>
      <c r="B122" s="1" t="s">
        <v>1033</v>
      </c>
      <c r="C122" s="6">
        <v>2</v>
      </c>
      <c r="D122" s="6">
        <v>3</v>
      </c>
      <c r="E122" s="6" t="s">
        <v>1107</v>
      </c>
      <c r="F122" s="6">
        <v>8.2500000000000004E-2</v>
      </c>
      <c r="I122">
        <v>3.2000000000000001E-2</v>
      </c>
      <c r="J122">
        <v>1.4671713642378099</v>
      </c>
      <c r="K122">
        <v>13.1428817252238</v>
      </c>
      <c r="L122">
        <v>15.6926952394737</v>
      </c>
      <c r="M122">
        <v>64.187739487487505</v>
      </c>
      <c r="N122">
        <v>12.9698045590139</v>
      </c>
      <c r="O122">
        <v>57.0646710068524</v>
      </c>
      <c r="P122">
        <v>0</v>
      </c>
    </row>
    <row r="123" spans="1:16" ht="14.5" hidden="1" x14ac:dyDescent="0.3">
      <c r="A123" s="1" t="s">
        <v>273</v>
      </c>
      <c r="B123" s="1" t="s">
        <v>1033</v>
      </c>
      <c r="C123" s="6">
        <v>2</v>
      </c>
      <c r="D123" s="6">
        <v>3</v>
      </c>
      <c r="E123" s="6" t="s">
        <v>1107</v>
      </c>
      <c r="F123" s="6">
        <v>6.0499999999999998E-2</v>
      </c>
      <c r="I123">
        <v>3.2000000000000001E-2</v>
      </c>
      <c r="J123">
        <v>1.3086390574145199</v>
      </c>
      <c r="K123">
        <v>14.0821317925603</v>
      </c>
      <c r="L123">
        <v>10.3052736902979</v>
      </c>
      <c r="M123">
        <v>38.244436483976202</v>
      </c>
      <c r="N123">
        <v>4.73588594241909</v>
      </c>
      <c r="O123">
        <v>42.265711128214399</v>
      </c>
      <c r="P123">
        <v>0</v>
      </c>
    </row>
    <row r="124" spans="1:16" ht="14.5" x14ac:dyDescent="0.3">
      <c r="A124" s="1" t="s">
        <v>274</v>
      </c>
      <c r="B124" s="1" t="s">
        <v>1034</v>
      </c>
      <c r="C124" s="6">
        <v>2</v>
      </c>
      <c r="D124" s="6">
        <v>1</v>
      </c>
      <c r="E124" s="6" t="s">
        <v>1107</v>
      </c>
      <c r="F124" s="6">
        <v>9.35E-2</v>
      </c>
      <c r="H124" s="1">
        <v>6</v>
      </c>
      <c r="I124">
        <v>3.2000000000000001E-2</v>
      </c>
      <c r="J124">
        <v>2.07209871830245</v>
      </c>
      <c r="K124">
        <v>17.881087968407801</v>
      </c>
      <c r="L124">
        <v>24.024084611398099</v>
      </c>
      <c r="M124">
        <v>109.68153254640301</v>
      </c>
      <c r="N124">
        <v>10.2944719838168</v>
      </c>
      <c r="O124">
        <v>48.152823720772602</v>
      </c>
      <c r="P124">
        <v>0</v>
      </c>
    </row>
    <row r="125" spans="1:16" ht="14.5" x14ac:dyDescent="0.3">
      <c r="A125" s="1" t="s">
        <v>275</v>
      </c>
      <c r="B125" s="1" t="s">
        <v>1034</v>
      </c>
      <c r="C125" s="6">
        <v>2</v>
      </c>
      <c r="D125" s="6">
        <v>1</v>
      </c>
      <c r="E125" s="6" t="s">
        <v>1107</v>
      </c>
      <c r="F125" s="6">
        <v>9.8599999999999993E-2</v>
      </c>
      <c r="H125" s="1">
        <v>6</v>
      </c>
      <c r="I125">
        <v>3.2000000000000001E-2</v>
      </c>
      <c r="J125">
        <v>2.17139139867778</v>
      </c>
      <c r="K125">
        <v>27.341234562352501</v>
      </c>
      <c r="L125">
        <v>36.753170291418897</v>
      </c>
      <c r="M125">
        <v>264.04224631824201</v>
      </c>
      <c r="N125">
        <v>18.100183989483501</v>
      </c>
      <c r="O125">
        <v>152.24643609760199</v>
      </c>
      <c r="P125">
        <v>0</v>
      </c>
    </row>
    <row r="126" spans="1:16" ht="14.5" x14ac:dyDescent="0.3">
      <c r="A126" s="1" t="s">
        <v>276</v>
      </c>
      <c r="B126" s="1" t="s">
        <v>1034</v>
      </c>
      <c r="C126" s="6">
        <v>2</v>
      </c>
      <c r="D126" s="6">
        <v>1</v>
      </c>
      <c r="E126" s="6" t="s">
        <v>1107</v>
      </c>
      <c r="F126" s="6">
        <v>0.1419</v>
      </c>
      <c r="H126" s="1">
        <v>6</v>
      </c>
      <c r="I126">
        <v>4.8000000000000001E-2</v>
      </c>
      <c r="J126">
        <v>2.0168160626983598</v>
      </c>
      <c r="K126">
        <v>16.518330117687398</v>
      </c>
      <c r="L126">
        <v>16.481993446057999</v>
      </c>
      <c r="M126">
        <v>57.375302481652902</v>
      </c>
      <c r="N126">
        <v>10.467479777763</v>
      </c>
      <c r="O126">
        <v>41.922367773129203</v>
      </c>
      <c r="P126">
        <v>0</v>
      </c>
    </row>
    <row r="127" spans="1:16" ht="14.5" x14ac:dyDescent="0.3">
      <c r="A127" s="1" t="s">
        <v>277</v>
      </c>
      <c r="B127" s="1" t="s">
        <v>1034</v>
      </c>
      <c r="C127" s="6">
        <v>2</v>
      </c>
      <c r="D127" s="6">
        <v>2</v>
      </c>
      <c r="E127" s="6" t="s">
        <v>1107</v>
      </c>
      <c r="F127" s="6">
        <v>8.0299999999999996E-2</v>
      </c>
      <c r="H127" s="1">
        <v>6.0166666666666666</v>
      </c>
      <c r="I127">
        <v>3.2000000000000001E-2</v>
      </c>
      <c r="J127">
        <v>1.9685781263317701</v>
      </c>
      <c r="K127">
        <v>21.336424214760001</v>
      </c>
      <c r="L127">
        <v>25.5499602071393</v>
      </c>
      <c r="M127">
        <v>161.30386137048001</v>
      </c>
      <c r="N127">
        <v>13.418216186282001</v>
      </c>
      <c r="O127">
        <v>86.233523578074198</v>
      </c>
      <c r="P127">
        <v>0</v>
      </c>
    </row>
    <row r="128" spans="1:16" ht="14.5" x14ac:dyDescent="0.3">
      <c r="A128" s="1" t="s">
        <v>278</v>
      </c>
      <c r="B128" s="1" t="s">
        <v>1034</v>
      </c>
      <c r="C128" s="6">
        <v>2</v>
      </c>
      <c r="D128" s="6">
        <v>2</v>
      </c>
      <c r="E128" s="6" t="s">
        <v>1107</v>
      </c>
      <c r="F128" s="6">
        <v>9.2600000000000002E-2</v>
      </c>
      <c r="H128" s="1">
        <v>6.0166666666666666</v>
      </c>
      <c r="I128">
        <v>3.2000000000000001E-2</v>
      </c>
      <c r="J128">
        <v>2.0872076995698801</v>
      </c>
      <c r="K128">
        <v>12.8584275035962</v>
      </c>
      <c r="L128">
        <v>19.9255244531671</v>
      </c>
      <c r="M128">
        <v>79.740018431591395</v>
      </c>
      <c r="N128">
        <v>7.0712211037411796</v>
      </c>
      <c r="O128">
        <v>27.789680145079799</v>
      </c>
      <c r="P128">
        <v>0</v>
      </c>
    </row>
    <row r="129" spans="1:16" ht="14.5" x14ac:dyDescent="0.3">
      <c r="A129" s="1" t="s">
        <v>279</v>
      </c>
      <c r="B129" s="1" t="s">
        <v>1034</v>
      </c>
      <c r="C129" s="6">
        <v>2</v>
      </c>
      <c r="D129" s="6">
        <v>2</v>
      </c>
      <c r="E129" s="6" t="s">
        <v>1107</v>
      </c>
      <c r="F129" s="6">
        <v>0.11409999999999999</v>
      </c>
      <c r="H129" s="1">
        <v>6.0166666666666666</v>
      </c>
      <c r="I129">
        <v>3.2000000000000001E-2</v>
      </c>
      <c r="J129">
        <v>1.8941552516942499</v>
      </c>
      <c r="K129">
        <v>21.695236905319199</v>
      </c>
      <c r="L129">
        <v>42.921455004062601</v>
      </c>
      <c r="M129">
        <v>274.98060661385102</v>
      </c>
      <c r="N129">
        <v>11.4269786658655</v>
      </c>
      <c r="O129">
        <v>101.659036419239</v>
      </c>
      <c r="P129">
        <v>0</v>
      </c>
    </row>
    <row r="130" spans="1:16" ht="14.5" x14ac:dyDescent="0.3">
      <c r="A130" s="1" t="s">
        <v>280</v>
      </c>
      <c r="B130" s="1" t="s">
        <v>1034</v>
      </c>
      <c r="C130" s="6">
        <v>2</v>
      </c>
      <c r="D130" s="6">
        <v>3</v>
      </c>
      <c r="E130" s="6" t="s">
        <v>1107</v>
      </c>
      <c r="F130" s="6">
        <v>8.9899999999999994E-2</v>
      </c>
      <c r="H130" s="1">
        <v>6.0166666666666666</v>
      </c>
      <c r="I130">
        <v>3.2000000000000001E-2</v>
      </c>
      <c r="J130">
        <v>2.0076159656466599</v>
      </c>
      <c r="K130">
        <v>24.3659805755794</v>
      </c>
      <c r="L130">
        <v>21.0343001899504</v>
      </c>
      <c r="M130">
        <v>101.024957847057</v>
      </c>
      <c r="N130">
        <v>13.4983910516468</v>
      </c>
      <c r="O130">
        <v>77.525719496271194</v>
      </c>
      <c r="P130">
        <v>0</v>
      </c>
    </row>
    <row r="131" spans="1:16" ht="14.5" x14ac:dyDescent="0.3">
      <c r="A131" s="1" t="s">
        <v>281</v>
      </c>
      <c r="B131" s="1" t="s">
        <v>1034</v>
      </c>
      <c r="C131" s="6">
        <v>2</v>
      </c>
      <c r="D131" s="6">
        <v>3</v>
      </c>
      <c r="E131" s="6" t="s">
        <v>1107</v>
      </c>
      <c r="F131" s="6">
        <v>8.8400000000000006E-2</v>
      </c>
      <c r="H131" s="1">
        <v>6.0166666666666666</v>
      </c>
      <c r="I131">
        <v>3.2000000000000001E-2</v>
      </c>
      <c r="J131">
        <v>1.83204237462365</v>
      </c>
      <c r="K131">
        <v>17.921040042165099</v>
      </c>
      <c r="L131">
        <v>23.1248765336288</v>
      </c>
      <c r="M131">
        <v>107.86340392972301</v>
      </c>
      <c r="N131">
        <v>6.7636078925382002</v>
      </c>
      <c r="O131">
        <v>45.183815968689899</v>
      </c>
      <c r="P131">
        <v>0</v>
      </c>
    </row>
    <row r="132" spans="1:16" ht="14.5" x14ac:dyDescent="0.3">
      <c r="A132" s="1" t="s">
        <v>282</v>
      </c>
      <c r="B132" s="1" t="s">
        <v>1034</v>
      </c>
      <c r="C132" s="6">
        <v>2</v>
      </c>
      <c r="D132" s="6">
        <v>3</v>
      </c>
      <c r="E132" s="6" t="s">
        <v>1107</v>
      </c>
      <c r="F132" s="6">
        <v>9.7900000000000001E-2</v>
      </c>
      <c r="H132" s="1">
        <v>6.0166666666666666</v>
      </c>
      <c r="I132">
        <v>3.2000000000000001E-2</v>
      </c>
      <c r="J132">
        <v>1.5910394560360499</v>
      </c>
      <c r="K132">
        <v>9.8062457760611608</v>
      </c>
      <c r="L132">
        <v>16.2612273946229</v>
      </c>
      <c r="M132">
        <v>50.517497716302401</v>
      </c>
      <c r="N132">
        <v>6.1902920708425802</v>
      </c>
      <c r="O132">
        <v>32.889579019366899</v>
      </c>
      <c r="P132">
        <v>0</v>
      </c>
    </row>
    <row r="133" spans="1:16" ht="14.5" x14ac:dyDescent="0.3">
      <c r="A133" s="1" t="s">
        <v>283</v>
      </c>
      <c r="B133" s="1" t="s">
        <v>1034</v>
      </c>
      <c r="C133" s="6">
        <v>2</v>
      </c>
      <c r="D133" s="6">
        <v>4</v>
      </c>
      <c r="E133" s="6" t="s">
        <v>1107</v>
      </c>
      <c r="F133" s="6">
        <v>0.1207</v>
      </c>
      <c r="H133" s="1">
        <v>6.0333333333333332</v>
      </c>
      <c r="I133">
        <v>0.04</v>
      </c>
      <c r="J133">
        <v>1.6775378037403601</v>
      </c>
      <c r="K133">
        <v>15.381398637202899</v>
      </c>
      <c r="L133">
        <v>25.6464350903228</v>
      </c>
      <c r="M133">
        <v>96.664613021327796</v>
      </c>
      <c r="N133">
        <v>10.5916839376616</v>
      </c>
      <c r="O133">
        <v>65.2778931566164</v>
      </c>
      <c r="P133">
        <v>0</v>
      </c>
    </row>
    <row r="134" spans="1:16" ht="14.5" x14ac:dyDescent="0.3">
      <c r="A134" s="1" t="s">
        <v>284</v>
      </c>
      <c r="B134" s="1" t="s">
        <v>1034</v>
      </c>
      <c r="C134" s="6">
        <v>2</v>
      </c>
      <c r="D134" s="6">
        <v>4</v>
      </c>
      <c r="E134" s="6" t="s">
        <v>1107</v>
      </c>
      <c r="F134" s="6">
        <v>6.6600000000000006E-2</v>
      </c>
      <c r="H134" s="1">
        <v>6.0333333333333332</v>
      </c>
      <c r="I134">
        <v>3.2000000000000001E-2</v>
      </c>
      <c r="J134">
        <v>1.6597289348423301</v>
      </c>
      <c r="K134">
        <v>14.760836916000301</v>
      </c>
      <c r="L134">
        <v>15.821563461208299</v>
      </c>
      <c r="M134">
        <v>78.363560312649994</v>
      </c>
      <c r="N134">
        <v>3.9188939177223898</v>
      </c>
      <c r="O134">
        <v>34.225274124442898</v>
      </c>
      <c r="P134">
        <v>0</v>
      </c>
    </row>
    <row r="135" spans="1:16" ht="14.5" x14ac:dyDescent="0.3">
      <c r="A135" s="1" t="s">
        <v>285</v>
      </c>
      <c r="B135" s="1" t="s">
        <v>1034</v>
      </c>
      <c r="C135" s="6">
        <v>2</v>
      </c>
      <c r="D135" s="6">
        <v>4</v>
      </c>
      <c r="E135" s="6" t="s">
        <v>1107</v>
      </c>
      <c r="F135" s="6">
        <v>0.1014</v>
      </c>
      <c r="H135" s="1">
        <v>6.0333333333333332</v>
      </c>
      <c r="I135">
        <v>3.2000000000000001E-2</v>
      </c>
      <c r="J135">
        <v>1.7921444639014801</v>
      </c>
      <c r="K135">
        <v>18.0710058221857</v>
      </c>
      <c r="L135">
        <v>22.738267396647199</v>
      </c>
      <c r="M135">
        <v>106.890840368307</v>
      </c>
      <c r="N135">
        <v>6.3092361857111001</v>
      </c>
      <c r="O135">
        <v>24.411770954952999</v>
      </c>
      <c r="P135">
        <v>0</v>
      </c>
    </row>
    <row r="136" spans="1:16" ht="14.5" hidden="1" x14ac:dyDescent="0.3">
      <c r="A136" s="1" t="s">
        <v>286</v>
      </c>
      <c r="B136" s="1" t="s">
        <v>1033</v>
      </c>
      <c r="C136" s="6">
        <v>2</v>
      </c>
      <c r="D136" s="6">
        <v>1</v>
      </c>
      <c r="E136" s="6" t="s">
        <v>1108</v>
      </c>
      <c r="F136" s="6">
        <v>9.7500000000000003E-2</v>
      </c>
      <c r="I136">
        <v>3.2000000000000001E-2</v>
      </c>
      <c r="J136">
        <v>1.9294978647384899</v>
      </c>
      <c r="K136">
        <v>16.892067593622901</v>
      </c>
      <c r="L136">
        <v>16.346551427890098</v>
      </c>
      <c r="M136">
        <v>51.222039842940397</v>
      </c>
      <c r="N136">
        <v>4.6041119207801797</v>
      </c>
      <c r="O136">
        <v>30.6516669888418</v>
      </c>
      <c r="P136">
        <v>0</v>
      </c>
    </row>
    <row r="137" spans="1:16" ht="14.5" hidden="1" x14ac:dyDescent="0.3">
      <c r="A137" s="1" t="s">
        <v>287</v>
      </c>
      <c r="B137" s="1" t="s">
        <v>1033</v>
      </c>
      <c r="C137" s="6">
        <v>2</v>
      </c>
      <c r="D137" s="6">
        <v>1</v>
      </c>
      <c r="E137" s="6" t="s">
        <v>1108</v>
      </c>
      <c r="F137" s="6">
        <v>9.1800000000000007E-2</v>
      </c>
      <c r="I137">
        <v>3.2000000000000001E-2</v>
      </c>
      <c r="J137">
        <v>2.02268556507242</v>
      </c>
      <c r="K137">
        <v>16.202489695065601</v>
      </c>
      <c r="L137">
        <v>12.7329740840566</v>
      </c>
      <c r="M137">
        <v>41.042484231891699</v>
      </c>
      <c r="N137">
        <v>6.9929474477213001</v>
      </c>
      <c r="O137">
        <v>28.3750153390178</v>
      </c>
      <c r="P137">
        <v>0</v>
      </c>
    </row>
    <row r="138" spans="1:16" ht="14.5" hidden="1" x14ac:dyDescent="0.3">
      <c r="A138" s="1" t="s">
        <v>288</v>
      </c>
      <c r="B138" s="1" t="s">
        <v>1033</v>
      </c>
      <c r="C138" s="6">
        <v>2</v>
      </c>
      <c r="D138" s="6">
        <v>1</v>
      </c>
      <c r="E138" s="6" t="s">
        <v>1108</v>
      </c>
      <c r="F138" s="6">
        <v>9.4100000000000003E-2</v>
      </c>
      <c r="I138">
        <v>3.2000000000000001E-2</v>
      </c>
      <c r="J138">
        <v>2.5362914887297499</v>
      </c>
      <c r="K138">
        <v>17.293854795560701</v>
      </c>
      <c r="L138">
        <v>24.9176488770029</v>
      </c>
      <c r="M138">
        <v>120.391133912361</v>
      </c>
      <c r="N138">
        <v>6.6313946001200801</v>
      </c>
      <c r="O138">
        <v>42.012597595801999</v>
      </c>
      <c r="P138">
        <v>0</v>
      </c>
    </row>
    <row r="139" spans="1:16" ht="14.5" hidden="1" x14ac:dyDescent="0.3">
      <c r="A139" s="1" t="s">
        <v>289</v>
      </c>
      <c r="B139" s="1" t="s">
        <v>1033</v>
      </c>
      <c r="C139" s="6">
        <v>2</v>
      </c>
      <c r="D139" s="6">
        <v>2</v>
      </c>
      <c r="E139" s="6" t="s">
        <v>1108</v>
      </c>
      <c r="F139" s="6">
        <v>7.7299999999999994E-2</v>
      </c>
      <c r="I139">
        <v>3.2000000000000001E-2</v>
      </c>
      <c r="J139">
        <v>1.2320244981716599</v>
      </c>
      <c r="K139">
        <v>12.353537414872299</v>
      </c>
      <c r="L139">
        <v>12.653868461177201</v>
      </c>
      <c r="M139">
        <v>39.858882021118603</v>
      </c>
      <c r="N139">
        <v>11.690254942111601</v>
      </c>
      <c r="O139">
        <v>38.526192674253203</v>
      </c>
      <c r="P139">
        <v>0</v>
      </c>
    </row>
    <row r="140" spans="1:16" ht="14.5" hidden="1" x14ac:dyDescent="0.3">
      <c r="A140" s="1" t="s">
        <v>290</v>
      </c>
      <c r="B140" s="1" t="s">
        <v>1033</v>
      </c>
      <c r="C140" s="6">
        <v>2</v>
      </c>
      <c r="D140" s="6">
        <v>2</v>
      </c>
      <c r="E140" s="6" t="s">
        <v>1108</v>
      </c>
      <c r="F140" s="6">
        <v>6.8599999999999994E-2</v>
      </c>
      <c r="I140">
        <v>3.2000000000000001E-2</v>
      </c>
      <c r="J140">
        <v>1.1205056640348099</v>
      </c>
      <c r="K140">
        <v>17.234063552300299</v>
      </c>
      <c r="L140">
        <v>12.9634130883324</v>
      </c>
      <c r="M140">
        <v>66.840112174459605</v>
      </c>
      <c r="N140">
        <v>6.65715088507429</v>
      </c>
      <c r="O140">
        <v>47.141522734166799</v>
      </c>
      <c r="P140">
        <v>0</v>
      </c>
    </row>
    <row r="141" spans="1:16" ht="14.5" hidden="1" x14ac:dyDescent="0.3">
      <c r="A141" s="1" t="s">
        <v>291</v>
      </c>
      <c r="B141" s="1" t="s">
        <v>1033</v>
      </c>
      <c r="C141" s="6">
        <v>2</v>
      </c>
      <c r="D141" s="6">
        <v>3</v>
      </c>
      <c r="E141" s="6" t="s">
        <v>1108</v>
      </c>
      <c r="F141" s="6">
        <v>9.1399999999999995E-2</v>
      </c>
      <c r="I141">
        <v>3.2000000000000001E-2</v>
      </c>
      <c r="J141">
        <v>1.86614459715852</v>
      </c>
      <c r="K141">
        <v>16.427532927467102</v>
      </c>
      <c r="L141">
        <v>15.426428497211701</v>
      </c>
      <c r="M141">
        <v>48.138525493029498</v>
      </c>
      <c r="N141">
        <v>8.5463263315256004</v>
      </c>
      <c r="O141">
        <v>35.098277284720901</v>
      </c>
      <c r="P141">
        <v>0</v>
      </c>
    </row>
    <row r="142" spans="1:16" ht="14.5" hidden="1" x14ac:dyDescent="0.3">
      <c r="A142" s="1" t="s">
        <v>292</v>
      </c>
      <c r="B142" s="1" t="s">
        <v>1033</v>
      </c>
      <c r="C142" s="6">
        <v>2</v>
      </c>
      <c r="D142" s="6">
        <v>3</v>
      </c>
      <c r="E142" s="6" t="s">
        <v>1108</v>
      </c>
      <c r="F142" s="6">
        <v>8.2900000000000001E-2</v>
      </c>
      <c r="I142">
        <v>3.2000000000000001E-2</v>
      </c>
      <c r="J142">
        <v>1.44226330859535</v>
      </c>
      <c r="K142">
        <v>11.1230372371228</v>
      </c>
      <c r="L142">
        <v>13.312890272745401</v>
      </c>
      <c r="M142">
        <v>46.3496730922243</v>
      </c>
      <c r="N142">
        <v>8.6270310641541492</v>
      </c>
      <c r="O142">
        <v>27.381531321161901</v>
      </c>
      <c r="P142">
        <v>0</v>
      </c>
    </row>
    <row r="143" spans="1:16" ht="14.5" hidden="1" x14ac:dyDescent="0.3">
      <c r="A143" s="1" t="s">
        <v>293</v>
      </c>
      <c r="B143" s="1" t="s">
        <v>1033</v>
      </c>
      <c r="C143" s="6">
        <v>2</v>
      </c>
      <c r="D143" s="6">
        <v>3</v>
      </c>
      <c r="E143" s="6" t="s">
        <v>1108</v>
      </c>
      <c r="F143" s="6">
        <v>4.5100000000000001E-2</v>
      </c>
      <c r="I143">
        <v>3.2000000000000001E-2</v>
      </c>
      <c r="J143">
        <v>0.92817776793723195</v>
      </c>
      <c r="K143">
        <v>13.183440427611201</v>
      </c>
      <c r="L143">
        <v>11.4751511752611</v>
      </c>
      <c r="M143">
        <v>61.920214136749102</v>
      </c>
      <c r="N143">
        <v>3.4680245301440902</v>
      </c>
      <c r="O143">
        <v>38.799990465218997</v>
      </c>
      <c r="P143">
        <v>0</v>
      </c>
    </row>
    <row r="144" spans="1:16" ht="14.5" hidden="1" x14ac:dyDescent="0.3">
      <c r="A144" s="1" t="s">
        <v>294</v>
      </c>
      <c r="B144" s="1" t="s">
        <v>1035</v>
      </c>
      <c r="C144" s="6">
        <v>2</v>
      </c>
      <c r="D144" s="6">
        <v>1</v>
      </c>
      <c r="E144" s="6" t="s">
        <v>1108</v>
      </c>
      <c r="F144" s="6">
        <v>7.6499999999999999E-2</v>
      </c>
      <c r="H144" s="1">
        <v>24.183333333333334</v>
      </c>
      <c r="I144">
        <v>3.2000000000000001E-2</v>
      </c>
      <c r="J144">
        <v>0.92244131391100304</v>
      </c>
      <c r="K144">
        <v>7.6418465282668402</v>
      </c>
      <c r="L144">
        <v>17.419726256019999</v>
      </c>
      <c r="M144">
        <v>57.717555839020697</v>
      </c>
      <c r="N144">
        <v>6.3740183764949396</v>
      </c>
      <c r="O144">
        <v>31.1298439575719</v>
      </c>
      <c r="P144">
        <v>0</v>
      </c>
    </row>
    <row r="145" spans="1:16" ht="14.5" hidden="1" x14ac:dyDescent="0.3">
      <c r="A145" s="1" t="s">
        <v>295</v>
      </c>
      <c r="B145" s="1" t="s">
        <v>1035</v>
      </c>
      <c r="C145" s="6">
        <v>2</v>
      </c>
      <c r="D145" s="6">
        <v>1</v>
      </c>
      <c r="E145" s="6" t="s">
        <v>1108</v>
      </c>
      <c r="F145" s="6">
        <v>7.5899999999999995E-2</v>
      </c>
      <c r="H145" s="1">
        <v>24.183333333333334</v>
      </c>
      <c r="I145">
        <v>3.2000000000000001E-2</v>
      </c>
      <c r="J145">
        <v>1.4287760735642401</v>
      </c>
      <c r="K145">
        <v>16.315663731848201</v>
      </c>
      <c r="L145">
        <v>18.418507050747198</v>
      </c>
      <c r="M145">
        <v>101.995611904534</v>
      </c>
      <c r="N145">
        <v>8.1677299048722904</v>
      </c>
      <c r="O145">
        <v>52.654210780135202</v>
      </c>
      <c r="P145">
        <v>0</v>
      </c>
    </row>
    <row r="146" spans="1:16" ht="14.5" hidden="1" x14ac:dyDescent="0.3">
      <c r="A146" s="1" t="s">
        <v>296</v>
      </c>
      <c r="B146" s="1" t="s">
        <v>1035</v>
      </c>
      <c r="C146" s="6">
        <v>2</v>
      </c>
      <c r="D146" s="6">
        <v>1</v>
      </c>
      <c r="E146" s="6" t="s">
        <v>1108</v>
      </c>
      <c r="F146" s="6">
        <v>0.13420000000000001</v>
      </c>
      <c r="H146" s="1">
        <v>24.183333333333334</v>
      </c>
      <c r="I146">
        <v>4.8000000000000001E-2</v>
      </c>
      <c r="J146">
        <v>1.9198349075404799</v>
      </c>
      <c r="K146">
        <v>18.453083486076299</v>
      </c>
      <c r="L146">
        <v>13.554203578579701</v>
      </c>
      <c r="M146">
        <v>37.164956182133601</v>
      </c>
      <c r="N146">
        <v>9.3058180809972502</v>
      </c>
      <c r="O146">
        <v>43.072075626081897</v>
      </c>
      <c r="P146">
        <v>0</v>
      </c>
    </row>
    <row r="147" spans="1:16" ht="14.5" hidden="1" x14ac:dyDescent="0.3">
      <c r="A147" s="1" t="s">
        <v>297</v>
      </c>
      <c r="B147" s="1" t="s">
        <v>1035</v>
      </c>
      <c r="C147" s="6">
        <v>2</v>
      </c>
      <c r="D147" s="6">
        <v>1</v>
      </c>
      <c r="E147" s="6" t="s">
        <v>1108</v>
      </c>
      <c r="F147" s="6">
        <v>7.9100000000000004E-2</v>
      </c>
      <c r="H147" s="1">
        <v>24.183333333333334</v>
      </c>
      <c r="I147">
        <v>3.2000000000000001E-2</v>
      </c>
      <c r="J147">
        <v>1.67000046266502</v>
      </c>
      <c r="K147">
        <v>24.1759657925721</v>
      </c>
      <c r="L147">
        <v>25.8463801595185</v>
      </c>
      <c r="M147">
        <v>144.05249209902701</v>
      </c>
      <c r="N147">
        <v>15.718518867019499</v>
      </c>
      <c r="O147">
        <v>99.289711950535505</v>
      </c>
      <c r="P147">
        <v>0</v>
      </c>
    </row>
    <row r="148" spans="1:16" ht="14.5" hidden="1" x14ac:dyDescent="0.3">
      <c r="A148" s="1" t="s">
        <v>298</v>
      </c>
      <c r="B148" s="1" t="s">
        <v>1035</v>
      </c>
      <c r="C148" s="6">
        <v>2</v>
      </c>
      <c r="D148" s="6">
        <v>2</v>
      </c>
      <c r="E148" s="6" t="s">
        <v>1108</v>
      </c>
      <c r="F148" s="6">
        <v>0.12280000000000001</v>
      </c>
      <c r="H148" s="1">
        <v>24.183333333333334</v>
      </c>
      <c r="I148">
        <v>0.04</v>
      </c>
      <c r="J148">
        <v>1.99049814673615</v>
      </c>
      <c r="K148">
        <v>16.568620106876502</v>
      </c>
      <c r="L148">
        <v>21.600771714154199</v>
      </c>
      <c r="M148">
        <v>79.145970670950902</v>
      </c>
      <c r="N148">
        <v>12.6092234820907</v>
      </c>
      <c r="O148">
        <v>52.885084811809598</v>
      </c>
      <c r="P148">
        <v>0</v>
      </c>
    </row>
    <row r="149" spans="1:16" ht="14.5" hidden="1" x14ac:dyDescent="0.3">
      <c r="A149" s="1" t="s">
        <v>299</v>
      </c>
      <c r="B149" s="1" t="s">
        <v>1035</v>
      </c>
      <c r="C149" s="6">
        <v>2</v>
      </c>
      <c r="D149" s="6">
        <v>2</v>
      </c>
      <c r="E149" s="6" t="s">
        <v>1108</v>
      </c>
      <c r="F149" s="6">
        <v>8.14E-2</v>
      </c>
      <c r="H149" s="1">
        <v>24.183333333333334</v>
      </c>
      <c r="I149">
        <v>3.2000000000000001E-2</v>
      </c>
      <c r="J149">
        <v>2.2423404211170999</v>
      </c>
      <c r="K149">
        <v>21.932679164436699</v>
      </c>
      <c r="L149">
        <v>22.2665088112145</v>
      </c>
      <c r="M149">
        <v>118.41191644336701</v>
      </c>
      <c r="N149">
        <v>10.7479975852208</v>
      </c>
      <c r="O149">
        <v>59.471851114712699</v>
      </c>
      <c r="P149">
        <v>0</v>
      </c>
    </row>
    <row r="150" spans="1:16" ht="14.5" hidden="1" x14ac:dyDescent="0.3">
      <c r="A150" s="1" t="s">
        <v>300</v>
      </c>
      <c r="B150" s="1" t="s">
        <v>1035</v>
      </c>
      <c r="C150" s="6">
        <v>2</v>
      </c>
      <c r="D150" s="6">
        <v>2</v>
      </c>
      <c r="E150" s="6" t="s">
        <v>1108</v>
      </c>
      <c r="F150" s="6">
        <v>5.2200000000000003E-2</v>
      </c>
      <c r="H150" s="1">
        <v>24.183333333333334</v>
      </c>
      <c r="I150">
        <v>3.2000000000000001E-2</v>
      </c>
      <c r="J150">
        <v>1.0823992170767001</v>
      </c>
      <c r="K150">
        <v>13.2320017448885</v>
      </c>
      <c r="L150">
        <v>12.7010472794155</v>
      </c>
      <c r="M150">
        <v>64.269943743159104</v>
      </c>
      <c r="N150">
        <v>8.1610703327787899</v>
      </c>
      <c r="O150">
        <v>48.670706334897403</v>
      </c>
      <c r="P150">
        <v>0</v>
      </c>
    </row>
    <row r="151" spans="1:16" ht="14.5" hidden="1" x14ac:dyDescent="0.3">
      <c r="A151" s="1" t="s">
        <v>301</v>
      </c>
      <c r="B151" s="1" t="s">
        <v>1035</v>
      </c>
      <c r="C151" s="6">
        <v>2</v>
      </c>
      <c r="D151" s="6">
        <v>2</v>
      </c>
      <c r="E151" s="6" t="s">
        <v>1108</v>
      </c>
      <c r="F151" s="6">
        <v>6.3299999999999995E-2</v>
      </c>
      <c r="H151" s="1">
        <v>24.183333333333334</v>
      </c>
      <c r="I151">
        <v>3.2000000000000001E-2</v>
      </c>
      <c r="J151">
        <v>1.4469205732761501</v>
      </c>
      <c r="K151">
        <v>11.9355255040662</v>
      </c>
      <c r="L151">
        <v>13.4853753479729</v>
      </c>
      <c r="M151">
        <v>48.240428176783198</v>
      </c>
      <c r="N151">
        <v>9.2089262673287493</v>
      </c>
      <c r="O151">
        <v>37.198458265784197</v>
      </c>
      <c r="P151">
        <v>0</v>
      </c>
    </row>
    <row r="152" spans="1:16" ht="14.5" hidden="1" x14ac:dyDescent="0.3">
      <c r="A152" s="1" t="s">
        <v>302</v>
      </c>
      <c r="B152" s="1" t="s">
        <v>1035</v>
      </c>
      <c r="C152" s="6">
        <v>2</v>
      </c>
      <c r="D152" s="6">
        <v>3</v>
      </c>
      <c r="E152" s="6" t="s">
        <v>1108</v>
      </c>
      <c r="F152" s="6">
        <v>7.3599999999999999E-2</v>
      </c>
      <c r="H152" s="1">
        <v>24.35</v>
      </c>
      <c r="I152">
        <v>3.2000000000000001E-2</v>
      </c>
      <c r="J152">
        <v>2.0114685683535698</v>
      </c>
      <c r="K152">
        <v>15.8176494060524</v>
      </c>
      <c r="L152">
        <v>78.959503875763801</v>
      </c>
      <c r="M152">
        <v>127.119947259694</v>
      </c>
      <c r="N152">
        <v>8.5912314400345302</v>
      </c>
      <c r="O152">
        <v>42.225652428163201</v>
      </c>
      <c r="P152">
        <v>0</v>
      </c>
    </row>
    <row r="153" spans="1:16" ht="14.5" hidden="1" x14ac:dyDescent="0.3">
      <c r="A153" s="1" t="s">
        <v>303</v>
      </c>
      <c r="B153" s="1" t="s">
        <v>1035</v>
      </c>
      <c r="C153" s="6">
        <v>2</v>
      </c>
      <c r="D153" s="6">
        <v>3</v>
      </c>
      <c r="E153" s="6" t="s">
        <v>1108</v>
      </c>
      <c r="F153" s="6">
        <v>8.0799999999999997E-2</v>
      </c>
      <c r="H153" s="1">
        <v>24.35</v>
      </c>
      <c r="I153">
        <v>3.2000000000000001E-2</v>
      </c>
      <c r="J153">
        <v>2.2434364593545899</v>
      </c>
      <c r="K153">
        <v>16.502223056488202</v>
      </c>
      <c r="L153">
        <v>13.845746889806501</v>
      </c>
      <c r="M153">
        <v>43.206653708539001</v>
      </c>
      <c r="N153">
        <v>11.927983692193701</v>
      </c>
      <c r="O153">
        <v>36.552113251704398</v>
      </c>
      <c r="P153">
        <v>0</v>
      </c>
    </row>
    <row r="154" spans="1:16" ht="14.5" hidden="1" x14ac:dyDescent="0.3">
      <c r="A154" s="1" t="s">
        <v>304</v>
      </c>
      <c r="B154" s="1" t="s">
        <v>1035</v>
      </c>
      <c r="C154" s="6">
        <v>2</v>
      </c>
      <c r="D154" s="6">
        <v>3</v>
      </c>
      <c r="E154" s="6" t="s">
        <v>1108</v>
      </c>
      <c r="F154" s="6">
        <v>7.0499999999999993E-2</v>
      </c>
      <c r="H154" s="1">
        <v>24.35</v>
      </c>
      <c r="I154">
        <v>3.2000000000000001E-2</v>
      </c>
      <c r="J154">
        <v>1.2885413505910499</v>
      </c>
      <c r="K154">
        <v>16.323712859272302</v>
      </c>
      <c r="L154">
        <v>15.754355319002601</v>
      </c>
      <c r="M154">
        <v>79.844128346365693</v>
      </c>
      <c r="N154">
        <v>8.8457591944758498</v>
      </c>
      <c r="O154">
        <v>54.578359323687899</v>
      </c>
      <c r="P154">
        <v>0</v>
      </c>
    </row>
    <row r="155" spans="1:16" ht="14.5" hidden="1" x14ac:dyDescent="0.3">
      <c r="A155" s="1" t="s">
        <v>305</v>
      </c>
      <c r="B155" s="1" t="s">
        <v>1035</v>
      </c>
      <c r="C155" s="6">
        <v>2</v>
      </c>
      <c r="D155" s="6">
        <v>3</v>
      </c>
      <c r="E155" s="6" t="s">
        <v>1108</v>
      </c>
      <c r="F155" s="6">
        <v>0.1363</v>
      </c>
      <c r="H155" s="1">
        <v>24.35</v>
      </c>
      <c r="I155">
        <v>4.8000000000000001E-2</v>
      </c>
      <c r="J155">
        <v>2.25043221634684</v>
      </c>
      <c r="K155">
        <v>21.725508293915301</v>
      </c>
      <c r="L155">
        <v>19.779787675897101</v>
      </c>
      <c r="M155">
        <v>74.427695708665595</v>
      </c>
      <c r="N155">
        <v>9.6932349184999609</v>
      </c>
      <c r="O155">
        <v>67.643366315621194</v>
      </c>
      <c r="P155">
        <v>0</v>
      </c>
    </row>
    <row r="156" spans="1:16" ht="14.5" hidden="1" x14ac:dyDescent="0.3">
      <c r="A156" s="1" t="s">
        <v>306</v>
      </c>
      <c r="B156" s="1" t="s">
        <v>1035</v>
      </c>
      <c r="C156" s="6">
        <v>2</v>
      </c>
      <c r="D156" s="6">
        <v>4</v>
      </c>
      <c r="E156" s="6" t="s">
        <v>1108</v>
      </c>
      <c r="F156" s="6">
        <v>4.6100000000000002E-2</v>
      </c>
      <c r="H156" s="1">
        <v>24.466666666666665</v>
      </c>
      <c r="I156">
        <v>3.2000000000000001E-2</v>
      </c>
      <c r="J156">
        <v>1.6653813187434301</v>
      </c>
      <c r="K156">
        <v>11.2679081581233</v>
      </c>
      <c r="L156">
        <v>10.5238704760636</v>
      </c>
      <c r="M156">
        <v>37.846686903800702</v>
      </c>
      <c r="N156">
        <v>4.1026137323179004</v>
      </c>
      <c r="O156">
        <v>22.0228163139092</v>
      </c>
      <c r="P156">
        <v>0</v>
      </c>
    </row>
    <row r="157" spans="1:16" ht="14.5" hidden="1" x14ac:dyDescent="0.3">
      <c r="A157" s="1" t="s">
        <v>307</v>
      </c>
      <c r="B157" s="1" t="s">
        <v>1035</v>
      </c>
      <c r="C157" s="6">
        <v>2</v>
      </c>
      <c r="D157" s="6">
        <v>4</v>
      </c>
      <c r="E157" s="6" t="s">
        <v>1108</v>
      </c>
      <c r="F157" s="6">
        <v>6.7000000000000004E-2</v>
      </c>
      <c r="H157" s="1">
        <v>24.466666666666665</v>
      </c>
      <c r="I157">
        <v>3.2000000000000001E-2</v>
      </c>
      <c r="J157">
        <v>1.62094422719677</v>
      </c>
      <c r="K157">
        <v>12.6542930662181</v>
      </c>
      <c r="L157">
        <v>19.544224457530799</v>
      </c>
      <c r="M157">
        <v>98.741104991344699</v>
      </c>
      <c r="N157">
        <v>8.4222027831765605</v>
      </c>
      <c r="O157">
        <v>36.800716639236299</v>
      </c>
      <c r="P157">
        <v>0</v>
      </c>
    </row>
    <row r="158" spans="1:16" ht="14.5" hidden="1" x14ac:dyDescent="0.3">
      <c r="A158" s="1" t="s">
        <v>308</v>
      </c>
      <c r="B158" s="1" t="s">
        <v>1035</v>
      </c>
      <c r="C158" s="6">
        <v>2</v>
      </c>
      <c r="D158" s="6">
        <v>4</v>
      </c>
      <c r="E158" s="6" t="s">
        <v>1108</v>
      </c>
      <c r="F158" s="6">
        <v>6.0499999999999998E-2</v>
      </c>
      <c r="H158" s="1">
        <v>24.466666666666665</v>
      </c>
      <c r="I158">
        <v>3.2000000000000001E-2</v>
      </c>
      <c r="J158">
        <v>0.899557319230601</v>
      </c>
      <c r="K158">
        <v>7.68268884033108</v>
      </c>
      <c r="L158">
        <v>10.8913782177592</v>
      </c>
      <c r="M158">
        <v>38.371797342240399</v>
      </c>
      <c r="N158">
        <v>9.1417731881332198</v>
      </c>
      <c r="O158">
        <v>25.538468357560198</v>
      </c>
      <c r="P158">
        <v>0</v>
      </c>
    </row>
    <row r="159" spans="1:16" ht="14.5" hidden="1" x14ac:dyDescent="0.3">
      <c r="A159" s="1" t="s">
        <v>309</v>
      </c>
      <c r="B159" s="1" t="s">
        <v>1035</v>
      </c>
      <c r="C159" s="6">
        <v>2</v>
      </c>
      <c r="D159" s="6">
        <v>4</v>
      </c>
      <c r="E159" s="6" t="s">
        <v>1108</v>
      </c>
      <c r="F159" s="6">
        <v>9.6100000000000005E-2</v>
      </c>
      <c r="H159" s="1">
        <v>24.466666666666665</v>
      </c>
      <c r="I159">
        <v>3.2000000000000001E-2</v>
      </c>
      <c r="J159">
        <v>2.0701895314833698</v>
      </c>
      <c r="K159">
        <v>10.477377490282</v>
      </c>
      <c r="L159">
        <v>15.5969526123456</v>
      </c>
      <c r="M159">
        <v>39.457375145591499</v>
      </c>
      <c r="N159">
        <v>12.190832425750701</v>
      </c>
      <c r="O159">
        <v>37.4651873538891</v>
      </c>
      <c r="P159">
        <v>0</v>
      </c>
    </row>
    <row r="160" spans="1:16" ht="14.5" x14ac:dyDescent="0.3">
      <c r="A160" s="1" t="s">
        <v>310</v>
      </c>
      <c r="B160" s="1" t="s">
        <v>1034</v>
      </c>
      <c r="C160" s="6">
        <v>2</v>
      </c>
      <c r="D160" s="6">
        <v>1</v>
      </c>
      <c r="E160" s="6" t="s">
        <v>1108</v>
      </c>
      <c r="F160" s="6">
        <v>0.109</v>
      </c>
      <c r="H160" s="1">
        <v>24.1</v>
      </c>
      <c r="I160">
        <v>3.2000000000000001E-2</v>
      </c>
      <c r="J160">
        <v>1.96313127455591</v>
      </c>
      <c r="K160">
        <v>12.915345473414501</v>
      </c>
      <c r="L160">
        <v>23.777302742497199</v>
      </c>
      <c r="M160">
        <v>78.9912120996146</v>
      </c>
      <c r="N160">
        <v>13.7871078696819</v>
      </c>
      <c r="O160">
        <v>28.094066157215298</v>
      </c>
      <c r="P160">
        <v>0</v>
      </c>
    </row>
    <row r="161" spans="1:16" ht="14.5" x14ac:dyDescent="0.3">
      <c r="A161" s="1" t="s">
        <v>311</v>
      </c>
      <c r="B161" s="1" t="s">
        <v>1034</v>
      </c>
      <c r="C161" s="6">
        <v>2</v>
      </c>
      <c r="D161" s="6">
        <v>1</v>
      </c>
      <c r="E161" s="6" t="s">
        <v>1108</v>
      </c>
      <c r="F161" s="6">
        <v>0.11509999999999999</v>
      </c>
      <c r="H161" s="1">
        <v>24.1</v>
      </c>
      <c r="I161">
        <v>3.2000000000000001E-2</v>
      </c>
      <c r="J161">
        <v>2.3751139202429701</v>
      </c>
      <c r="K161">
        <v>14.4977069661459</v>
      </c>
      <c r="L161">
        <v>19.722093363416398</v>
      </c>
      <c r="M161">
        <v>47.7420844055505</v>
      </c>
      <c r="N161">
        <v>21.1492340597942</v>
      </c>
      <c r="O161">
        <v>44.156981732075401</v>
      </c>
      <c r="P161">
        <v>0</v>
      </c>
    </row>
    <row r="162" spans="1:16" ht="14.5" x14ac:dyDescent="0.3">
      <c r="A162" s="1" t="s">
        <v>312</v>
      </c>
      <c r="B162" s="1" t="s">
        <v>1034</v>
      </c>
      <c r="C162" s="6">
        <v>2</v>
      </c>
      <c r="D162" s="6">
        <v>1</v>
      </c>
      <c r="E162" s="6" t="s">
        <v>1108</v>
      </c>
      <c r="F162" s="6">
        <v>0.1085</v>
      </c>
      <c r="H162" s="1">
        <v>24.1</v>
      </c>
      <c r="I162">
        <v>3.2000000000000001E-2</v>
      </c>
      <c r="J162">
        <v>3.1814572098301199</v>
      </c>
      <c r="K162">
        <v>21.505690765008499</v>
      </c>
      <c r="L162">
        <v>17.436249552891098</v>
      </c>
      <c r="M162">
        <v>52.320702004497797</v>
      </c>
      <c r="N162">
        <v>58.603738661680502</v>
      </c>
      <c r="O162">
        <v>93.940137390998402</v>
      </c>
      <c r="P162">
        <v>0</v>
      </c>
    </row>
    <row r="163" spans="1:16" ht="14.5" x14ac:dyDescent="0.3">
      <c r="A163" s="1" t="s">
        <v>313</v>
      </c>
      <c r="B163" s="1" t="s">
        <v>1034</v>
      </c>
      <c r="C163" s="6">
        <v>2</v>
      </c>
      <c r="D163" s="6">
        <v>2</v>
      </c>
      <c r="E163" s="6" t="s">
        <v>1108</v>
      </c>
      <c r="F163" s="6">
        <v>7.8600000000000003E-2</v>
      </c>
      <c r="H163" s="1">
        <v>24.1</v>
      </c>
      <c r="I163">
        <v>3.2000000000000001E-2</v>
      </c>
      <c r="J163">
        <v>1.67347796927151</v>
      </c>
      <c r="K163">
        <v>16.819794197854499</v>
      </c>
      <c r="L163">
        <v>16.782090656152501</v>
      </c>
      <c r="M163">
        <v>64.2057919897765</v>
      </c>
      <c r="N163">
        <v>34.116747808697802</v>
      </c>
      <c r="O163">
        <v>81.100160991554702</v>
      </c>
      <c r="P163">
        <v>0</v>
      </c>
    </row>
    <row r="164" spans="1:16" ht="14.5" x14ac:dyDescent="0.3">
      <c r="A164" s="1" t="s">
        <v>314</v>
      </c>
      <c r="B164" s="1" t="s">
        <v>1034</v>
      </c>
      <c r="C164" s="6">
        <v>2</v>
      </c>
      <c r="D164" s="6">
        <v>2</v>
      </c>
      <c r="E164" s="6" t="s">
        <v>1108</v>
      </c>
      <c r="F164" s="6">
        <v>5.04E-2</v>
      </c>
      <c r="H164" s="1">
        <v>24.1</v>
      </c>
      <c r="I164">
        <v>3.2000000000000001E-2</v>
      </c>
      <c r="J164">
        <v>1.3271396449074699</v>
      </c>
      <c r="K164">
        <v>13.8283723942716</v>
      </c>
      <c r="L164">
        <v>11.9965865430477</v>
      </c>
      <c r="M164">
        <v>56.259657445742</v>
      </c>
      <c r="N164">
        <v>12.6161279792</v>
      </c>
      <c r="O164">
        <v>45.639590118763103</v>
      </c>
      <c r="P164">
        <v>0</v>
      </c>
    </row>
    <row r="165" spans="1:16" ht="14.5" x14ac:dyDescent="0.3">
      <c r="A165" s="1" t="s">
        <v>315</v>
      </c>
      <c r="B165" s="1" t="s">
        <v>1034</v>
      </c>
      <c r="C165" s="6">
        <v>2</v>
      </c>
      <c r="D165" s="6">
        <v>2</v>
      </c>
      <c r="E165" s="6" t="s">
        <v>1108</v>
      </c>
      <c r="F165" s="6">
        <v>0.1032</v>
      </c>
      <c r="H165" s="1">
        <v>24.1</v>
      </c>
      <c r="I165">
        <v>3.2000000000000001E-2</v>
      </c>
      <c r="J165">
        <v>2.4412940681155901</v>
      </c>
      <c r="K165">
        <v>19.398891755938902</v>
      </c>
      <c r="L165">
        <v>23.743278275965899</v>
      </c>
      <c r="M165">
        <v>86.999864729148698</v>
      </c>
      <c r="N165">
        <v>40.242735883785699</v>
      </c>
      <c r="O165">
        <v>93.478609635537595</v>
      </c>
      <c r="P165">
        <v>0</v>
      </c>
    </row>
    <row r="166" spans="1:16" ht="14.5" x14ac:dyDescent="0.3">
      <c r="A166" s="1" t="s">
        <v>316</v>
      </c>
      <c r="B166" s="1" t="s">
        <v>1034</v>
      </c>
      <c r="C166" s="6">
        <v>2</v>
      </c>
      <c r="D166" s="6">
        <v>3</v>
      </c>
      <c r="E166" s="6" t="s">
        <v>1108</v>
      </c>
      <c r="F166" s="6">
        <v>6.8500000000000005E-2</v>
      </c>
      <c r="H166" s="1">
        <v>24.1</v>
      </c>
      <c r="I166">
        <v>3.2000000000000001E-2</v>
      </c>
      <c r="J166">
        <v>2.72915119126634</v>
      </c>
      <c r="K166">
        <v>10.376834888168201</v>
      </c>
      <c r="L166">
        <v>16.434483627527602</v>
      </c>
      <c r="M166">
        <v>49.849102820090899</v>
      </c>
      <c r="N166">
        <v>9.4135187819417503</v>
      </c>
      <c r="O166">
        <v>21.944554719966899</v>
      </c>
      <c r="P166">
        <v>0</v>
      </c>
    </row>
    <row r="167" spans="1:16" ht="14.5" x14ac:dyDescent="0.3">
      <c r="A167" s="1" t="s">
        <v>317</v>
      </c>
      <c r="B167" s="1" t="s">
        <v>1034</v>
      </c>
      <c r="C167" s="6">
        <v>2</v>
      </c>
      <c r="D167" s="6">
        <v>3</v>
      </c>
      <c r="E167" s="6" t="s">
        <v>1108</v>
      </c>
      <c r="F167" s="6">
        <v>0.1181</v>
      </c>
      <c r="H167" s="1">
        <v>24.1</v>
      </c>
      <c r="I167">
        <v>3.2000000000000001E-2</v>
      </c>
      <c r="J167">
        <v>3.1284102185062599</v>
      </c>
      <c r="K167">
        <v>19.8949251942167</v>
      </c>
      <c r="L167">
        <v>20.920747970059299</v>
      </c>
      <c r="M167">
        <v>77.026836412292397</v>
      </c>
      <c r="N167">
        <v>13.1981409383292</v>
      </c>
      <c r="O167">
        <v>51.016228609933599</v>
      </c>
      <c r="P167">
        <v>0</v>
      </c>
    </row>
    <row r="168" spans="1:16" ht="14.5" x14ac:dyDescent="0.3">
      <c r="A168" s="1" t="s">
        <v>318</v>
      </c>
      <c r="B168" s="1" t="s">
        <v>1034</v>
      </c>
      <c r="C168" s="6">
        <v>2</v>
      </c>
      <c r="D168" s="6">
        <v>3</v>
      </c>
      <c r="E168" s="6" t="s">
        <v>1108</v>
      </c>
      <c r="F168" s="6">
        <v>0.1076</v>
      </c>
      <c r="H168" s="1">
        <v>24.1</v>
      </c>
      <c r="I168">
        <v>3.2000000000000001E-2</v>
      </c>
      <c r="J168">
        <v>2.1330812922679598</v>
      </c>
      <c r="K168">
        <v>14.421213245839599</v>
      </c>
      <c r="L168">
        <v>18.1557553155051</v>
      </c>
      <c r="M168">
        <v>58.303519961187803</v>
      </c>
      <c r="N168">
        <v>14.773289768476101</v>
      </c>
      <c r="O168">
        <v>45.428517895550499</v>
      </c>
      <c r="P168">
        <v>0</v>
      </c>
    </row>
    <row r="169" spans="1:16" ht="14.5" x14ac:dyDescent="0.3">
      <c r="A169" s="1" t="s">
        <v>319</v>
      </c>
      <c r="B169" s="1" t="s">
        <v>1034</v>
      </c>
      <c r="C169" s="6">
        <v>2</v>
      </c>
      <c r="D169" s="6">
        <v>4</v>
      </c>
      <c r="E169" s="6" t="s">
        <v>1108</v>
      </c>
      <c r="F169" s="6">
        <v>0.10829999999999999</v>
      </c>
      <c r="H169" s="1">
        <v>24.116666666666667</v>
      </c>
      <c r="I169">
        <v>3.2000000000000001E-2</v>
      </c>
      <c r="J169">
        <v>1.76821758008249</v>
      </c>
      <c r="K169">
        <v>9.61409172639034</v>
      </c>
      <c r="L169">
        <v>18.811954870003301</v>
      </c>
      <c r="M169">
        <v>42.666474876097197</v>
      </c>
      <c r="N169">
        <v>16.523143459945398</v>
      </c>
      <c r="O169">
        <v>36.785255221086999</v>
      </c>
      <c r="P169">
        <v>0</v>
      </c>
    </row>
    <row r="170" spans="1:16" ht="14.5" x14ac:dyDescent="0.3">
      <c r="A170" s="1" t="s">
        <v>320</v>
      </c>
      <c r="B170" s="1" t="s">
        <v>1034</v>
      </c>
      <c r="C170" s="6">
        <v>2</v>
      </c>
      <c r="D170" s="6">
        <v>4</v>
      </c>
      <c r="E170" s="6" t="s">
        <v>1108</v>
      </c>
      <c r="F170" s="6">
        <v>8.5400000000000004E-2</v>
      </c>
      <c r="H170" s="1">
        <v>24.116666666666667</v>
      </c>
      <c r="I170">
        <v>3.2000000000000001E-2</v>
      </c>
      <c r="J170">
        <v>1.9485533167771401</v>
      </c>
      <c r="K170">
        <v>18.719875355930402</v>
      </c>
      <c r="L170">
        <v>15.1010071744898</v>
      </c>
      <c r="M170">
        <v>52.502133822026003</v>
      </c>
      <c r="N170">
        <v>19.513593701744401</v>
      </c>
      <c r="O170">
        <v>59.753485102576299</v>
      </c>
      <c r="P170">
        <v>0</v>
      </c>
    </row>
    <row r="171" spans="1:16" ht="14.5" x14ac:dyDescent="0.3">
      <c r="A171" s="1" t="s">
        <v>321</v>
      </c>
      <c r="B171" s="1" t="s">
        <v>1034</v>
      </c>
      <c r="C171" s="6">
        <v>2</v>
      </c>
      <c r="D171" s="6">
        <v>4</v>
      </c>
      <c r="E171" s="6" t="s">
        <v>1108</v>
      </c>
      <c r="F171" s="6">
        <v>6.1800000000000001E-2</v>
      </c>
      <c r="H171" s="1">
        <v>24.116666666666667</v>
      </c>
      <c r="I171">
        <v>3.2000000000000001E-2</v>
      </c>
      <c r="J171">
        <v>1.5609803658537</v>
      </c>
      <c r="K171">
        <v>16.3384466481535</v>
      </c>
      <c r="L171">
        <v>20.293182146132299</v>
      </c>
      <c r="M171">
        <v>108.847828225295</v>
      </c>
      <c r="N171">
        <v>6.7349938304819901</v>
      </c>
      <c r="O171">
        <v>52.849420830557698</v>
      </c>
      <c r="P171">
        <v>0</v>
      </c>
    </row>
    <row r="172" spans="1:16" ht="14.5" hidden="1" x14ac:dyDescent="0.3">
      <c r="A172" s="1" t="s">
        <v>322</v>
      </c>
      <c r="B172" s="1" t="s">
        <v>1033</v>
      </c>
      <c r="C172" s="6">
        <v>2</v>
      </c>
      <c r="D172" s="6">
        <v>1</v>
      </c>
      <c r="E172" s="6" t="s">
        <v>1109</v>
      </c>
      <c r="F172" s="6">
        <v>7.3899999999999993E-2</v>
      </c>
      <c r="I172">
        <v>3.2000000000000001E-2</v>
      </c>
      <c r="J172">
        <v>1.7348618055310501</v>
      </c>
      <c r="K172">
        <v>13.9003771885157</v>
      </c>
      <c r="L172">
        <v>19.236419036066199</v>
      </c>
      <c r="M172">
        <v>94.900688957506802</v>
      </c>
      <c r="N172">
        <v>3.7801135048297301</v>
      </c>
      <c r="O172">
        <v>30.7224641581602</v>
      </c>
      <c r="P172">
        <v>0</v>
      </c>
    </row>
    <row r="173" spans="1:16" ht="14.5" hidden="1" x14ac:dyDescent="0.3">
      <c r="A173" s="1" t="s">
        <v>323</v>
      </c>
      <c r="B173" s="1" t="s">
        <v>1033</v>
      </c>
      <c r="C173" s="6">
        <v>2</v>
      </c>
      <c r="D173" s="6">
        <v>1</v>
      </c>
      <c r="E173" s="6" t="s">
        <v>1109</v>
      </c>
      <c r="F173" s="6">
        <v>0.1169</v>
      </c>
      <c r="I173">
        <v>3.2000000000000001E-2</v>
      </c>
      <c r="J173">
        <v>2.0518536342316098</v>
      </c>
      <c r="K173">
        <v>15.924914066126901</v>
      </c>
      <c r="L173">
        <v>15.148626939752299</v>
      </c>
      <c r="M173">
        <v>44.710062043829403</v>
      </c>
      <c r="N173">
        <v>11.8204842415011</v>
      </c>
      <c r="O173">
        <v>42.783149447421799</v>
      </c>
      <c r="P173">
        <v>0</v>
      </c>
    </row>
    <row r="174" spans="1:16" ht="14.5" hidden="1" x14ac:dyDescent="0.3">
      <c r="A174" s="1" t="s">
        <v>324</v>
      </c>
      <c r="B174" s="1" t="s">
        <v>1033</v>
      </c>
      <c r="C174" s="6">
        <v>2</v>
      </c>
      <c r="D174" s="6">
        <v>1</v>
      </c>
      <c r="E174" s="6" t="s">
        <v>1109</v>
      </c>
      <c r="F174" s="6">
        <v>5.8200000000000002E-2</v>
      </c>
      <c r="I174">
        <v>3.2000000000000001E-2</v>
      </c>
      <c r="J174">
        <v>1.4100779567170501</v>
      </c>
      <c r="K174">
        <v>16.287914817459701</v>
      </c>
      <c r="L174">
        <v>8.4706460091212907</v>
      </c>
      <c r="M174">
        <v>25.3691364943327</v>
      </c>
      <c r="N174">
        <v>1.9389816401869</v>
      </c>
      <c r="O174">
        <v>39.536146980128898</v>
      </c>
      <c r="P174">
        <v>0</v>
      </c>
    </row>
    <row r="175" spans="1:16" ht="14.5" hidden="1" x14ac:dyDescent="0.3">
      <c r="A175" s="1" t="s">
        <v>325</v>
      </c>
      <c r="B175" s="1" t="s">
        <v>1033</v>
      </c>
      <c r="C175" s="6">
        <v>2</v>
      </c>
      <c r="D175" s="6">
        <v>2</v>
      </c>
      <c r="E175" s="6" t="s">
        <v>1109</v>
      </c>
      <c r="F175" s="6">
        <v>5.6899999999999999E-2</v>
      </c>
      <c r="I175">
        <v>3.2000000000000001E-2</v>
      </c>
      <c r="J175">
        <v>1.32191570630946</v>
      </c>
      <c r="K175">
        <v>10.0248044733446</v>
      </c>
      <c r="L175">
        <v>8.1235904285390692</v>
      </c>
      <c r="M175">
        <v>25.2704513559462</v>
      </c>
      <c r="N175">
        <v>3.3344996880381101</v>
      </c>
      <c r="O175">
        <v>26.6986072606771</v>
      </c>
      <c r="P175">
        <v>0</v>
      </c>
    </row>
    <row r="176" spans="1:16" ht="14.5" hidden="1" x14ac:dyDescent="0.3">
      <c r="A176" s="1" t="s">
        <v>326</v>
      </c>
      <c r="B176" s="1" t="s">
        <v>1033</v>
      </c>
      <c r="C176" s="6">
        <v>2</v>
      </c>
      <c r="D176" s="6">
        <v>2</v>
      </c>
      <c r="E176" s="6" t="s">
        <v>1109</v>
      </c>
      <c r="F176" s="6">
        <v>5.7000000000000002E-2</v>
      </c>
      <c r="I176">
        <v>3.2000000000000001E-2</v>
      </c>
      <c r="J176">
        <v>1.21751239078921</v>
      </c>
      <c r="K176">
        <v>13.856715556435301</v>
      </c>
      <c r="L176">
        <v>13.3872188640152</v>
      </c>
      <c r="M176">
        <v>49.4100389440543</v>
      </c>
      <c r="N176">
        <v>4.0269392834892699</v>
      </c>
      <c r="O176">
        <v>35.208782520236099</v>
      </c>
      <c r="P176">
        <v>0</v>
      </c>
    </row>
    <row r="177" spans="1:16" ht="14.5" hidden="1" x14ac:dyDescent="0.3">
      <c r="A177" s="1" t="s">
        <v>327</v>
      </c>
      <c r="B177" s="1" t="s">
        <v>1033</v>
      </c>
      <c r="C177" s="6">
        <v>2</v>
      </c>
      <c r="D177" s="6">
        <v>2</v>
      </c>
      <c r="E177" s="6" t="s">
        <v>1109</v>
      </c>
      <c r="F177" s="6">
        <v>4.2799999999999998E-2</v>
      </c>
      <c r="I177">
        <v>3.2000000000000001E-2</v>
      </c>
      <c r="J177">
        <v>0.86425378697048105</v>
      </c>
      <c r="K177">
        <v>9.2157248010891308</v>
      </c>
      <c r="L177">
        <v>6.7520343925722699</v>
      </c>
      <c r="M177">
        <v>21.752446624180202</v>
      </c>
      <c r="N177">
        <v>1.80429627435221</v>
      </c>
      <c r="O177">
        <v>20.137835043692601</v>
      </c>
      <c r="P177">
        <v>0</v>
      </c>
    </row>
    <row r="178" spans="1:16" ht="14.5" hidden="1" x14ac:dyDescent="0.3">
      <c r="A178" s="1" t="s">
        <v>328</v>
      </c>
      <c r="B178" s="1" t="s">
        <v>1033</v>
      </c>
      <c r="C178" s="6">
        <v>2</v>
      </c>
      <c r="D178" s="6">
        <v>3</v>
      </c>
      <c r="E178" s="6" t="s">
        <v>1109</v>
      </c>
      <c r="F178" s="6">
        <v>0.1409</v>
      </c>
      <c r="I178">
        <v>4.8000000000000001E-2</v>
      </c>
      <c r="J178">
        <v>1.3626429933045501</v>
      </c>
      <c r="K178">
        <v>8.4819198024181297</v>
      </c>
      <c r="L178">
        <v>17.990830861774</v>
      </c>
      <c r="M178">
        <v>56.3764413436678</v>
      </c>
      <c r="N178">
        <v>6.6731003349159002</v>
      </c>
      <c r="O178">
        <v>20.118051880880898</v>
      </c>
      <c r="P178">
        <v>0</v>
      </c>
    </row>
    <row r="179" spans="1:16" ht="14.5" hidden="1" x14ac:dyDescent="0.3">
      <c r="A179" s="1" t="s">
        <v>329</v>
      </c>
      <c r="B179" s="1" t="s">
        <v>1033</v>
      </c>
      <c r="C179" s="6">
        <v>2</v>
      </c>
      <c r="D179" s="6">
        <v>3</v>
      </c>
      <c r="E179" s="6" t="s">
        <v>1109</v>
      </c>
      <c r="F179" s="6">
        <v>9.0499999999999997E-2</v>
      </c>
      <c r="I179">
        <v>3.2000000000000001E-2</v>
      </c>
      <c r="J179">
        <v>1.33910736553067</v>
      </c>
      <c r="K179">
        <v>13.529339517318199</v>
      </c>
      <c r="L179">
        <v>18.974539509022598</v>
      </c>
      <c r="M179">
        <v>79.919785968344499</v>
      </c>
      <c r="N179">
        <v>8.5633001269386497</v>
      </c>
      <c r="O179">
        <v>47.964126201656903</v>
      </c>
      <c r="P179">
        <v>0</v>
      </c>
    </row>
    <row r="180" spans="1:16" ht="14.5" hidden="1" x14ac:dyDescent="0.3">
      <c r="A180" s="1" t="s">
        <v>330</v>
      </c>
      <c r="B180" s="1" t="s">
        <v>1033</v>
      </c>
      <c r="C180" s="6">
        <v>2</v>
      </c>
      <c r="D180" s="6">
        <v>3</v>
      </c>
      <c r="E180" s="6" t="s">
        <v>1109</v>
      </c>
      <c r="F180" s="6">
        <v>4.3299999999999998E-2</v>
      </c>
      <c r="I180">
        <v>3.2000000000000001E-2</v>
      </c>
      <c r="J180">
        <v>0.71272965903932695</v>
      </c>
      <c r="K180">
        <v>7.3927867946051098</v>
      </c>
      <c r="L180">
        <v>8.3756546035364305</v>
      </c>
      <c r="M180">
        <v>31.145656499255001</v>
      </c>
      <c r="N180">
        <v>2.6331866717169401</v>
      </c>
      <c r="O180">
        <v>18.6034960571635</v>
      </c>
      <c r="P180">
        <v>0</v>
      </c>
    </row>
    <row r="181" spans="1:16" ht="14.5" x14ac:dyDescent="0.3">
      <c r="A181" s="1" t="s">
        <v>331</v>
      </c>
      <c r="B181" s="1" t="s">
        <v>1034</v>
      </c>
      <c r="C181" s="6">
        <v>2</v>
      </c>
      <c r="D181" s="6">
        <v>1</v>
      </c>
      <c r="E181" s="6" t="s">
        <v>1109</v>
      </c>
      <c r="F181" s="6">
        <v>7.3300000000000004E-2</v>
      </c>
      <c r="H181" s="1">
        <v>71.833333333333329</v>
      </c>
      <c r="I181">
        <v>3.2000000000000001E-2</v>
      </c>
      <c r="J181">
        <v>1.3649051111097501</v>
      </c>
      <c r="K181">
        <v>15.660945793517801</v>
      </c>
      <c r="L181">
        <v>11.9492423211772</v>
      </c>
      <c r="M181">
        <v>36.758044716565799</v>
      </c>
      <c r="N181">
        <v>33.698562836897501</v>
      </c>
      <c r="O181">
        <v>60.459502842965101</v>
      </c>
      <c r="P181">
        <v>0</v>
      </c>
    </row>
    <row r="182" spans="1:16" ht="14.5" x14ac:dyDescent="0.3">
      <c r="A182" s="1" t="s">
        <v>332</v>
      </c>
      <c r="B182" s="1" t="s">
        <v>1034</v>
      </c>
      <c r="C182" s="6">
        <v>2</v>
      </c>
      <c r="D182" s="6">
        <v>1</v>
      </c>
      <c r="E182" s="6" t="s">
        <v>1109</v>
      </c>
      <c r="F182" s="6">
        <v>5.2499999999999998E-2</v>
      </c>
      <c r="H182" s="1">
        <v>71.833333333333329</v>
      </c>
      <c r="I182">
        <v>3.2000000000000001E-2</v>
      </c>
      <c r="J182">
        <v>1.07961948646659</v>
      </c>
      <c r="K182">
        <v>14.793207652913599</v>
      </c>
      <c r="L182">
        <v>11.0571596131318</v>
      </c>
      <c r="M182">
        <v>41.739801934357999</v>
      </c>
      <c r="N182">
        <v>26.941838719423298</v>
      </c>
      <c r="O182">
        <v>52.068102717572501</v>
      </c>
      <c r="P182">
        <v>0</v>
      </c>
    </row>
    <row r="183" spans="1:16" ht="14.5" x14ac:dyDescent="0.3">
      <c r="A183" s="1" t="s">
        <v>333</v>
      </c>
      <c r="B183" s="1" t="s">
        <v>1034</v>
      </c>
      <c r="C183" s="6">
        <v>2</v>
      </c>
      <c r="D183" s="6">
        <v>1</v>
      </c>
      <c r="E183" s="6" t="s">
        <v>1109</v>
      </c>
      <c r="F183" s="6">
        <v>9.4700000000000006E-2</v>
      </c>
      <c r="H183" s="1">
        <v>71.833333333333329</v>
      </c>
      <c r="I183">
        <v>3.2000000000000001E-2</v>
      </c>
      <c r="J183">
        <v>2.23600198221625</v>
      </c>
      <c r="K183">
        <v>15.8047879941996</v>
      </c>
      <c r="L183">
        <v>16.574583685189101</v>
      </c>
      <c r="M183">
        <v>43.9029097746715</v>
      </c>
      <c r="N183">
        <v>51.912133765225803</v>
      </c>
      <c r="O183">
        <v>69.237627265026006</v>
      </c>
      <c r="P183">
        <v>0</v>
      </c>
    </row>
    <row r="184" spans="1:16" ht="14.5" x14ac:dyDescent="0.3">
      <c r="A184" s="1" t="s">
        <v>334</v>
      </c>
      <c r="B184" s="1" t="s">
        <v>1034</v>
      </c>
      <c r="C184" s="6">
        <v>2</v>
      </c>
      <c r="D184" s="6">
        <v>1</v>
      </c>
      <c r="E184" s="6" t="s">
        <v>1109</v>
      </c>
      <c r="F184" s="6">
        <v>7.9399999999999998E-2</v>
      </c>
      <c r="H184" s="1">
        <v>71.833333333333329</v>
      </c>
      <c r="I184">
        <v>3.2000000000000001E-2</v>
      </c>
      <c r="J184">
        <v>1.8094887635338801</v>
      </c>
      <c r="K184">
        <v>12.546720874171401</v>
      </c>
      <c r="L184">
        <v>19.783278881002701</v>
      </c>
      <c r="M184">
        <v>60.208392931134803</v>
      </c>
      <c r="N184">
        <v>38.423762591978601</v>
      </c>
      <c r="O184">
        <v>50.322688729821799</v>
      </c>
      <c r="P184">
        <v>0</v>
      </c>
    </row>
    <row r="185" spans="1:16" ht="14.5" x14ac:dyDescent="0.3">
      <c r="A185" s="1" t="s">
        <v>335</v>
      </c>
      <c r="B185" s="1" t="s">
        <v>1034</v>
      </c>
      <c r="C185" s="6">
        <v>2</v>
      </c>
      <c r="D185" s="6">
        <v>2</v>
      </c>
      <c r="E185" s="6" t="s">
        <v>1109</v>
      </c>
      <c r="F185" s="6">
        <v>0.1086</v>
      </c>
      <c r="H185" s="1">
        <v>72.083333333333329</v>
      </c>
      <c r="I185">
        <v>3.2000000000000001E-2</v>
      </c>
      <c r="J185">
        <v>1.5921326400401601</v>
      </c>
      <c r="K185">
        <v>19.491317173535499</v>
      </c>
      <c r="L185">
        <v>23.035681669867401</v>
      </c>
      <c r="M185">
        <v>114.274204055933</v>
      </c>
      <c r="N185">
        <v>46.1469613706046</v>
      </c>
      <c r="O185">
        <v>122.826601040539</v>
      </c>
      <c r="P185">
        <v>0</v>
      </c>
    </row>
    <row r="186" spans="1:16" ht="14.5" x14ac:dyDescent="0.3">
      <c r="A186" s="1" t="s">
        <v>336</v>
      </c>
      <c r="B186" s="1" t="s">
        <v>1034</v>
      </c>
      <c r="C186" s="6">
        <v>2</v>
      </c>
      <c r="D186" s="6">
        <v>2</v>
      </c>
      <c r="E186" s="6" t="s">
        <v>1109</v>
      </c>
      <c r="F186" s="6">
        <v>7.4999999999999997E-2</v>
      </c>
      <c r="H186" s="1">
        <v>72.083333333333329</v>
      </c>
      <c r="I186">
        <v>3.2000000000000001E-2</v>
      </c>
      <c r="J186">
        <v>1.72030781875949</v>
      </c>
      <c r="K186">
        <v>11.8048769195006</v>
      </c>
      <c r="L186">
        <v>11.168013207959801</v>
      </c>
      <c r="M186">
        <v>26.087688599471502</v>
      </c>
      <c r="N186">
        <v>51.240996856581397</v>
      </c>
      <c r="O186">
        <v>64.603710909436998</v>
      </c>
      <c r="P186">
        <v>0</v>
      </c>
    </row>
    <row r="187" spans="1:16" ht="14.5" x14ac:dyDescent="0.3">
      <c r="A187" s="1" t="s">
        <v>337</v>
      </c>
      <c r="B187" s="1" t="s">
        <v>1034</v>
      </c>
      <c r="C187" s="6">
        <v>2</v>
      </c>
      <c r="D187" s="6">
        <v>2</v>
      </c>
      <c r="E187" s="6" t="s">
        <v>1109</v>
      </c>
      <c r="F187" s="6">
        <v>5.6000000000000001E-2</v>
      </c>
      <c r="H187" s="1">
        <v>72.083333333333329</v>
      </c>
      <c r="I187">
        <v>3.2000000000000001E-2</v>
      </c>
      <c r="J187">
        <v>0.723720461955498</v>
      </c>
      <c r="K187">
        <v>8.9124805752425793</v>
      </c>
      <c r="L187">
        <v>11.0482195293974</v>
      </c>
      <c r="M187">
        <v>41.154576288306799</v>
      </c>
      <c r="N187">
        <v>28.0283010170095</v>
      </c>
      <c r="O187">
        <v>52.659422600872603</v>
      </c>
      <c r="P187">
        <v>0</v>
      </c>
    </row>
    <row r="188" spans="1:16" ht="14.5" x14ac:dyDescent="0.3">
      <c r="A188" s="1" t="s">
        <v>338</v>
      </c>
      <c r="B188" s="1" t="s">
        <v>1034</v>
      </c>
      <c r="C188" s="6">
        <v>2</v>
      </c>
      <c r="D188" s="6">
        <v>3</v>
      </c>
      <c r="E188" s="6" t="s">
        <v>1109</v>
      </c>
      <c r="F188" s="6">
        <v>7.3099999999999998E-2</v>
      </c>
      <c r="H188" s="1">
        <v>71.88333333333334</v>
      </c>
      <c r="I188">
        <v>3.2000000000000001E-2</v>
      </c>
      <c r="J188">
        <v>1.5438616786780599</v>
      </c>
      <c r="K188">
        <v>14.2128239219078</v>
      </c>
      <c r="L188">
        <v>14.5607051268437</v>
      </c>
      <c r="M188">
        <v>42.569603865036598</v>
      </c>
      <c r="N188">
        <v>39.532030895593998</v>
      </c>
      <c r="O188">
        <v>67.405205620322107</v>
      </c>
      <c r="P188">
        <v>0</v>
      </c>
    </row>
    <row r="189" spans="1:16" ht="14.5" x14ac:dyDescent="0.3">
      <c r="A189" s="1" t="s">
        <v>339</v>
      </c>
      <c r="B189" s="1" t="s">
        <v>1034</v>
      </c>
      <c r="C189" s="6">
        <v>2</v>
      </c>
      <c r="D189" s="6">
        <v>3</v>
      </c>
      <c r="E189" s="6" t="s">
        <v>1109</v>
      </c>
      <c r="F189" s="6">
        <v>7.2099999999999997E-2</v>
      </c>
      <c r="H189" s="1">
        <v>71.88333333333334</v>
      </c>
      <c r="I189">
        <v>3.2000000000000001E-2</v>
      </c>
      <c r="J189">
        <v>1.40373577135068</v>
      </c>
      <c r="K189">
        <v>14.923768788308999</v>
      </c>
      <c r="L189">
        <v>13.716547441566799</v>
      </c>
      <c r="M189">
        <v>51.572153172090502</v>
      </c>
      <c r="N189">
        <v>34.427511403961297</v>
      </c>
      <c r="O189">
        <v>66.285077979360295</v>
      </c>
      <c r="P189">
        <v>0</v>
      </c>
    </row>
    <row r="190" spans="1:16" ht="14.5" x14ac:dyDescent="0.3">
      <c r="A190" s="1" t="s">
        <v>340</v>
      </c>
      <c r="B190" s="1" t="s">
        <v>1034</v>
      </c>
      <c r="C190" s="6">
        <v>2</v>
      </c>
      <c r="D190" s="6">
        <v>3</v>
      </c>
      <c r="E190" s="6" t="s">
        <v>1109</v>
      </c>
      <c r="F190" s="6">
        <v>4.8300000000000003E-2</v>
      </c>
      <c r="H190" s="1">
        <v>71.88333333333334</v>
      </c>
      <c r="I190">
        <v>3.2000000000000001E-2</v>
      </c>
      <c r="J190">
        <v>1.1343639170648201</v>
      </c>
      <c r="K190">
        <v>11.944581648763901</v>
      </c>
      <c r="L190">
        <v>13.594789129893799</v>
      </c>
      <c r="M190">
        <v>71.709715206750801</v>
      </c>
      <c r="N190">
        <v>26.919995175848001</v>
      </c>
      <c r="O190">
        <v>61.224083897332697</v>
      </c>
      <c r="P190">
        <v>0</v>
      </c>
    </row>
    <row r="191" spans="1:16" ht="14.5" x14ac:dyDescent="0.3">
      <c r="A191" s="1" t="s">
        <v>341</v>
      </c>
      <c r="B191" s="1" t="s">
        <v>1034</v>
      </c>
      <c r="C191" s="6">
        <v>2</v>
      </c>
      <c r="D191" s="6">
        <v>3</v>
      </c>
      <c r="E191" s="6" t="s">
        <v>1109</v>
      </c>
      <c r="F191" s="6">
        <v>0.1011</v>
      </c>
      <c r="H191" s="1">
        <v>71.88333333333334</v>
      </c>
      <c r="I191">
        <v>3.2000000000000001E-2</v>
      </c>
      <c r="J191">
        <v>2.6487923185357101</v>
      </c>
      <c r="K191">
        <v>22.938870886204398</v>
      </c>
      <c r="L191">
        <v>18.011833812712599</v>
      </c>
      <c r="M191">
        <v>61.812687240869302</v>
      </c>
      <c r="N191">
        <v>45.633482753237999</v>
      </c>
      <c r="O191">
        <v>74.912682761804305</v>
      </c>
      <c r="P191">
        <v>0</v>
      </c>
    </row>
    <row r="192" spans="1:16" ht="14.5" x14ac:dyDescent="0.3">
      <c r="A192" s="1" t="s">
        <v>342</v>
      </c>
      <c r="B192" s="1" t="s">
        <v>1034</v>
      </c>
      <c r="C192" s="6">
        <v>2</v>
      </c>
      <c r="D192" s="6">
        <v>4</v>
      </c>
      <c r="E192" s="6" t="s">
        <v>1109</v>
      </c>
      <c r="F192" s="6">
        <v>0.1042</v>
      </c>
      <c r="H192" s="1">
        <v>71.716666666666669</v>
      </c>
      <c r="I192">
        <v>3.2000000000000001E-2</v>
      </c>
      <c r="J192">
        <v>1.86691873077542</v>
      </c>
      <c r="K192">
        <v>14.868716321733601</v>
      </c>
      <c r="L192">
        <v>16.227817875358799</v>
      </c>
      <c r="M192">
        <v>41.227409422740102</v>
      </c>
      <c r="N192">
        <v>35.622149219960903</v>
      </c>
      <c r="O192">
        <v>55.0567469247014</v>
      </c>
      <c r="P192">
        <v>0</v>
      </c>
    </row>
    <row r="193" spans="1:16" ht="14.5" x14ac:dyDescent="0.3">
      <c r="A193" s="1" t="s">
        <v>343</v>
      </c>
      <c r="B193" s="1" t="s">
        <v>1034</v>
      </c>
      <c r="C193" s="6">
        <v>2</v>
      </c>
      <c r="D193" s="6">
        <v>4</v>
      </c>
      <c r="E193" s="6" t="s">
        <v>1109</v>
      </c>
      <c r="F193" s="6">
        <v>8.4699999999999998E-2</v>
      </c>
      <c r="H193" s="1">
        <v>71.716666666666669</v>
      </c>
      <c r="I193">
        <v>3.2000000000000001E-2</v>
      </c>
      <c r="J193">
        <v>1.76284320414073</v>
      </c>
      <c r="K193">
        <v>16.6362000895889</v>
      </c>
      <c r="L193">
        <v>17.1414662644701</v>
      </c>
      <c r="M193">
        <v>74.376492474179301</v>
      </c>
      <c r="N193">
        <v>27.428134719864499</v>
      </c>
      <c r="O193">
        <v>62.0033674464988</v>
      </c>
      <c r="P193">
        <v>0</v>
      </c>
    </row>
    <row r="194" spans="1:16" ht="14.5" x14ac:dyDescent="0.3">
      <c r="A194" s="1" t="s">
        <v>344</v>
      </c>
      <c r="B194" s="1" t="s">
        <v>1034</v>
      </c>
      <c r="C194" s="6">
        <v>2</v>
      </c>
      <c r="D194" s="6">
        <v>4</v>
      </c>
      <c r="E194" s="6" t="s">
        <v>1109</v>
      </c>
      <c r="F194" s="6">
        <v>8.5599999999999996E-2</v>
      </c>
      <c r="H194" s="1">
        <v>71.716666666666669</v>
      </c>
      <c r="I194">
        <v>3.2000000000000001E-2</v>
      </c>
      <c r="J194">
        <v>2.0033804305678502</v>
      </c>
      <c r="K194">
        <v>20.939424093062499</v>
      </c>
      <c r="L194">
        <v>16.224742022417299</v>
      </c>
      <c r="M194">
        <v>52.364469946363599</v>
      </c>
      <c r="N194">
        <v>89.127317681632505</v>
      </c>
      <c r="O194">
        <v>137.76940644009201</v>
      </c>
      <c r="P194">
        <v>0</v>
      </c>
    </row>
    <row r="195" spans="1:16" ht="14.5" x14ac:dyDescent="0.3">
      <c r="A195" s="1" t="s">
        <v>345</v>
      </c>
      <c r="B195" s="1" t="s">
        <v>1034</v>
      </c>
      <c r="C195" s="6">
        <v>2</v>
      </c>
      <c r="D195" s="6">
        <v>4</v>
      </c>
      <c r="E195" s="6" t="s">
        <v>1109</v>
      </c>
      <c r="F195" s="6">
        <v>7.5700000000000003E-2</v>
      </c>
      <c r="H195" s="1">
        <v>71.716666666666669</v>
      </c>
      <c r="I195">
        <v>3.2000000000000001E-2</v>
      </c>
      <c r="J195">
        <v>1.8420364559387401</v>
      </c>
      <c r="K195">
        <v>20.0022111546111</v>
      </c>
      <c r="L195">
        <v>14.302603096315099</v>
      </c>
      <c r="M195">
        <v>64.709447655913905</v>
      </c>
      <c r="N195">
        <v>28.286582854825799</v>
      </c>
      <c r="O195">
        <v>67.259400576085596</v>
      </c>
      <c r="P195">
        <v>0</v>
      </c>
    </row>
    <row r="196" spans="1:16" ht="14.5" hidden="1" x14ac:dyDescent="0.3">
      <c r="A196" s="1" t="s">
        <v>346</v>
      </c>
      <c r="B196" s="6" t="s">
        <v>1032</v>
      </c>
      <c r="C196" s="6">
        <v>3</v>
      </c>
      <c r="D196" s="6">
        <v>1</v>
      </c>
      <c r="E196" s="6">
        <v>14</v>
      </c>
      <c r="F196" s="6">
        <v>7.0099999999999996E-2</v>
      </c>
      <c r="I196">
        <v>5.6000000000000001E-2</v>
      </c>
      <c r="J196">
        <v>0.83802255445128604</v>
      </c>
      <c r="K196">
        <v>8.8539120585465696</v>
      </c>
      <c r="L196">
        <v>8.1154105279871391</v>
      </c>
      <c r="M196">
        <v>27.995719454428901</v>
      </c>
      <c r="N196">
        <v>2.5677908062962498</v>
      </c>
      <c r="O196">
        <v>16.146491142830001</v>
      </c>
      <c r="P196">
        <v>0</v>
      </c>
    </row>
    <row r="197" spans="1:16" ht="14.5" hidden="1" x14ac:dyDescent="0.3">
      <c r="A197" s="1" t="s">
        <v>347</v>
      </c>
      <c r="B197" s="6" t="s">
        <v>1032</v>
      </c>
      <c r="C197" s="6">
        <v>3</v>
      </c>
      <c r="D197" s="6">
        <v>2</v>
      </c>
      <c r="E197" s="6">
        <v>14</v>
      </c>
      <c r="F197" s="6">
        <v>0.1007</v>
      </c>
      <c r="I197">
        <v>3.2000000000000001E-2</v>
      </c>
      <c r="J197">
        <v>2.1302434792298399</v>
      </c>
      <c r="K197">
        <v>15.223118030007299</v>
      </c>
      <c r="L197">
        <v>19.899358640709998</v>
      </c>
      <c r="M197">
        <v>81.396486008560103</v>
      </c>
      <c r="N197">
        <v>7.3849098792807002</v>
      </c>
      <c r="O197">
        <v>30.0587665109631</v>
      </c>
      <c r="P197">
        <v>0</v>
      </c>
    </row>
    <row r="198" spans="1:16" ht="14.5" hidden="1" x14ac:dyDescent="0.3">
      <c r="A198" s="1" t="s">
        <v>348</v>
      </c>
      <c r="B198" s="6" t="s">
        <v>1032</v>
      </c>
      <c r="C198" s="6">
        <v>3</v>
      </c>
      <c r="D198" s="6">
        <v>3</v>
      </c>
      <c r="E198" s="6">
        <v>14</v>
      </c>
      <c r="F198" s="6">
        <v>8.9800000000000005E-2</v>
      </c>
      <c r="I198">
        <v>3.2000000000000001E-2</v>
      </c>
      <c r="J198">
        <v>2.9099425696919501</v>
      </c>
      <c r="K198">
        <v>18.610774460975101</v>
      </c>
      <c r="L198">
        <v>15.4328687180403</v>
      </c>
      <c r="M198">
        <v>41.645193913770299</v>
      </c>
      <c r="N198">
        <v>2.2649654109875099</v>
      </c>
      <c r="O198">
        <v>18.446688505528002</v>
      </c>
      <c r="P198">
        <v>0</v>
      </c>
    </row>
    <row r="199" spans="1:16" ht="14.5" hidden="1" x14ac:dyDescent="0.3">
      <c r="A199" s="1" t="s">
        <v>349</v>
      </c>
      <c r="B199" s="6" t="s">
        <v>1032</v>
      </c>
      <c r="C199" s="6">
        <v>3</v>
      </c>
      <c r="D199" s="6">
        <v>4</v>
      </c>
      <c r="E199" s="6">
        <v>14</v>
      </c>
      <c r="F199" s="6">
        <v>0.10059999999999999</v>
      </c>
      <c r="I199">
        <v>3.2000000000000001E-2</v>
      </c>
      <c r="J199">
        <v>1.8196064835675501</v>
      </c>
      <c r="K199">
        <v>15.8324021341073</v>
      </c>
      <c r="L199">
        <v>18.907323837095401</v>
      </c>
      <c r="M199">
        <v>68.233863426227003</v>
      </c>
      <c r="N199">
        <v>10.2730312888746</v>
      </c>
      <c r="O199">
        <v>33.819814364890703</v>
      </c>
      <c r="P199">
        <v>0</v>
      </c>
    </row>
    <row r="200" spans="1:16" ht="14.5" hidden="1" x14ac:dyDescent="0.3">
      <c r="A200" s="1" t="s">
        <v>350</v>
      </c>
      <c r="B200" s="6" t="s">
        <v>1032</v>
      </c>
      <c r="C200" s="6">
        <v>3</v>
      </c>
      <c r="D200" s="6">
        <v>5</v>
      </c>
      <c r="E200" s="6">
        <v>14</v>
      </c>
      <c r="F200" s="6">
        <v>5.1400000000000001E-2</v>
      </c>
      <c r="I200">
        <v>3.2000000000000001E-2</v>
      </c>
      <c r="J200">
        <v>1.1545117324595899</v>
      </c>
      <c r="K200">
        <v>16.8534512285832</v>
      </c>
      <c r="L200">
        <v>11.809030339849199</v>
      </c>
      <c r="M200">
        <v>53.061146759240103</v>
      </c>
      <c r="N200">
        <v>3.68513541472938</v>
      </c>
      <c r="O200">
        <v>41.614125303812699</v>
      </c>
      <c r="P200">
        <v>0</v>
      </c>
    </row>
    <row r="201" spans="1:16" ht="14.5" hidden="1" x14ac:dyDescent="0.3">
      <c r="A201" s="1" t="s">
        <v>351</v>
      </c>
      <c r="B201" s="6" t="s">
        <v>1032</v>
      </c>
      <c r="C201" s="6">
        <v>3</v>
      </c>
      <c r="D201" s="6">
        <v>6</v>
      </c>
      <c r="E201" s="6">
        <v>14</v>
      </c>
      <c r="F201" s="6">
        <v>6.08E-2</v>
      </c>
      <c r="I201">
        <v>3.2000000000000001E-2</v>
      </c>
      <c r="J201">
        <v>0.94972094846884103</v>
      </c>
      <c r="K201">
        <v>12.4465665085854</v>
      </c>
      <c r="L201">
        <v>14.4183272545358</v>
      </c>
      <c r="M201">
        <v>66.246360903187906</v>
      </c>
      <c r="N201">
        <v>4.7165111317802904</v>
      </c>
      <c r="O201">
        <v>33.157087350100603</v>
      </c>
      <c r="P201">
        <v>0</v>
      </c>
    </row>
    <row r="202" spans="1:16" ht="14.5" hidden="1" x14ac:dyDescent="0.3">
      <c r="A202" s="1" t="s">
        <v>352</v>
      </c>
      <c r="B202" s="6" t="s">
        <v>1032</v>
      </c>
      <c r="C202" s="6">
        <v>3</v>
      </c>
      <c r="D202" s="6">
        <v>7</v>
      </c>
      <c r="E202" s="6">
        <v>14</v>
      </c>
      <c r="F202" s="6">
        <v>6.0400000000000002E-2</v>
      </c>
      <c r="I202">
        <v>3.2000000000000001E-2</v>
      </c>
      <c r="J202">
        <v>1.14494914190106</v>
      </c>
      <c r="K202">
        <v>12.6410683652405</v>
      </c>
      <c r="L202">
        <v>10.891468467126799</v>
      </c>
      <c r="M202">
        <v>45.075504659983103</v>
      </c>
      <c r="N202">
        <v>3.5765739428830501</v>
      </c>
      <c r="O202">
        <v>27.663018421221</v>
      </c>
      <c r="P202">
        <v>0</v>
      </c>
    </row>
    <row r="203" spans="1:16" ht="14.5" hidden="1" x14ac:dyDescent="0.3">
      <c r="A203" s="1" t="s">
        <v>353</v>
      </c>
      <c r="B203" s="6" t="s">
        <v>1032</v>
      </c>
      <c r="C203" s="6">
        <v>3</v>
      </c>
      <c r="D203" s="6">
        <v>8</v>
      </c>
      <c r="E203" s="6">
        <v>14</v>
      </c>
      <c r="F203" s="6">
        <v>8.9499999999999996E-2</v>
      </c>
      <c r="I203">
        <v>3.2000000000000001E-2</v>
      </c>
      <c r="J203">
        <v>1.52666311574767</v>
      </c>
      <c r="K203">
        <v>12.5096030423227</v>
      </c>
      <c r="L203">
        <v>19.1915317904731</v>
      </c>
      <c r="M203">
        <v>60.513330231566002</v>
      </c>
      <c r="N203">
        <v>4.9728707201421303</v>
      </c>
      <c r="O203">
        <v>31.920020119450001</v>
      </c>
      <c r="P203">
        <v>0</v>
      </c>
    </row>
    <row r="204" spans="1:16" ht="14.5" hidden="1" x14ac:dyDescent="0.3">
      <c r="A204" s="1" t="s">
        <v>354</v>
      </c>
      <c r="B204" s="6" t="s">
        <v>1032</v>
      </c>
      <c r="C204" s="6">
        <v>3</v>
      </c>
      <c r="D204" s="6">
        <v>9</v>
      </c>
      <c r="E204" s="6">
        <v>14</v>
      </c>
      <c r="F204" s="6">
        <v>0.12230000000000001</v>
      </c>
      <c r="I204">
        <v>0.04</v>
      </c>
      <c r="J204">
        <v>2.2655569456187199</v>
      </c>
      <c r="K204">
        <v>15.1525586326891</v>
      </c>
      <c r="L204">
        <v>20.9781116630081</v>
      </c>
      <c r="M204">
        <v>53.810084312545101</v>
      </c>
      <c r="N204">
        <v>7.4931993626182098</v>
      </c>
      <c r="O204">
        <v>25.201249670625</v>
      </c>
      <c r="P204">
        <v>0</v>
      </c>
    </row>
    <row r="205" spans="1:16" ht="14.5" hidden="1" x14ac:dyDescent="0.3">
      <c r="A205" s="1" t="s">
        <v>355</v>
      </c>
      <c r="B205" s="6" t="s">
        <v>1032</v>
      </c>
      <c r="C205" s="6">
        <v>3</v>
      </c>
      <c r="D205" s="6">
        <v>10</v>
      </c>
      <c r="E205" s="6">
        <v>14</v>
      </c>
      <c r="F205" s="6">
        <v>8.1500000000000003E-2</v>
      </c>
      <c r="I205">
        <v>3.2000000000000001E-2</v>
      </c>
      <c r="J205">
        <v>2.4275174443228802</v>
      </c>
      <c r="K205">
        <v>11.886682552248899</v>
      </c>
      <c r="L205">
        <v>15.0985805576305</v>
      </c>
      <c r="M205">
        <v>42.8946405434708</v>
      </c>
      <c r="N205">
        <v>7.7605827036335899</v>
      </c>
      <c r="O205">
        <v>25.162378674332501</v>
      </c>
      <c r="P205">
        <v>0</v>
      </c>
    </row>
    <row r="206" spans="1:16" ht="14.5" hidden="1" x14ac:dyDescent="0.3">
      <c r="A206" s="1" t="s">
        <v>356</v>
      </c>
      <c r="B206" s="6" t="s">
        <v>1033</v>
      </c>
      <c r="C206" s="6">
        <v>3</v>
      </c>
      <c r="D206" s="6">
        <v>1</v>
      </c>
      <c r="E206" s="6" t="s">
        <v>1107</v>
      </c>
      <c r="F206" s="6">
        <v>7.2400000000000006E-2</v>
      </c>
      <c r="I206">
        <v>3.2000000000000001E-2</v>
      </c>
      <c r="J206">
        <v>1.62311484040942</v>
      </c>
      <c r="K206">
        <v>11.6699648753492</v>
      </c>
      <c r="L206">
        <v>8.4294395705812395</v>
      </c>
      <c r="M206">
        <v>23.177111026418402</v>
      </c>
      <c r="N206">
        <v>5.2814967979126397</v>
      </c>
      <c r="O206">
        <v>13.334345711848499</v>
      </c>
      <c r="P206">
        <v>0</v>
      </c>
    </row>
    <row r="207" spans="1:16" ht="14.5" hidden="1" x14ac:dyDescent="0.3">
      <c r="A207" s="1" t="s">
        <v>357</v>
      </c>
      <c r="B207" s="6" t="s">
        <v>1033</v>
      </c>
      <c r="C207" s="6">
        <v>3</v>
      </c>
      <c r="D207" s="6">
        <v>1</v>
      </c>
      <c r="E207" s="6" t="s">
        <v>1107</v>
      </c>
      <c r="F207" s="6">
        <v>9.2100000000000001E-2</v>
      </c>
      <c r="I207">
        <v>3.2000000000000001E-2</v>
      </c>
      <c r="J207">
        <v>2.4527285547301401</v>
      </c>
      <c r="K207">
        <v>23.342201975942899</v>
      </c>
      <c r="L207">
        <v>13.357425230096499</v>
      </c>
      <c r="M207">
        <v>42.540019594908301</v>
      </c>
      <c r="N207">
        <v>6.9008500473884702</v>
      </c>
      <c r="O207">
        <v>37.714409527871702</v>
      </c>
      <c r="P207">
        <v>0</v>
      </c>
    </row>
    <row r="208" spans="1:16" ht="14.5" hidden="1" x14ac:dyDescent="0.3">
      <c r="A208" s="1" t="s">
        <v>358</v>
      </c>
      <c r="B208" s="6" t="s">
        <v>1033</v>
      </c>
      <c r="C208" s="6">
        <v>3</v>
      </c>
      <c r="D208" s="6">
        <v>1</v>
      </c>
      <c r="E208" s="6" t="s">
        <v>1107</v>
      </c>
      <c r="F208" s="6">
        <v>9.7600000000000006E-2</v>
      </c>
      <c r="I208">
        <v>3.2000000000000001E-2</v>
      </c>
      <c r="J208">
        <v>2.1322353400435001</v>
      </c>
      <c r="K208">
        <v>14.928196950055099</v>
      </c>
      <c r="L208">
        <v>15.125203575669801</v>
      </c>
      <c r="M208">
        <v>36.7377868290721</v>
      </c>
      <c r="N208">
        <v>6.5454432260816704</v>
      </c>
      <c r="O208">
        <v>24.836655295584801</v>
      </c>
      <c r="P208">
        <v>0</v>
      </c>
    </row>
    <row r="209" spans="1:16" ht="14.5" hidden="1" x14ac:dyDescent="0.3">
      <c r="A209" s="1" t="s">
        <v>359</v>
      </c>
      <c r="B209" s="6" t="s">
        <v>1033</v>
      </c>
      <c r="C209" s="6">
        <v>3</v>
      </c>
      <c r="D209" s="6">
        <v>2</v>
      </c>
      <c r="E209" s="6" t="s">
        <v>1107</v>
      </c>
      <c r="F209" s="6">
        <v>7.6100000000000001E-2</v>
      </c>
      <c r="I209">
        <v>3.2000000000000001E-2</v>
      </c>
      <c r="J209">
        <v>1.53891213964179</v>
      </c>
      <c r="K209">
        <v>16.039912170260799</v>
      </c>
      <c r="L209">
        <v>17.1485112328672</v>
      </c>
      <c r="M209">
        <v>84.490711845745395</v>
      </c>
      <c r="N209">
        <v>4.9138356622700998</v>
      </c>
      <c r="O209">
        <v>38.147510243082102</v>
      </c>
      <c r="P209">
        <v>0</v>
      </c>
    </row>
    <row r="210" spans="1:16" ht="14.5" hidden="1" x14ac:dyDescent="0.3">
      <c r="A210" s="1" t="s">
        <v>360</v>
      </c>
      <c r="B210" s="6" t="s">
        <v>1033</v>
      </c>
      <c r="C210" s="6">
        <v>3</v>
      </c>
      <c r="D210" s="6">
        <v>2</v>
      </c>
      <c r="E210" s="6" t="s">
        <v>1107</v>
      </c>
      <c r="F210" s="6">
        <v>4.7199999999999999E-2</v>
      </c>
      <c r="I210">
        <v>3.2000000000000001E-2</v>
      </c>
      <c r="J210">
        <v>1.0604240342723299</v>
      </c>
      <c r="K210">
        <v>15.1992925546732</v>
      </c>
      <c r="L210">
        <v>14.449876593639001</v>
      </c>
      <c r="M210">
        <v>64.937715363668701</v>
      </c>
      <c r="N210">
        <v>3.4631313831216701</v>
      </c>
      <c r="O210">
        <v>39.018036840691103</v>
      </c>
      <c r="P210">
        <v>0</v>
      </c>
    </row>
    <row r="211" spans="1:16" ht="14.5" hidden="1" x14ac:dyDescent="0.3">
      <c r="A211" s="1" t="s">
        <v>361</v>
      </c>
      <c r="B211" s="6" t="s">
        <v>1033</v>
      </c>
      <c r="C211" s="6">
        <v>3</v>
      </c>
      <c r="D211" s="6">
        <v>2</v>
      </c>
      <c r="E211" s="6" t="s">
        <v>1107</v>
      </c>
      <c r="F211" s="6">
        <v>9.3700000000000006E-2</v>
      </c>
      <c r="I211">
        <v>3.2000000000000001E-2</v>
      </c>
      <c r="J211">
        <v>1.9685858900426101</v>
      </c>
      <c r="K211">
        <v>18.173442227699699</v>
      </c>
      <c r="L211">
        <v>17.311940878200701</v>
      </c>
      <c r="M211">
        <v>51.8472301648913</v>
      </c>
      <c r="N211">
        <v>7.6829410472275104</v>
      </c>
      <c r="O211">
        <v>48.216600957414499</v>
      </c>
      <c r="P211">
        <v>0</v>
      </c>
    </row>
    <row r="212" spans="1:16" ht="14.5" hidden="1" x14ac:dyDescent="0.3">
      <c r="A212" s="1" t="s">
        <v>362</v>
      </c>
      <c r="B212" s="6" t="s">
        <v>1033</v>
      </c>
      <c r="C212" s="6">
        <v>3</v>
      </c>
      <c r="D212" s="6">
        <v>3</v>
      </c>
      <c r="E212" s="6" t="s">
        <v>1107</v>
      </c>
      <c r="F212" s="6">
        <v>6.2399999999999997E-2</v>
      </c>
      <c r="I212">
        <v>3.2000000000000001E-2</v>
      </c>
      <c r="J212">
        <v>1.18151603754419</v>
      </c>
      <c r="K212">
        <v>9.6720774559211602</v>
      </c>
      <c r="L212">
        <v>11.018482217369201</v>
      </c>
      <c r="M212">
        <v>37.693486849941102</v>
      </c>
      <c r="N212">
        <v>4.5962175437230401</v>
      </c>
      <c r="O212">
        <v>24.3458255510524</v>
      </c>
      <c r="P212">
        <v>0</v>
      </c>
    </row>
    <row r="213" spans="1:16" ht="14.5" hidden="1" x14ac:dyDescent="0.3">
      <c r="A213" s="1" t="s">
        <v>363</v>
      </c>
      <c r="B213" s="6" t="s">
        <v>1033</v>
      </c>
      <c r="C213" s="6">
        <v>3</v>
      </c>
      <c r="D213" s="6">
        <v>3</v>
      </c>
      <c r="E213" s="6" t="s">
        <v>1107</v>
      </c>
      <c r="F213" s="6">
        <v>8.09E-2</v>
      </c>
      <c r="I213">
        <v>3.2000000000000001E-2</v>
      </c>
      <c r="J213">
        <v>1.88468525695714</v>
      </c>
      <c r="K213">
        <v>15.9837624265584</v>
      </c>
      <c r="L213">
        <v>18.015540848939899</v>
      </c>
      <c r="M213">
        <v>72.218090913415097</v>
      </c>
      <c r="N213">
        <v>2.9970023359681202</v>
      </c>
      <c r="O213">
        <v>24.276305419999101</v>
      </c>
      <c r="P213">
        <v>0</v>
      </c>
    </row>
    <row r="214" spans="1:16" ht="14.5" hidden="1" x14ac:dyDescent="0.3">
      <c r="A214" s="1" t="s">
        <v>364</v>
      </c>
      <c r="B214" s="6" t="s">
        <v>1033</v>
      </c>
      <c r="C214" s="6">
        <v>3</v>
      </c>
      <c r="D214" s="6">
        <v>3</v>
      </c>
      <c r="E214" s="6" t="s">
        <v>1107</v>
      </c>
      <c r="F214" s="6">
        <v>0.1273</v>
      </c>
      <c r="I214">
        <v>0.04</v>
      </c>
      <c r="J214">
        <v>2.16905423377177</v>
      </c>
      <c r="K214">
        <v>16.016234833268999</v>
      </c>
      <c r="L214">
        <v>18.7652704035821</v>
      </c>
      <c r="M214">
        <v>49.289427296667498</v>
      </c>
      <c r="N214">
        <v>8.9855548635966898</v>
      </c>
      <c r="O214">
        <v>28.737017638867499</v>
      </c>
      <c r="P214">
        <v>0</v>
      </c>
    </row>
    <row r="215" spans="1:16" ht="14.5" x14ac:dyDescent="0.3">
      <c r="A215" s="1" t="s">
        <v>365</v>
      </c>
      <c r="B215" s="6" t="s">
        <v>1034</v>
      </c>
      <c r="C215" s="6">
        <v>3</v>
      </c>
      <c r="D215" s="6">
        <v>1</v>
      </c>
      <c r="E215" s="6" t="s">
        <v>1107</v>
      </c>
      <c r="F215" s="6">
        <v>8.7300000000000003E-2</v>
      </c>
      <c r="H215" s="1">
        <v>6</v>
      </c>
      <c r="I215">
        <v>3.2000000000000001E-2</v>
      </c>
      <c r="J215">
        <v>1.8121425554652699</v>
      </c>
      <c r="K215">
        <v>17.3614988577189</v>
      </c>
      <c r="L215">
        <v>17.758627641635801</v>
      </c>
      <c r="M215">
        <v>56.017966663997697</v>
      </c>
      <c r="N215">
        <v>6.0810870865270399</v>
      </c>
      <c r="O215">
        <v>32.071069276523602</v>
      </c>
      <c r="P215">
        <v>0</v>
      </c>
    </row>
    <row r="216" spans="1:16" ht="14.5" x14ac:dyDescent="0.3">
      <c r="A216" s="1" t="s">
        <v>366</v>
      </c>
      <c r="B216" s="6" t="s">
        <v>1034</v>
      </c>
      <c r="C216" s="6">
        <v>3</v>
      </c>
      <c r="D216" s="6">
        <v>1</v>
      </c>
      <c r="E216" s="6" t="s">
        <v>1107</v>
      </c>
      <c r="F216" s="6">
        <v>0.1011</v>
      </c>
      <c r="H216" s="1">
        <v>6</v>
      </c>
      <c r="I216">
        <v>3.2000000000000001E-2</v>
      </c>
      <c r="J216">
        <v>2.3739054807043898</v>
      </c>
      <c r="K216">
        <v>15.375083391288999</v>
      </c>
      <c r="L216">
        <v>21.288617069345499</v>
      </c>
      <c r="M216">
        <v>73.056625570146196</v>
      </c>
      <c r="N216">
        <v>15.9440166298539</v>
      </c>
      <c r="O216">
        <v>43.9307913447633</v>
      </c>
      <c r="P216">
        <v>0</v>
      </c>
    </row>
    <row r="217" spans="1:16" ht="14.5" x14ac:dyDescent="0.3">
      <c r="A217" s="1" t="s">
        <v>367</v>
      </c>
      <c r="B217" s="6" t="s">
        <v>1034</v>
      </c>
      <c r="C217" s="6">
        <v>3</v>
      </c>
      <c r="D217" s="6">
        <v>1</v>
      </c>
      <c r="E217" s="6" t="s">
        <v>1107</v>
      </c>
      <c r="F217" s="6">
        <v>0.12470000000000001</v>
      </c>
      <c r="H217" s="1">
        <v>6</v>
      </c>
      <c r="I217">
        <v>0.04</v>
      </c>
      <c r="J217">
        <v>2.1158778346875202</v>
      </c>
      <c r="K217">
        <v>18.582848947185798</v>
      </c>
      <c r="L217">
        <v>19.2213913362956</v>
      </c>
      <c r="M217">
        <v>60.510113621806497</v>
      </c>
      <c r="N217">
        <v>13.9482705683238</v>
      </c>
      <c r="O217">
        <v>42.909752405220701</v>
      </c>
      <c r="P217">
        <v>0</v>
      </c>
    </row>
    <row r="218" spans="1:16" ht="14.5" x14ac:dyDescent="0.3">
      <c r="A218" s="1" t="s">
        <v>368</v>
      </c>
      <c r="B218" s="6" t="s">
        <v>1034</v>
      </c>
      <c r="C218" s="6">
        <v>3</v>
      </c>
      <c r="D218" s="6">
        <v>2</v>
      </c>
      <c r="E218" s="6" t="s">
        <v>1107</v>
      </c>
      <c r="F218" s="6">
        <v>4.8000000000000001E-2</v>
      </c>
      <c r="H218" s="1">
        <v>6</v>
      </c>
      <c r="I218">
        <v>3.2000000000000001E-2</v>
      </c>
      <c r="J218">
        <v>1.1012261285180001</v>
      </c>
      <c r="K218">
        <v>17.1065952937278</v>
      </c>
      <c r="L218">
        <v>23.262833269964201</v>
      </c>
      <c r="M218">
        <v>143.92574526518601</v>
      </c>
      <c r="N218">
        <v>6.1076892049679303</v>
      </c>
      <c r="O218">
        <v>53.9204989668049</v>
      </c>
      <c r="P218">
        <v>0</v>
      </c>
    </row>
    <row r="219" spans="1:16" ht="14.5" x14ac:dyDescent="0.3">
      <c r="A219" s="1" t="s">
        <v>369</v>
      </c>
      <c r="B219" s="6" t="s">
        <v>1034</v>
      </c>
      <c r="C219" s="6">
        <v>3</v>
      </c>
      <c r="D219" s="6">
        <v>2</v>
      </c>
      <c r="E219" s="6" t="s">
        <v>1107</v>
      </c>
      <c r="F219" s="6">
        <v>6.9599999999999995E-2</v>
      </c>
      <c r="H219" s="1">
        <v>6</v>
      </c>
      <c r="I219">
        <v>3.2000000000000001E-2</v>
      </c>
      <c r="J219">
        <v>1.7877883851086001</v>
      </c>
      <c r="K219">
        <v>8.6260940087051399</v>
      </c>
      <c r="L219">
        <v>13.4932881053589</v>
      </c>
      <c r="M219">
        <v>40.326969982963298</v>
      </c>
      <c r="N219">
        <v>5.8482855119251296</v>
      </c>
      <c r="O219">
        <v>23.862382874928699</v>
      </c>
      <c r="P219">
        <v>0</v>
      </c>
    </row>
    <row r="220" spans="1:16" ht="14.5" x14ac:dyDescent="0.3">
      <c r="A220" s="1" t="s">
        <v>370</v>
      </c>
      <c r="B220" s="6" t="s">
        <v>1034</v>
      </c>
      <c r="C220" s="6">
        <v>3</v>
      </c>
      <c r="D220" s="6">
        <v>2</v>
      </c>
      <c r="E220" s="6" t="s">
        <v>1107</v>
      </c>
      <c r="F220" s="6">
        <v>0.104</v>
      </c>
      <c r="H220" s="1">
        <v>6</v>
      </c>
      <c r="I220">
        <v>3.2000000000000001E-2</v>
      </c>
      <c r="J220">
        <v>3.2686039658645099</v>
      </c>
      <c r="K220">
        <v>24.029176010348898</v>
      </c>
      <c r="L220">
        <v>19.6561930151898</v>
      </c>
      <c r="M220">
        <v>73.870990976605896</v>
      </c>
      <c r="N220">
        <v>14.086271926361601</v>
      </c>
      <c r="O220">
        <v>45.8714263663121</v>
      </c>
      <c r="P220">
        <v>0</v>
      </c>
    </row>
    <row r="221" spans="1:16" ht="14.5" x14ac:dyDescent="0.3">
      <c r="A221" s="1" t="s">
        <v>371</v>
      </c>
      <c r="B221" s="6" t="s">
        <v>1034</v>
      </c>
      <c r="C221" s="6">
        <v>3</v>
      </c>
      <c r="D221" s="6">
        <v>3</v>
      </c>
      <c r="E221" s="6" t="s">
        <v>1107</v>
      </c>
      <c r="F221" s="6">
        <v>0.05</v>
      </c>
      <c r="H221" s="1">
        <v>6.1166666666666663</v>
      </c>
      <c r="I221">
        <v>3.2000000000000001E-2</v>
      </c>
      <c r="J221">
        <v>1.68007274693454</v>
      </c>
      <c r="K221">
        <v>15.602668762405401</v>
      </c>
      <c r="L221">
        <v>17.60384917511</v>
      </c>
      <c r="M221">
        <v>76.232645177119593</v>
      </c>
      <c r="N221">
        <v>6.68197405418075</v>
      </c>
      <c r="O221">
        <v>29.296931000314199</v>
      </c>
      <c r="P221">
        <v>0</v>
      </c>
    </row>
    <row r="222" spans="1:16" ht="14.5" x14ac:dyDescent="0.3">
      <c r="A222" s="1" t="s">
        <v>372</v>
      </c>
      <c r="B222" s="6" t="s">
        <v>1034</v>
      </c>
      <c r="C222" s="6">
        <v>3</v>
      </c>
      <c r="D222" s="6">
        <v>3</v>
      </c>
      <c r="E222" s="6" t="s">
        <v>1107</v>
      </c>
      <c r="F222" s="6">
        <v>0.1075</v>
      </c>
      <c r="H222" s="1">
        <v>6.1166666666666663</v>
      </c>
      <c r="I222">
        <v>3.2000000000000001E-2</v>
      </c>
      <c r="J222">
        <v>2.3152149039186201</v>
      </c>
      <c r="K222">
        <v>16.010147505189199</v>
      </c>
      <c r="L222">
        <v>20.709115149094899</v>
      </c>
      <c r="M222">
        <v>70.766914780246097</v>
      </c>
      <c r="N222">
        <v>9.6259503498939996</v>
      </c>
      <c r="O222">
        <v>40.548723533448701</v>
      </c>
      <c r="P222">
        <v>0</v>
      </c>
    </row>
    <row r="223" spans="1:16" ht="14.5" x14ac:dyDescent="0.3">
      <c r="A223" s="1" t="s">
        <v>373</v>
      </c>
      <c r="B223" s="6" t="s">
        <v>1034</v>
      </c>
      <c r="C223" s="6">
        <v>3</v>
      </c>
      <c r="D223" s="6">
        <v>3</v>
      </c>
      <c r="E223" s="6" t="s">
        <v>1107</v>
      </c>
      <c r="F223" s="6">
        <v>7.5300000000000006E-2</v>
      </c>
      <c r="H223" s="1">
        <v>6.1166666666666663</v>
      </c>
      <c r="I223">
        <v>3.2000000000000001E-2</v>
      </c>
      <c r="J223">
        <v>1.8200090254008701</v>
      </c>
      <c r="K223">
        <v>18.0684256344339</v>
      </c>
      <c r="L223">
        <v>15.116542470472901</v>
      </c>
      <c r="M223">
        <v>59.1611234452361</v>
      </c>
      <c r="N223">
        <v>4.2151885630689696</v>
      </c>
      <c r="O223">
        <v>40.560360456530901</v>
      </c>
      <c r="P223">
        <v>0</v>
      </c>
    </row>
    <row r="224" spans="1:16" ht="14.5" x14ac:dyDescent="0.3">
      <c r="A224" s="1" t="s">
        <v>374</v>
      </c>
      <c r="B224" s="6" t="s">
        <v>1034</v>
      </c>
      <c r="C224" s="6">
        <v>3</v>
      </c>
      <c r="D224" s="6">
        <v>4</v>
      </c>
      <c r="E224" s="6" t="s">
        <v>1107</v>
      </c>
      <c r="F224" s="6">
        <v>6.9400000000000003E-2</v>
      </c>
      <c r="H224" s="1">
        <v>6.1166666666666663</v>
      </c>
      <c r="I224">
        <v>3.2000000000000001E-2</v>
      </c>
      <c r="J224">
        <v>1.6753936642923699</v>
      </c>
      <c r="K224">
        <v>18.441875423166199</v>
      </c>
      <c r="L224">
        <v>17.303409542281301</v>
      </c>
      <c r="M224">
        <v>81.937555264771504</v>
      </c>
      <c r="N224">
        <v>8.6645732816197896</v>
      </c>
      <c r="O224">
        <v>51.8987423144264</v>
      </c>
      <c r="P224">
        <v>0</v>
      </c>
    </row>
    <row r="225" spans="1:16" ht="14.5" x14ac:dyDescent="0.3">
      <c r="A225" s="1" t="s">
        <v>375</v>
      </c>
      <c r="B225" s="6" t="s">
        <v>1034</v>
      </c>
      <c r="C225" s="6">
        <v>3</v>
      </c>
      <c r="D225" s="6">
        <v>4</v>
      </c>
      <c r="E225" s="6" t="s">
        <v>1107</v>
      </c>
      <c r="F225" s="6">
        <v>6.5000000000000002E-2</v>
      </c>
      <c r="H225" s="1">
        <v>6.1166666666666663</v>
      </c>
      <c r="I225">
        <v>3.2000000000000001E-2</v>
      </c>
      <c r="J225">
        <v>1.0965064362600001</v>
      </c>
      <c r="K225">
        <v>14.5070973565138</v>
      </c>
      <c r="L225">
        <v>16.084684788553901</v>
      </c>
      <c r="M225">
        <v>71.433580492619399</v>
      </c>
      <c r="N225">
        <v>13.4874957970881</v>
      </c>
      <c r="O225">
        <v>47.265588809811902</v>
      </c>
      <c r="P225">
        <v>0</v>
      </c>
    </row>
    <row r="226" spans="1:16" ht="14.5" x14ac:dyDescent="0.3">
      <c r="A226" s="1" t="s">
        <v>376</v>
      </c>
      <c r="B226" s="6" t="s">
        <v>1034</v>
      </c>
      <c r="C226" s="6">
        <v>3</v>
      </c>
      <c r="D226" s="6">
        <v>4</v>
      </c>
      <c r="E226" s="6" t="s">
        <v>1107</v>
      </c>
      <c r="F226" s="6">
        <v>5.7299999999999997E-2</v>
      </c>
      <c r="H226" s="1">
        <v>6.1166666666666663</v>
      </c>
      <c r="I226">
        <v>3.2000000000000001E-2</v>
      </c>
      <c r="J226">
        <v>1.4144678419930901</v>
      </c>
      <c r="K226">
        <v>12.912930800162901</v>
      </c>
      <c r="L226">
        <v>9.8912049265385509</v>
      </c>
      <c r="M226">
        <v>36.556960704200002</v>
      </c>
      <c r="N226">
        <v>8.5730818142637002</v>
      </c>
      <c r="O226">
        <v>36.712132402785699</v>
      </c>
      <c r="P226">
        <v>0</v>
      </c>
    </row>
    <row r="227" spans="1:16" ht="14.5" hidden="1" x14ac:dyDescent="0.3">
      <c r="A227" s="1" t="s">
        <v>377</v>
      </c>
      <c r="B227" s="6" t="s">
        <v>1033</v>
      </c>
      <c r="C227" s="6">
        <v>3</v>
      </c>
      <c r="D227" s="6">
        <v>1</v>
      </c>
      <c r="E227" s="6" t="s">
        <v>1108</v>
      </c>
      <c r="F227" s="6">
        <v>6.6600000000000006E-2</v>
      </c>
      <c r="I227">
        <v>3.2000000000000001E-2</v>
      </c>
      <c r="J227">
        <v>2.5143714500399201</v>
      </c>
      <c r="K227">
        <v>18.5800927619151</v>
      </c>
      <c r="L227">
        <v>15.1538560411591</v>
      </c>
      <c r="M227">
        <v>68.335865227955196</v>
      </c>
      <c r="N227">
        <v>9.5364960711502604</v>
      </c>
      <c r="O227">
        <v>31.728634667414699</v>
      </c>
      <c r="P227">
        <v>0</v>
      </c>
    </row>
    <row r="228" spans="1:16" ht="14.5" hidden="1" x14ac:dyDescent="0.3">
      <c r="A228" s="1" t="s">
        <v>378</v>
      </c>
      <c r="B228" s="6" t="s">
        <v>1033</v>
      </c>
      <c r="C228" s="6">
        <v>3</v>
      </c>
      <c r="D228" s="6">
        <v>1</v>
      </c>
      <c r="E228" s="6" t="s">
        <v>1108</v>
      </c>
      <c r="F228" s="6">
        <v>7.2700000000000001E-2</v>
      </c>
      <c r="I228">
        <v>3.2000000000000001E-2</v>
      </c>
      <c r="J228">
        <v>1.3229679286142799</v>
      </c>
      <c r="K228">
        <v>17.210461716090698</v>
      </c>
      <c r="L228">
        <v>14.049999150782501</v>
      </c>
      <c r="M228">
        <v>47.818370620859199</v>
      </c>
      <c r="N228">
        <v>6.4489121916461896</v>
      </c>
      <c r="O228">
        <v>41.619899349778201</v>
      </c>
      <c r="P228">
        <v>0</v>
      </c>
    </row>
    <row r="229" spans="1:16" ht="14.5" hidden="1" x14ac:dyDescent="0.3">
      <c r="A229" s="1" t="s">
        <v>379</v>
      </c>
      <c r="B229" s="6" t="s">
        <v>1033</v>
      </c>
      <c r="C229" s="6">
        <v>3</v>
      </c>
      <c r="D229" s="6">
        <v>1</v>
      </c>
      <c r="E229" s="6" t="s">
        <v>1108</v>
      </c>
      <c r="F229" s="6">
        <v>7.0699999999999999E-2</v>
      </c>
      <c r="I229">
        <v>3.2000000000000001E-2</v>
      </c>
      <c r="J229">
        <v>0.99629426363537099</v>
      </c>
      <c r="K229">
        <v>11.066082019494299</v>
      </c>
      <c r="L229">
        <v>9.3255653389757605</v>
      </c>
      <c r="M229">
        <v>32.325700421901303</v>
      </c>
      <c r="N229">
        <v>5.1076303109544003</v>
      </c>
      <c r="O229">
        <v>32.385140817812001</v>
      </c>
      <c r="P229">
        <v>0</v>
      </c>
    </row>
    <row r="230" spans="1:16" ht="14.5" hidden="1" x14ac:dyDescent="0.3">
      <c r="A230" s="1" t="s">
        <v>380</v>
      </c>
      <c r="B230" s="6" t="s">
        <v>1033</v>
      </c>
      <c r="C230" s="6">
        <v>3</v>
      </c>
      <c r="D230" s="6">
        <v>2</v>
      </c>
      <c r="E230" s="6" t="s">
        <v>1108</v>
      </c>
      <c r="F230" s="6">
        <v>0.12529999999999999</v>
      </c>
      <c r="I230">
        <v>0.04</v>
      </c>
      <c r="J230">
        <v>1.4432246553608099</v>
      </c>
      <c r="K230">
        <v>12.189733441408</v>
      </c>
      <c r="L230">
        <v>25.007858567788801</v>
      </c>
      <c r="M230">
        <v>76.6430881468645</v>
      </c>
      <c r="N230">
        <v>7.5160512163987896</v>
      </c>
      <c r="O230">
        <v>24.6116436471859</v>
      </c>
      <c r="P230">
        <v>0</v>
      </c>
    </row>
    <row r="231" spans="1:16" ht="14.5" hidden="1" x14ac:dyDescent="0.3">
      <c r="A231" s="1" t="s">
        <v>381</v>
      </c>
      <c r="B231" s="6" t="s">
        <v>1033</v>
      </c>
      <c r="C231" s="6">
        <v>3</v>
      </c>
      <c r="D231" s="6">
        <v>2</v>
      </c>
      <c r="E231" s="6" t="s">
        <v>1108</v>
      </c>
      <c r="F231" s="6">
        <v>6.3500000000000001E-2</v>
      </c>
      <c r="I231">
        <v>3.2000000000000001E-2</v>
      </c>
      <c r="J231">
        <v>1.1759710221995701</v>
      </c>
      <c r="K231">
        <v>11.798158698430999</v>
      </c>
      <c r="L231">
        <v>14.0589280484183</v>
      </c>
      <c r="M231">
        <v>57.964185862516501</v>
      </c>
      <c r="N231">
        <v>6.3270575722883597</v>
      </c>
      <c r="O231">
        <v>44.7292285287525</v>
      </c>
      <c r="P231">
        <v>0</v>
      </c>
    </row>
    <row r="232" spans="1:16" ht="14.5" hidden="1" x14ac:dyDescent="0.3">
      <c r="A232" s="1" t="s">
        <v>382</v>
      </c>
      <c r="B232" s="6" t="s">
        <v>1033</v>
      </c>
      <c r="C232" s="6">
        <v>3</v>
      </c>
      <c r="D232" s="6">
        <v>2</v>
      </c>
      <c r="E232" s="6" t="s">
        <v>1108</v>
      </c>
      <c r="F232" s="6">
        <v>7.0099999999999996E-2</v>
      </c>
      <c r="I232">
        <v>3.2000000000000001E-2</v>
      </c>
      <c r="J232">
        <v>1.28153389474464</v>
      </c>
      <c r="K232">
        <v>12.5744661242994</v>
      </c>
      <c r="L232">
        <v>12.549523706831</v>
      </c>
      <c r="M232">
        <v>46.269403277925903</v>
      </c>
      <c r="N232">
        <v>5.78904676453819</v>
      </c>
      <c r="O232">
        <v>26.529197594465401</v>
      </c>
      <c r="P232">
        <v>0</v>
      </c>
    </row>
    <row r="233" spans="1:16" ht="14.5" hidden="1" x14ac:dyDescent="0.3">
      <c r="A233" s="1" t="s">
        <v>383</v>
      </c>
      <c r="B233" s="6" t="s">
        <v>1033</v>
      </c>
      <c r="C233" s="6">
        <v>3</v>
      </c>
      <c r="D233" s="6">
        <v>3</v>
      </c>
      <c r="E233" s="6" t="s">
        <v>1108</v>
      </c>
      <c r="F233" s="6">
        <v>0.1111</v>
      </c>
      <c r="I233">
        <v>3.2000000000000001E-2</v>
      </c>
      <c r="J233">
        <v>2.1351198540160601</v>
      </c>
      <c r="K233">
        <v>20.781423972522401</v>
      </c>
      <c r="L233">
        <v>27.049714048307798</v>
      </c>
      <c r="M233">
        <v>119.02854963599199</v>
      </c>
      <c r="N233">
        <v>6.9612665315832096</v>
      </c>
      <c r="O233">
        <v>62.354085228002397</v>
      </c>
      <c r="P233">
        <v>0</v>
      </c>
    </row>
    <row r="234" spans="1:16" ht="14.5" hidden="1" x14ac:dyDescent="0.3">
      <c r="A234" s="1" t="s">
        <v>384</v>
      </c>
      <c r="B234" s="6" t="s">
        <v>1033</v>
      </c>
      <c r="C234" s="6">
        <v>3</v>
      </c>
      <c r="D234" s="6">
        <v>3</v>
      </c>
      <c r="E234" s="6" t="s">
        <v>1108</v>
      </c>
      <c r="F234" s="6">
        <v>8.5199999999999998E-2</v>
      </c>
      <c r="I234">
        <v>3.2000000000000001E-2</v>
      </c>
      <c r="J234">
        <v>1.2700133658975301</v>
      </c>
      <c r="K234">
        <v>11.8995824080106</v>
      </c>
      <c r="L234">
        <v>12.6383225691783</v>
      </c>
      <c r="M234">
        <v>36.877887663989902</v>
      </c>
      <c r="N234">
        <v>6.2755574409540102</v>
      </c>
      <c r="O234">
        <v>28.6540518480979</v>
      </c>
      <c r="P234">
        <v>0</v>
      </c>
    </row>
    <row r="235" spans="1:16" ht="14.5" hidden="1" x14ac:dyDescent="0.3">
      <c r="A235" s="1" t="s">
        <v>385</v>
      </c>
      <c r="B235" s="6" t="s">
        <v>1033</v>
      </c>
      <c r="C235" s="6">
        <v>3</v>
      </c>
      <c r="D235" s="6">
        <v>3</v>
      </c>
      <c r="E235" s="6" t="s">
        <v>1108</v>
      </c>
      <c r="F235" s="6">
        <v>5.3900000000000003E-2</v>
      </c>
      <c r="I235">
        <v>3.2000000000000001E-2</v>
      </c>
      <c r="J235">
        <v>1.1924783955857099</v>
      </c>
      <c r="K235">
        <v>15.8785807099456</v>
      </c>
      <c r="L235">
        <v>14.842102923614901</v>
      </c>
      <c r="M235">
        <v>74.749444739727906</v>
      </c>
      <c r="N235">
        <v>4.9500758810448504</v>
      </c>
      <c r="O235">
        <v>29.7203940394919</v>
      </c>
      <c r="P235">
        <v>0</v>
      </c>
    </row>
    <row r="236" spans="1:16" ht="14.5" hidden="1" x14ac:dyDescent="0.3">
      <c r="A236" s="1" t="s">
        <v>386</v>
      </c>
      <c r="B236" s="6" t="s">
        <v>1035</v>
      </c>
      <c r="C236" s="6">
        <v>3</v>
      </c>
      <c r="D236" s="6">
        <v>1</v>
      </c>
      <c r="E236" s="6" t="s">
        <v>1108</v>
      </c>
      <c r="F236" s="6">
        <v>0.1033</v>
      </c>
      <c r="H236" s="1">
        <v>23.866666666666667</v>
      </c>
      <c r="I236">
        <v>3.2000000000000001E-2</v>
      </c>
      <c r="J236">
        <v>1.80491342501289</v>
      </c>
      <c r="K236">
        <v>13.5977852035388</v>
      </c>
      <c r="L236">
        <v>17.043144058399498</v>
      </c>
      <c r="M236">
        <v>46.177737587661099</v>
      </c>
      <c r="N236">
        <v>10.7828333782375</v>
      </c>
      <c r="O236">
        <v>24.843559364142202</v>
      </c>
      <c r="P236">
        <v>0</v>
      </c>
    </row>
    <row r="237" spans="1:16" ht="14.5" hidden="1" x14ac:dyDescent="0.3">
      <c r="A237" s="1" t="s">
        <v>387</v>
      </c>
      <c r="B237" s="6" t="s">
        <v>1035</v>
      </c>
      <c r="C237" s="6">
        <v>3</v>
      </c>
      <c r="D237" s="6">
        <v>1</v>
      </c>
      <c r="E237" s="6" t="s">
        <v>1108</v>
      </c>
      <c r="F237" s="6">
        <v>0.1177</v>
      </c>
      <c r="H237" s="1">
        <v>23.866666666666667</v>
      </c>
      <c r="I237">
        <v>3.2000000000000001E-2</v>
      </c>
      <c r="J237">
        <v>2.8798811635555501</v>
      </c>
      <c r="K237">
        <v>36.507245748699198</v>
      </c>
      <c r="L237">
        <v>23.514080164091499</v>
      </c>
      <c r="M237">
        <v>89.582485690141993</v>
      </c>
      <c r="N237">
        <v>13.7045644294928</v>
      </c>
      <c r="O237">
        <v>69.528466582464901</v>
      </c>
      <c r="P237">
        <v>0</v>
      </c>
    </row>
    <row r="238" spans="1:16" ht="14.5" hidden="1" x14ac:dyDescent="0.3">
      <c r="A238" s="1" t="s">
        <v>388</v>
      </c>
      <c r="B238" s="6" t="s">
        <v>1035</v>
      </c>
      <c r="C238" s="6">
        <v>3</v>
      </c>
      <c r="D238" s="6">
        <v>1</v>
      </c>
      <c r="E238" s="6" t="s">
        <v>1108</v>
      </c>
      <c r="F238" s="6">
        <v>0.10340000000000001</v>
      </c>
      <c r="H238" s="1">
        <v>23.866666666666667</v>
      </c>
      <c r="I238">
        <v>3.2000000000000001E-2</v>
      </c>
      <c r="J238">
        <v>1.6001214727818001</v>
      </c>
      <c r="K238">
        <v>14.3480227040488</v>
      </c>
      <c r="L238">
        <v>16.768586184684001</v>
      </c>
      <c r="M238">
        <v>42.122181795902897</v>
      </c>
      <c r="N238">
        <v>14.594206030947699</v>
      </c>
      <c r="O238">
        <v>42.501188884384</v>
      </c>
      <c r="P238">
        <v>0</v>
      </c>
    </row>
    <row r="239" spans="1:16" ht="14.5" hidden="1" x14ac:dyDescent="0.3">
      <c r="A239" s="1" t="s">
        <v>389</v>
      </c>
      <c r="B239" s="6" t="s">
        <v>1035</v>
      </c>
      <c r="C239" s="6">
        <v>3</v>
      </c>
      <c r="D239" s="6">
        <v>1</v>
      </c>
      <c r="E239" s="6" t="s">
        <v>1108</v>
      </c>
      <c r="F239" s="6">
        <v>9.06E-2</v>
      </c>
      <c r="H239" s="1">
        <v>23.866666666666667</v>
      </c>
      <c r="I239">
        <v>3.2000000000000001E-2</v>
      </c>
      <c r="J239">
        <v>2.0628491633081798</v>
      </c>
      <c r="K239">
        <v>15.369747193297099</v>
      </c>
      <c r="L239">
        <v>15.0947770837947</v>
      </c>
      <c r="M239">
        <v>47.383172376809199</v>
      </c>
      <c r="N239">
        <v>8.4730733521705108</v>
      </c>
      <c r="O239">
        <v>24.855586674582401</v>
      </c>
      <c r="P239">
        <v>0</v>
      </c>
    </row>
    <row r="240" spans="1:16" ht="14.5" hidden="1" x14ac:dyDescent="0.3">
      <c r="A240" s="1" t="s">
        <v>390</v>
      </c>
      <c r="B240" s="6" t="s">
        <v>1035</v>
      </c>
      <c r="C240" s="6">
        <v>3</v>
      </c>
      <c r="D240" s="6">
        <v>2</v>
      </c>
      <c r="E240" s="6" t="s">
        <v>1108</v>
      </c>
      <c r="F240" s="6">
        <v>8.1299999999999997E-2</v>
      </c>
      <c r="H240" s="1">
        <v>23.916666666666668</v>
      </c>
      <c r="I240">
        <v>3.2000000000000001E-2</v>
      </c>
      <c r="J240">
        <v>2.0650680736971898</v>
      </c>
      <c r="K240">
        <v>20.7987406832038</v>
      </c>
      <c r="L240">
        <v>16.6999480181106</v>
      </c>
      <c r="M240">
        <v>58.038959819795799</v>
      </c>
      <c r="N240">
        <v>5.5980343594521003</v>
      </c>
      <c r="O240">
        <v>39.215506336828497</v>
      </c>
      <c r="P240">
        <v>0</v>
      </c>
    </row>
    <row r="241" spans="1:16" ht="14.5" hidden="1" x14ac:dyDescent="0.3">
      <c r="A241" s="1" t="s">
        <v>391</v>
      </c>
      <c r="B241" s="6" t="s">
        <v>1035</v>
      </c>
      <c r="C241" s="6">
        <v>3</v>
      </c>
      <c r="D241" s="6">
        <v>2</v>
      </c>
      <c r="E241" s="6" t="s">
        <v>1108</v>
      </c>
      <c r="F241" s="6">
        <v>9.4100000000000003E-2</v>
      </c>
      <c r="H241" s="1">
        <v>23.916666666666668</v>
      </c>
      <c r="I241">
        <v>3.2000000000000001E-2</v>
      </c>
      <c r="J241">
        <v>2.1869810807643102</v>
      </c>
      <c r="K241">
        <v>22.774467269408898</v>
      </c>
      <c r="L241">
        <v>23.779600432527001</v>
      </c>
      <c r="M241">
        <v>93.3749266371224</v>
      </c>
      <c r="N241">
        <v>6.6246012598958703</v>
      </c>
      <c r="O241">
        <v>46.0087276430014</v>
      </c>
      <c r="P241">
        <v>0</v>
      </c>
    </row>
    <row r="242" spans="1:16" ht="14.5" hidden="1" x14ac:dyDescent="0.3">
      <c r="A242" s="1" t="s">
        <v>392</v>
      </c>
      <c r="B242" s="6" t="s">
        <v>1035</v>
      </c>
      <c r="C242" s="6">
        <v>3</v>
      </c>
      <c r="D242" s="6">
        <v>2</v>
      </c>
      <c r="E242" s="6" t="s">
        <v>1108</v>
      </c>
      <c r="F242" s="6">
        <v>6.8699999999999997E-2</v>
      </c>
      <c r="H242" s="1">
        <v>23.916666666666668</v>
      </c>
      <c r="I242">
        <v>3.2000000000000001E-2</v>
      </c>
      <c r="J242">
        <v>1.5591176816290899</v>
      </c>
      <c r="K242">
        <v>12.129875973929</v>
      </c>
      <c r="L242">
        <v>31.143483265881098</v>
      </c>
      <c r="M242">
        <v>71.111915929183397</v>
      </c>
      <c r="N242">
        <v>5.8476635657179701</v>
      </c>
      <c r="O242">
        <v>21.934814929922801</v>
      </c>
      <c r="P242">
        <v>0</v>
      </c>
    </row>
    <row r="243" spans="1:16" ht="14.5" hidden="1" x14ac:dyDescent="0.3">
      <c r="A243" s="1" t="s">
        <v>393</v>
      </c>
      <c r="B243" s="6" t="s">
        <v>1035</v>
      </c>
      <c r="C243" s="6">
        <v>3</v>
      </c>
      <c r="D243" s="6">
        <v>2</v>
      </c>
      <c r="E243" s="6" t="s">
        <v>1108</v>
      </c>
      <c r="F243" s="6">
        <v>0.1042</v>
      </c>
      <c r="H243" s="1">
        <v>23.916666666666668</v>
      </c>
      <c r="I243">
        <v>3.2000000000000001E-2</v>
      </c>
      <c r="J243">
        <v>2.0340905689900599</v>
      </c>
      <c r="K243">
        <v>17.907842008273899</v>
      </c>
      <c r="L243">
        <v>18.3978339811895</v>
      </c>
      <c r="M243">
        <v>61.457958451077999</v>
      </c>
      <c r="N243">
        <v>7.8851871397134898</v>
      </c>
      <c r="O243">
        <v>32.9906807057897</v>
      </c>
      <c r="P243">
        <v>0</v>
      </c>
    </row>
    <row r="244" spans="1:16" ht="14.5" hidden="1" x14ac:dyDescent="0.3">
      <c r="A244" s="1" t="s">
        <v>394</v>
      </c>
      <c r="B244" s="6" t="s">
        <v>1035</v>
      </c>
      <c r="C244" s="6">
        <v>3</v>
      </c>
      <c r="D244" s="6">
        <v>3</v>
      </c>
      <c r="E244" s="6" t="s">
        <v>1108</v>
      </c>
      <c r="F244" s="6">
        <v>8.3400000000000002E-2</v>
      </c>
      <c r="H244" s="1">
        <v>23.95</v>
      </c>
      <c r="I244">
        <v>3.2000000000000001E-2</v>
      </c>
      <c r="J244">
        <v>1.9295821591609099</v>
      </c>
      <c r="K244">
        <v>13.3971987910859</v>
      </c>
      <c r="L244">
        <v>13.0655830393681</v>
      </c>
      <c r="M244">
        <v>33.291403072779403</v>
      </c>
      <c r="N244">
        <v>6.3339442542236197</v>
      </c>
      <c r="O244">
        <v>17.319259901365999</v>
      </c>
      <c r="P244">
        <v>0</v>
      </c>
    </row>
    <row r="245" spans="1:16" ht="14.5" hidden="1" x14ac:dyDescent="0.3">
      <c r="A245" s="1" t="s">
        <v>395</v>
      </c>
      <c r="B245" s="6" t="s">
        <v>1035</v>
      </c>
      <c r="C245" s="6">
        <v>3</v>
      </c>
      <c r="D245" s="6">
        <v>3</v>
      </c>
      <c r="E245" s="6" t="s">
        <v>1108</v>
      </c>
      <c r="F245" s="6">
        <v>7.8799999999999995E-2</v>
      </c>
      <c r="H245" s="1">
        <v>23.95</v>
      </c>
      <c r="I245">
        <v>3.2000000000000001E-2</v>
      </c>
      <c r="J245">
        <v>1.6445787776491601</v>
      </c>
      <c r="K245">
        <v>15.268749090069701</v>
      </c>
      <c r="L245">
        <v>14.423212629577</v>
      </c>
      <c r="M245">
        <v>49.655478394714898</v>
      </c>
      <c r="N245">
        <v>7.5397055971551996</v>
      </c>
      <c r="O245">
        <v>42.730606235928597</v>
      </c>
      <c r="P245">
        <v>0</v>
      </c>
    </row>
    <row r="246" spans="1:16" ht="14.5" hidden="1" x14ac:dyDescent="0.3">
      <c r="A246" s="1" t="s">
        <v>396</v>
      </c>
      <c r="B246" s="6" t="s">
        <v>1035</v>
      </c>
      <c r="C246" s="6">
        <v>3</v>
      </c>
      <c r="D246" s="6">
        <v>3</v>
      </c>
      <c r="E246" s="6" t="s">
        <v>1108</v>
      </c>
      <c r="F246" s="6">
        <v>8.9399999999999993E-2</v>
      </c>
      <c r="H246" s="1">
        <v>23.95</v>
      </c>
      <c r="I246">
        <v>3.2000000000000001E-2</v>
      </c>
      <c r="J246">
        <v>2.4232382840106901</v>
      </c>
      <c r="K246">
        <v>17.709255754923401</v>
      </c>
      <c r="L246">
        <v>17.2020362390139</v>
      </c>
      <c r="M246">
        <v>47.570928361081599</v>
      </c>
      <c r="N246">
        <v>10.4817566524749</v>
      </c>
      <c r="O246">
        <v>30.8063542525265</v>
      </c>
      <c r="P246">
        <v>0</v>
      </c>
    </row>
    <row r="247" spans="1:16" ht="14.5" hidden="1" x14ac:dyDescent="0.3">
      <c r="A247" s="1" t="s">
        <v>397</v>
      </c>
      <c r="B247" s="6" t="s">
        <v>1035</v>
      </c>
      <c r="C247" s="6">
        <v>3</v>
      </c>
      <c r="D247" s="6">
        <v>3</v>
      </c>
      <c r="E247" s="6" t="s">
        <v>1108</v>
      </c>
      <c r="F247" s="6">
        <v>8.8999999999999996E-2</v>
      </c>
      <c r="H247" s="1">
        <v>23.95</v>
      </c>
      <c r="I247">
        <v>3.2000000000000001E-2</v>
      </c>
      <c r="J247">
        <v>1.47856800103277</v>
      </c>
      <c r="K247">
        <v>14.030068315586099</v>
      </c>
      <c r="L247">
        <v>19.224888864741398</v>
      </c>
      <c r="M247">
        <v>83.9776232410413</v>
      </c>
      <c r="N247">
        <v>8.79778557032847</v>
      </c>
      <c r="O247">
        <v>38.0570704998282</v>
      </c>
      <c r="P247">
        <v>0</v>
      </c>
    </row>
    <row r="248" spans="1:16" ht="14.5" hidden="1" x14ac:dyDescent="0.3">
      <c r="A248" s="1" t="s">
        <v>398</v>
      </c>
      <c r="B248" s="6" t="s">
        <v>1035</v>
      </c>
      <c r="C248" s="6">
        <v>3</v>
      </c>
      <c r="D248" s="6">
        <v>4</v>
      </c>
      <c r="E248" s="6" t="s">
        <v>1108</v>
      </c>
      <c r="F248" s="6">
        <v>9.8100000000000007E-2</v>
      </c>
      <c r="H248" s="1">
        <v>23.983333333333334</v>
      </c>
      <c r="I248">
        <v>3.2000000000000001E-2</v>
      </c>
      <c r="J248">
        <v>2.5908086082737198</v>
      </c>
      <c r="K248">
        <v>19.720412061527298</v>
      </c>
      <c r="L248">
        <v>13.900649915486101</v>
      </c>
      <c r="M248">
        <v>39.7589598336763</v>
      </c>
      <c r="N248">
        <v>8.5777697344113992</v>
      </c>
      <c r="O248">
        <v>34.300018107312802</v>
      </c>
      <c r="P248">
        <v>0</v>
      </c>
    </row>
    <row r="249" spans="1:16" ht="14.5" hidden="1" x14ac:dyDescent="0.3">
      <c r="A249" s="1" t="s">
        <v>399</v>
      </c>
      <c r="B249" s="6" t="s">
        <v>1035</v>
      </c>
      <c r="C249" s="6">
        <v>3</v>
      </c>
      <c r="D249" s="6">
        <v>4</v>
      </c>
      <c r="E249" s="6" t="s">
        <v>1108</v>
      </c>
      <c r="F249" s="6">
        <v>5.8200000000000002E-2</v>
      </c>
      <c r="H249" s="1">
        <v>23.983333333333334</v>
      </c>
      <c r="I249">
        <v>3.2000000000000001E-2</v>
      </c>
      <c r="J249">
        <v>0.97707674228890096</v>
      </c>
      <c r="K249">
        <v>9.7308562156337608</v>
      </c>
      <c r="L249">
        <v>11.909565072733001</v>
      </c>
      <c r="M249">
        <v>47.089865640846803</v>
      </c>
      <c r="N249">
        <v>6.2902288104373403</v>
      </c>
      <c r="O249">
        <v>28.452066708770499</v>
      </c>
      <c r="P249">
        <v>0</v>
      </c>
    </row>
    <row r="250" spans="1:16" ht="14.5" hidden="1" x14ac:dyDescent="0.3">
      <c r="A250" s="1" t="s">
        <v>400</v>
      </c>
      <c r="B250" s="6" t="s">
        <v>1035</v>
      </c>
      <c r="C250" s="6">
        <v>3</v>
      </c>
      <c r="D250" s="6">
        <v>4</v>
      </c>
      <c r="E250" s="6" t="s">
        <v>1108</v>
      </c>
      <c r="F250" s="6">
        <v>5.5199999999999999E-2</v>
      </c>
      <c r="H250" s="1">
        <v>23.983333333333334</v>
      </c>
      <c r="I250">
        <v>3.2000000000000001E-2</v>
      </c>
      <c r="J250">
        <v>1.6041980607433199</v>
      </c>
      <c r="K250">
        <v>16.367291443662801</v>
      </c>
      <c r="L250">
        <v>13.340449755827301</v>
      </c>
      <c r="M250">
        <v>55.086945581222601</v>
      </c>
      <c r="N250">
        <v>7.9243768482669301</v>
      </c>
      <c r="O250">
        <v>31.5615860326335</v>
      </c>
      <c r="P250">
        <v>0</v>
      </c>
    </row>
    <row r="251" spans="1:16" ht="14.5" hidden="1" x14ac:dyDescent="0.3">
      <c r="A251" s="1" t="s">
        <v>401</v>
      </c>
      <c r="B251" s="6" t="s">
        <v>1035</v>
      </c>
      <c r="C251" s="6">
        <v>3</v>
      </c>
      <c r="D251" s="6">
        <v>4</v>
      </c>
      <c r="E251" s="6" t="s">
        <v>1108</v>
      </c>
      <c r="F251" s="6">
        <v>8.2199999999999995E-2</v>
      </c>
      <c r="H251" s="1">
        <v>23.983333333333334</v>
      </c>
      <c r="I251">
        <v>3.2000000000000001E-2</v>
      </c>
      <c r="J251">
        <v>1.0417586890536601</v>
      </c>
      <c r="K251">
        <v>13.149271499635001</v>
      </c>
      <c r="L251">
        <v>14.0458328149404</v>
      </c>
      <c r="M251">
        <v>37.1998743840226</v>
      </c>
      <c r="N251">
        <v>8.9726605366489398</v>
      </c>
      <c r="O251">
        <v>33.525817463360099</v>
      </c>
      <c r="P251">
        <v>0</v>
      </c>
    </row>
    <row r="252" spans="1:16" ht="14.5" x14ac:dyDescent="0.3">
      <c r="A252" s="1" t="s">
        <v>402</v>
      </c>
      <c r="B252" s="6" t="s">
        <v>1034</v>
      </c>
      <c r="C252" s="6">
        <v>3</v>
      </c>
      <c r="D252" s="6">
        <v>1</v>
      </c>
      <c r="E252" s="6" t="s">
        <v>1108</v>
      </c>
      <c r="F252" s="6">
        <v>0.11990000000000001</v>
      </c>
      <c r="H252" s="1">
        <v>23.95</v>
      </c>
      <c r="I252">
        <v>3.2000000000000001E-2</v>
      </c>
      <c r="J252">
        <v>3.6195240549941898</v>
      </c>
      <c r="K252">
        <v>25.742122392927101</v>
      </c>
      <c r="L252">
        <v>31.049832319171401</v>
      </c>
      <c r="M252">
        <v>131.25944276820201</v>
      </c>
      <c r="N252">
        <v>15.6406770725083</v>
      </c>
      <c r="O252">
        <v>49.0885282608156</v>
      </c>
      <c r="P252">
        <v>0</v>
      </c>
    </row>
    <row r="253" spans="1:16" ht="14.5" x14ac:dyDescent="0.3">
      <c r="A253" s="1" t="s">
        <v>403</v>
      </c>
      <c r="B253" s="6" t="s">
        <v>1034</v>
      </c>
      <c r="C253" s="6">
        <v>3</v>
      </c>
      <c r="D253" s="6">
        <v>1</v>
      </c>
      <c r="E253" s="6" t="s">
        <v>1108</v>
      </c>
      <c r="F253" s="6">
        <v>8.9700000000000002E-2</v>
      </c>
      <c r="H253" s="1">
        <v>23.95</v>
      </c>
      <c r="I253">
        <v>3.2000000000000001E-2</v>
      </c>
      <c r="J253">
        <v>1.58234014942832</v>
      </c>
      <c r="K253">
        <v>17.219764438115799</v>
      </c>
      <c r="L253">
        <v>26.659604892755802</v>
      </c>
      <c r="M253">
        <v>68.477179807265003</v>
      </c>
      <c r="N253">
        <v>11.6543692930008</v>
      </c>
      <c r="O253">
        <v>42.372285892104998</v>
      </c>
      <c r="P253">
        <v>0</v>
      </c>
    </row>
    <row r="254" spans="1:16" ht="14.5" x14ac:dyDescent="0.3">
      <c r="A254" s="1" t="s">
        <v>404</v>
      </c>
      <c r="B254" s="6" t="s">
        <v>1034</v>
      </c>
      <c r="C254" s="6">
        <v>3</v>
      </c>
      <c r="D254" s="6">
        <v>1</v>
      </c>
      <c r="E254" s="6" t="s">
        <v>1108</v>
      </c>
      <c r="F254" s="6">
        <v>6.4399999999999999E-2</v>
      </c>
      <c r="H254" s="1">
        <v>23.95</v>
      </c>
      <c r="I254">
        <v>3.2000000000000001E-2</v>
      </c>
      <c r="J254">
        <v>1.3034791335023801</v>
      </c>
      <c r="K254">
        <v>10.415679113181699</v>
      </c>
      <c r="L254">
        <v>12.456616693601999</v>
      </c>
      <c r="M254">
        <v>37.728948877508103</v>
      </c>
      <c r="N254">
        <v>15.8948955285596</v>
      </c>
      <c r="O254">
        <v>30.435410362137599</v>
      </c>
      <c r="P254">
        <v>0</v>
      </c>
    </row>
    <row r="255" spans="1:16" ht="14.5" x14ac:dyDescent="0.3">
      <c r="A255" s="1" t="s">
        <v>405</v>
      </c>
      <c r="B255" s="6" t="s">
        <v>1034</v>
      </c>
      <c r="C255" s="6">
        <v>3</v>
      </c>
      <c r="D255" s="6">
        <v>2</v>
      </c>
      <c r="E255" s="6" t="s">
        <v>1108</v>
      </c>
      <c r="F255" s="6">
        <v>9.2999999999999999E-2</v>
      </c>
      <c r="H255" s="1">
        <v>23.95</v>
      </c>
      <c r="I255">
        <v>3.2000000000000001E-2</v>
      </c>
      <c r="J255">
        <v>1.8453863230046099</v>
      </c>
      <c r="K255">
        <v>20.530584693308299</v>
      </c>
      <c r="L255">
        <v>20.7255681458326</v>
      </c>
      <c r="M255">
        <v>91.079263902471297</v>
      </c>
      <c r="N255">
        <v>27.6118154449785</v>
      </c>
      <c r="O255">
        <v>78.941924852094402</v>
      </c>
      <c r="P255">
        <v>0</v>
      </c>
    </row>
    <row r="256" spans="1:16" ht="14.5" x14ac:dyDescent="0.3">
      <c r="A256" s="1" t="s">
        <v>406</v>
      </c>
      <c r="B256" s="6" t="s">
        <v>1034</v>
      </c>
      <c r="C256" s="6">
        <v>3</v>
      </c>
      <c r="D256" s="6">
        <v>2</v>
      </c>
      <c r="E256" s="6" t="s">
        <v>1108</v>
      </c>
      <c r="F256" s="6">
        <v>6.1699999999999998E-2</v>
      </c>
      <c r="H256" s="1">
        <v>23.95</v>
      </c>
      <c r="I256">
        <v>3.2000000000000001E-2</v>
      </c>
      <c r="J256">
        <v>1.7685766765022899</v>
      </c>
      <c r="K256">
        <v>20.464914845710599</v>
      </c>
      <c r="L256">
        <v>15.641928507939101</v>
      </c>
      <c r="M256">
        <v>80.775513510271907</v>
      </c>
      <c r="N256">
        <v>10.3540866221337</v>
      </c>
      <c r="O256">
        <v>53.349694219595698</v>
      </c>
      <c r="P256">
        <v>0</v>
      </c>
    </row>
    <row r="257" spans="1:16" ht="14.5" x14ac:dyDescent="0.3">
      <c r="A257" s="1" t="s">
        <v>407</v>
      </c>
      <c r="B257" s="6" t="s">
        <v>1034</v>
      </c>
      <c r="C257" s="6">
        <v>3</v>
      </c>
      <c r="D257" s="6">
        <v>2</v>
      </c>
      <c r="E257" s="6" t="s">
        <v>1108</v>
      </c>
      <c r="F257" s="6">
        <v>8.1000000000000003E-2</v>
      </c>
      <c r="H257" s="1">
        <v>23.95</v>
      </c>
      <c r="I257">
        <v>3.2000000000000001E-2</v>
      </c>
      <c r="J257">
        <v>1.92254563071444</v>
      </c>
      <c r="K257">
        <v>19.730527808426199</v>
      </c>
      <c r="L257">
        <v>20.252242079783201</v>
      </c>
      <c r="M257">
        <v>94.765698274719398</v>
      </c>
      <c r="N257">
        <v>21.738392568658799</v>
      </c>
      <c r="O257">
        <v>63.2181892981394</v>
      </c>
      <c r="P257">
        <v>0</v>
      </c>
    </row>
    <row r="258" spans="1:16" ht="14.5" x14ac:dyDescent="0.3">
      <c r="A258" s="1" t="s">
        <v>408</v>
      </c>
      <c r="B258" s="6" t="s">
        <v>1034</v>
      </c>
      <c r="C258" s="6">
        <v>3</v>
      </c>
      <c r="D258" s="6">
        <v>3</v>
      </c>
      <c r="E258" s="6" t="s">
        <v>1108</v>
      </c>
      <c r="F258" s="6">
        <v>9.4399999999999998E-2</v>
      </c>
      <c r="H258" s="1">
        <v>23.983333333333334</v>
      </c>
      <c r="I258">
        <v>3.2000000000000001E-2</v>
      </c>
      <c r="J258">
        <v>1.95404966237316</v>
      </c>
      <c r="K258">
        <v>13.786023264734</v>
      </c>
      <c r="L258">
        <v>19.027797715933701</v>
      </c>
      <c r="M258">
        <v>50.559219705426599</v>
      </c>
      <c r="N258">
        <v>16.1841434676478</v>
      </c>
      <c r="O258">
        <v>32.252449751062599</v>
      </c>
      <c r="P258">
        <v>0</v>
      </c>
    </row>
    <row r="259" spans="1:16" ht="14.5" x14ac:dyDescent="0.3">
      <c r="A259" s="1" t="s">
        <v>409</v>
      </c>
      <c r="B259" s="6" t="s">
        <v>1034</v>
      </c>
      <c r="C259" s="6">
        <v>3</v>
      </c>
      <c r="D259" s="6">
        <v>3</v>
      </c>
      <c r="E259" s="6" t="s">
        <v>1108</v>
      </c>
      <c r="F259" s="6">
        <v>9.98E-2</v>
      </c>
      <c r="H259" s="1">
        <v>23.983333333333334</v>
      </c>
      <c r="I259">
        <v>3.2000000000000001E-2</v>
      </c>
      <c r="J259">
        <v>1.8211256818549899</v>
      </c>
      <c r="K259">
        <v>15.6396682131703</v>
      </c>
      <c r="L259">
        <v>25.009160500008502</v>
      </c>
      <c r="M259">
        <v>83.5112688357504</v>
      </c>
      <c r="N259">
        <v>27.5211435976784</v>
      </c>
      <c r="O259">
        <v>59.560907612307297</v>
      </c>
      <c r="P259">
        <v>0</v>
      </c>
    </row>
    <row r="260" spans="1:16" ht="14.5" x14ac:dyDescent="0.3">
      <c r="A260" s="1" t="s">
        <v>410</v>
      </c>
      <c r="B260" s="6" t="s">
        <v>1034</v>
      </c>
      <c r="C260" s="6">
        <v>3</v>
      </c>
      <c r="D260" s="6">
        <v>3</v>
      </c>
      <c r="E260" s="6" t="s">
        <v>1108</v>
      </c>
      <c r="F260" s="6">
        <v>6.6299999999999998E-2</v>
      </c>
      <c r="H260" s="1">
        <v>23.983333333333334</v>
      </c>
      <c r="I260">
        <v>3.2000000000000001E-2</v>
      </c>
      <c r="J260">
        <v>1.5244530345535401</v>
      </c>
      <c r="K260">
        <v>18.1656963564816</v>
      </c>
      <c r="L260">
        <v>13.883858230928499</v>
      </c>
      <c r="M260">
        <v>49.4503951054864</v>
      </c>
      <c r="N260">
        <v>11.924436998971901</v>
      </c>
      <c r="O260">
        <v>49.592797062172998</v>
      </c>
      <c r="P260">
        <v>0</v>
      </c>
    </row>
    <row r="261" spans="1:16" ht="14.5" x14ac:dyDescent="0.3">
      <c r="A261" s="1" t="s">
        <v>411</v>
      </c>
      <c r="B261" s="6" t="s">
        <v>1034</v>
      </c>
      <c r="C261" s="6">
        <v>3</v>
      </c>
      <c r="D261" s="6">
        <v>4</v>
      </c>
      <c r="E261" s="6" t="s">
        <v>1108</v>
      </c>
      <c r="F261" s="6">
        <v>7.4700000000000003E-2</v>
      </c>
      <c r="H261" s="1">
        <v>23.983333333333334</v>
      </c>
      <c r="I261">
        <v>3.2000000000000001E-2</v>
      </c>
      <c r="J261">
        <v>1.5409111515519001</v>
      </c>
      <c r="K261">
        <v>19.921228244568201</v>
      </c>
      <c r="L261">
        <v>15.8667992686388</v>
      </c>
      <c r="M261">
        <v>65.384293861843503</v>
      </c>
      <c r="N261">
        <v>22.6681258259811</v>
      </c>
      <c r="O261">
        <v>64.665723112157295</v>
      </c>
      <c r="P261">
        <v>0</v>
      </c>
    </row>
    <row r="262" spans="1:16" ht="14.5" x14ac:dyDescent="0.3">
      <c r="A262" s="1" t="s">
        <v>412</v>
      </c>
      <c r="B262" s="6" t="s">
        <v>1034</v>
      </c>
      <c r="C262" s="6">
        <v>3</v>
      </c>
      <c r="D262" s="6">
        <v>4</v>
      </c>
      <c r="E262" s="6" t="s">
        <v>1108</v>
      </c>
      <c r="F262" s="6">
        <v>0.1137</v>
      </c>
      <c r="H262" s="1">
        <v>23.983333333333334</v>
      </c>
      <c r="I262">
        <v>3.2000000000000001E-2</v>
      </c>
      <c r="J262">
        <v>2.2824705229985902</v>
      </c>
      <c r="K262">
        <v>13.895162912401201</v>
      </c>
      <c r="L262">
        <v>15.351853087719</v>
      </c>
      <c r="M262">
        <v>35.055568651300099</v>
      </c>
      <c r="N262">
        <v>14.8952020357032</v>
      </c>
      <c r="O262">
        <v>32.072359616041403</v>
      </c>
      <c r="P262">
        <v>0</v>
      </c>
    </row>
    <row r="263" spans="1:16" ht="14.5" x14ac:dyDescent="0.3">
      <c r="A263" s="1" t="s">
        <v>413</v>
      </c>
      <c r="B263" s="6" t="s">
        <v>1034</v>
      </c>
      <c r="C263" s="6">
        <v>3</v>
      </c>
      <c r="D263" s="6">
        <v>4</v>
      </c>
      <c r="E263" s="6" t="s">
        <v>1108</v>
      </c>
      <c r="F263" s="6">
        <v>0.1137</v>
      </c>
      <c r="H263" s="1">
        <v>23.983333333333334</v>
      </c>
      <c r="I263">
        <v>3.2000000000000001E-2</v>
      </c>
      <c r="J263">
        <v>3.2407387843538702</v>
      </c>
      <c r="K263">
        <v>26.9182906408336</v>
      </c>
      <c r="L263">
        <v>21.158993703986098</v>
      </c>
      <c r="M263">
        <v>74.800648328353105</v>
      </c>
      <c r="N263">
        <v>23.591770682166501</v>
      </c>
      <c r="O263">
        <v>70.573873209018103</v>
      </c>
      <c r="P263">
        <v>0</v>
      </c>
    </row>
    <row r="264" spans="1:16" ht="14.5" hidden="1" x14ac:dyDescent="0.3">
      <c r="A264" s="1" t="s">
        <v>414</v>
      </c>
      <c r="B264" s="6" t="s">
        <v>1033</v>
      </c>
      <c r="C264" s="6">
        <v>3</v>
      </c>
      <c r="D264" s="6">
        <v>1</v>
      </c>
      <c r="E264" s="6" t="s">
        <v>1109</v>
      </c>
      <c r="F264" s="6">
        <v>6.4699999999999994E-2</v>
      </c>
      <c r="I264">
        <v>3.2000000000000001E-2</v>
      </c>
      <c r="J264">
        <v>1.7258852262520801</v>
      </c>
      <c r="K264">
        <v>19.700401108210301</v>
      </c>
      <c r="L264">
        <v>10.051538533870399</v>
      </c>
      <c r="M264">
        <v>33.921390730589998</v>
      </c>
      <c r="N264">
        <v>3.3308975426583598</v>
      </c>
      <c r="O264">
        <v>38.123269446972799</v>
      </c>
      <c r="P264">
        <v>0</v>
      </c>
    </row>
    <row r="265" spans="1:16" ht="14.5" hidden="1" x14ac:dyDescent="0.3">
      <c r="A265" s="1" t="s">
        <v>415</v>
      </c>
      <c r="B265" s="6" t="s">
        <v>1033</v>
      </c>
      <c r="C265" s="6">
        <v>3</v>
      </c>
      <c r="D265" s="6">
        <v>1</v>
      </c>
      <c r="E265" s="6" t="s">
        <v>1109</v>
      </c>
      <c r="F265" s="6">
        <v>7.1800000000000003E-2</v>
      </c>
      <c r="I265">
        <v>3.2000000000000001E-2</v>
      </c>
      <c r="J265">
        <v>1.7967564800667499</v>
      </c>
      <c r="K265">
        <v>15.119273923794299</v>
      </c>
      <c r="L265">
        <v>11.6420764935239</v>
      </c>
      <c r="M265">
        <v>24.8537003893491</v>
      </c>
      <c r="N265">
        <v>4.4462423820576902</v>
      </c>
      <c r="O265">
        <v>21.7219406236906</v>
      </c>
      <c r="P265">
        <v>0</v>
      </c>
    </row>
    <row r="266" spans="1:16" ht="14.5" hidden="1" x14ac:dyDescent="0.3">
      <c r="A266" s="1" t="s">
        <v>416</v>
      </c>
      <c r="B266" s="6" t="s">
        <v>1033</v>
      </c>
      <c r="C266" s="6">
        <v>3</v>
      </c>
      <c r="D266" s="6">
        <v>1</v>
      </c>
      <c r="E266" s="6" t="s">
        <v>1109</v>
      </c>
      <c r="F266" s="6">
        <v>5.8599999999999999E-2</v>
      </c>
      <c r="I266">
        <v>3.2000000000000001E-2</v>
      </c>
      <c r="J266">
        <v>1.2154799006199899</v>
      </c>
      <c r="K266">
        <v>8.3596948336292698</v>
      </c>
      <c r="L266">
        <v>9.7271512702414693</v>
      </c>
      <c r="M266">
        <v>29.131995823463502</v>
      </c>
      <c r="N266">
        <v>3.9534478792738201</v>
      </c>
      <c r="O266">
        <v>17.508134469845899</v>
      </c>
      <c r="P266">
        <v>0</v>
      </c>
    </row>
    <row r="267" spans="1:16" ht="14.5" hidden="1" x14ac:dyDescent="0.3">
      <c r="A267" s="1" t="s">
        <v>417</v>
      </c>
      <c r="B267" s="6" t="s">
        <v>1033</v>
      </c>
      <c r="C267" s="6">
        <v>3</v>
      </c>
      <c r="D267" s="6">
        <v>2</v>
      </c>
      <c r="E267" s="6" t="s">
        <v>1109</v>
      </c>
      <c r="F267" s="6">
        <v>0.16059999999999999</v>
      </c>
      <c r="I267">
        <v>5.2000000000000005E-2</v>
      </c>
      <c r="J267">
        <v>1.63003511482257</v>
      </c>
      <c r="K267">
        <v>9.4811234132723392</v>
      </c>
      <c r="L267">
        <v>14.143634765405199</v>
      </c>
      <c r="M267">
        <v>31.913813482906502</v>
      </c>
      <c r="N267">
        <v>9.8659588767553199</v>
      </c>
      <c r="O267">
        <v>19.6248021993365</v>
      </c>
      <c r="P267">
        <v>0</v>
      </c>
    </row>
    <row r="268" spans="1:16" ht="14.5" hidden="1" x14ac:dyDescent="0.3">
      <c r="A268" s="1" t="s">
        <v>418</v>
      </c>
      <c r="B268" s="6" t="s">
        <v>1033</v>
      </c>
      <c r="C268" s="6">
        <v>3</v>
      </c>
      <c r="D268" s="6">
        <v>2</v>
      </c>
      <c r="E268" s="6" t="s">
        <v>1109</v>
      </c>
      <c r="F268" s="6">
        <v>5.8000000000000003E-2</v>
      </c>
      <c r="I268">
        <v>3.2000000000000001E-2</v>
      </c>
      <c r="J268">
        <v>0.94161633662986299</v>
      </c>
      <c r="K268">
        <v>11.2104494331619</v>
      </c>
      <c r="L268">
        <v>10.118001080136001</v>
      </c>
      <c r="M268">
        <v>39.872030105889998</v>
      </c>
      <c r="N268">
        <v>4.5737535101179301</v>
      </c>
      <c r="O268">
        <v>42.636098692320502</v>
      </c>
      <c r="P268">
        <v>0</v>
      </c>
    </row>
    <row r="269" spans="1:16" ht="14.5" hidden="1" x14ac:dyDescent="0.3">
      <c r="A269" s="1" t="s">
        <v>419</v>
      </c>
      <c r="B269" s="6" t="s">
        <v>1033</v>
      </c>
      <c r="C269" s="6">
        <v>3</v>
      </c>
      <c r="D269" s="6">
        <v>3</v>
      </c>
      <c r="E269" s="6" t="s">
        <v>1109</v>
      </c>
      <c r="F269" s="6">
        <v>4.53E-2</v>
      </c>
      <c r="I269">
        <v>3.2000000000000001E-2</v>
      </c>
      <c r="J269">
        <v>1.1579872524191901</v>
      </c>
      <c r="K269">
        <v>13.985115525834599</v>
      </c>
      <c r="L269">
        <v>8.6591814859645204</v>
      </c>
      <c r="M269">
        <v>30.701488795105298</v>
      </c>
      <c r="N269">
        <v>3.97366457328754</v>
      </c>
      <c r="O269">
        <v>32.366607136485399</v>
      </c>
      <c r="P269">
        <v>0</v>
      </c>
    </row>
    <row r="270" spans="1:16" ht="14.5" hidden="1" x14ac:dyDescent="0.3">
      <c r="A270" s="1" t="s">
        <v>420</v>
      </c>
      <c r="B270" s="6" t="s">
        <v>1033</v>
      </c>
      <c r="C270" s="6">
        <v>3</v>
      </c>
      <c r="D270" s="6">
        <v>3</v>
      </c>
      <c r="E270" s="6" t="s">
        <v>1109</v>
      </c>
      <c r="F270" s="6">
        <v>0.1113</v>
      </c>
      <c r="I270">
        <v>3.2000000000000001E-2</v>
      </c>
      <c r="J270">
        <v>2.0230504815030801</v>
      </c>
      <c r="K270">
        <v>14.3661452443936</v>
      </c>
      <c r="L270">
        <v>23.238722728985501</v>
      </c>
      <c r="M270">
        <v>53.676376908472001</v>
      </c>
      <c r="N270">
        <v>8.7954281077747396</v>
      </c>
      <c r="O270">
        <v>27.436814731854199</v>
      </c>
      <c r="P270">
        <v>0</v>
      </c>
    </row>
    <row r="271" spans="1:16" ht="14.5" hidden="1" x14ac:dyDescent="0.3">
      <c r="A271" s="1" t="s">
        <v>421</v>
      </c>
      <c r="B271" s="6" t="s">
        <v>1033</v>
      </c>
      <c r="C271" s="6">
        <v>3</v>
      </c>
      <c r="D271" s="6">
        <v>3</v>
      </c>
      <c r="E271" s="6" t="s">
        <v>1109</v>
      </c>
      <c r="F271" s="6">
        <v>0.1021</v>
      </c>
      <c r="I271">
        <v>3.2000000000000001E-2</v>
      </c>
      <c r="J271">
        <v>3.1566471147782602</v>
      </c>
      <c r="K271">
        <v>18.823689865004599</v>
      </c>
      <c r="L271">
        <v>15.798354069073801</v>
      </c>
      <c r="M271">
        <v>43.909976022430598</v>
      </c>
      <c r="N271">
        <v>6.9037165075848801</v>
      </c>
      <c r="O271">
        <v>32.637635537478403</v>
      </c>
      <c r="P271">
        <v>0</v>
      </c>
    </row>
    <row r="272" spans="1:16" ht="14.5" x14ac:dyDescent="0.3">
      <c r="A272" s="1" t="s">
        <v>422</v>
      </c>
      <c r="B272" s="6" t="s">
        <v>1034</v>
      </c>
      <c r="C272" s="6">
        <v>3</v>
      </c>
      <c r="D272" s="6">
        <v>1</v>
      </c>
      <c r="E272" s="6" t="s">
        <v>1109</v>
      </c>
      <c r="F272" s="6">
        <v>9.5799999999999996E-2</v>
      </c>
      <c r="H272" s="1">
        <v>71.13333333333334</v>
      </c>
      <c r="I272">
        <v>3.2000000000000001E-2</v>
      </c>
      <c r="J272">
        <v>2.2000968734726398</v>
      </c>
      <c r="K272">
        <v>30.1984784262578</v>
      </c>
      <c r="L272">
        <v>34.0854247018287</v>
      </c>
      <c r="M272">
        <v>169.89950746280101</v>
      </c>
      <c r="N272">
        <v>62.464872391421402</v>
      </c>
      <c r="O272">
        <v>135.001245806372</v>
      </c>
      <c r="P272">
        <v>0</v>
      </c>
    </row>
    <row r="273" spans="1:16" ht="14.5" x14ac:dyDescent="0.3">
      <c r="A273" s="1" t="s">
        <v>423</v>
      </c>
      <c r="B273" s="6" t="s">
        <v>1034</v>
      </c>
      <c r="C273" s="6">
        <v>3</v>
      </c>
      <c r="D273" s="6">
        <v>1</v>
      </c>
      <c r="E273" s="6" t="s">
        <v>1109</v>
      </c>
      <c r="F273" s="6">
        <v>0.10639999999999999</v>
      </c>
      <c r="H273" s="1">
        <v>71.13333333333334</v>
      </c>
      <c r="I273">
        <v>3.2000000000000001E-2</v>
      </c>
      <c r="J273">
        <v>1.7309521942044099</v>
      </c>
      <c r="K273">
        <v>18.3666327250445</v>
      </c>
      <c r="L273">
        <v>20.433351522160802</v>
      </c>
      <c r="M273">
        <v>57.900109124320302</v>
      </c>
      <c r="N273">
        <v>52.070612361424097</v>
      </c>
      <c r="O273">
        <v>87.505944845881302</v>
      </c>
      <c r="P273">
        <v>0</v>
      </c>
    </row>
    <row r="274" spans="1:16" ht="14.5" x14ac:dyDescent="0.3">
      <c r="A274" s="1" t="s">
        <v>424</v>
      </c>
      <c r="B274" s="6" t="s">
        <v>1034</v>
      </c>
      <c r="C274" s="6">
        <v>3</v>
      </c>
      <c r="D274" s="6">
        <v>1</v>
      </c>
      <c r="E274" s="6" t="s">
        <v>1109</v>
      </c>
      <c r="F274" s="6">
        <v>7.3499999999999996E-2</v>
      </c>
      <c r="H274" s="1">
        <v>71.13333333333334</v>
      </c>
      <c r="I274">
        <v>3.2000000000000001E-2</v>
      </c>
      <c r="J274">
        <v>1.6301266293052701</v>
      </c>
      <c r="K274">
        <v>15.285979045818999</v>
      </c>
      <c r="L274">
        <v>14.1879976506621</v>
      </c>
      <c r="M274">
        <v>36.850651258325897</v>
      </c>
      <c r="N274">
        <v>33.757009987987303</v>
      </c>
      <c r="O274">
        <v>59.646511749247402</v>
      </c>
      <c r="P274">
        <v>0</v>
      </c>
    </row>
    <row r="275" spans="1:16" ht="14.5" x14ac:dyDescent="0.3">
      <c r="A275" s="1" t="s">
        <v>425</v>
      </c>
      <c r="B275" s="6" t="s">
        <v>1034</v>
      </c>
      <c r="C275" s="6">
        <v>3</v>
      </c>
      <c r="D275" s="6">
        <v>1</v>
      </c>
      <c r="E275" s="6" t="s">
        <v>1109</v>
      </c>
      <c r="F275" s="6">
        <v>8.0600000000000005E-2</v>
      </c>
      <c r="H275" s="1">
        <v>71.133333333333297</v>
      </c>
      <c r="I275">
        <v>3.2000000000000001E-2</v>
      </c>
      <c r="J275">
        <v>1.9231077147489</v>
      </c>
      <c r="K275">
        <v>21.130309690231201</v>
      </c>
      <c r="L275">
        <v>14.1803813175496</v>
      </c>
      <c r="M275">
        <v>42.430549302694097</v>
      </c>
      <c r="N275">
        <v>42.157724850679202</v>
      </c>
      <c r="O275">
        <v>69.313697305524798</v>
      </c>
      <c r="P275">
        <v>0</v>
      </c>
    </row>
    <row r="276" spans="1:16" ht="14.5" x14ac:dyDescent="0.3">
      <c r="A276" s="1" t="s">
        <v>426</v>
      </c>
      <c r="B276" s="6" t="s">
        <v>1034</v>
      </c>
      <c r="C276" s="6">
        <v>3</v>
      </c>
      <c r="D276" s="6">
        <v>2</v>
      </c>
      <c r="E276" s="6" t="s">
        <v>1109</v>
      </c>
      <c r="F276" s="6">
        <v>7.1999999999999995E-2</v>
      </c>
      <c r="H276" s="1">
        <v>71.233333333333334</v>
      </c>
      <c r="I276">
        <v>3.2000000000000001E-2</v>
      </c>
      <c r="J276">
        <v>1.4749747767606001</v>
      </c>
      <c r="K276">
        <v>11.371542339529499</v>
      </c>
      <c r="L276">
        <v>16.261238840491199</v>
      </c>
      <c r="M276">
        <v>59.146885362864303</v>
      </c>
      <c r="N276">
        <v>21.565706146584098</v>
      </c>
      <c r="O276">
        <v>34.6327928716182</v>
      </c>
      <c r="P276">
        <v>0</v>
      </c>
    </row>
    <row r="277" spans="1:16" ht="14.5" x14ac:dyDescent="0.3">
      <c r="A277" s="1" t="s">
        <v>427</v>
      </c>
      <c r="B277" s="6" t="s">
        <v>1034</v>
      </c>
      <c r="C277" s="6">
        <v>3</v>
      </c>
      <c r="D277" s="6">
        <v>2</v>
      </c>
      <c r="E277" s="6" t="s">
        <v>1109</v>
      </c>
      <c r="F277" s="6">
        <v>8.1699999999999995E-2</v>
      </c>
      <c r="H277" s="1">
        <v>71.233333333333334</v>
      </c>
      <c r="I277">
        <v>3.2000000000000001E-2</v>
      </c>
      <c r="J277">
        <v>1.8255170942913299</v>
      </c>
      <c r="K277">
        <v>18.910599449454299</v>
      </c>
      <c r="L277">
        <v>11.7152817149034</v>
      </c>
      <c r="M277">
        <v>32.849116594550402</v>
      </c>
      <c r="N277">
        <v>59.714992449897103</v>
      </c>
      <c r="O277">
        <v>90.392503963067199</v>
      </c>
      <c r="P277">
        <v>0</v>
      </c>
    </row>
    <row r="278" spans="1:16" ht="14.5" x14ac:dyDescent="0.3">
      <c r="A278" s="1" t="s">
        <v>428</v>
      </c>
      <c r="B278" s="6" t="s">
        <v>1034</v>
      </c>
      <c r="C278" s="6">
        <v>3</v>
      </c>
      <c r="D278" s="6">
        <v>2</v>
      </c>
      <c r="E278" s="6" t="s">
        <v>1109</v>
      </c>
      <c r="F278" s="6">
        <v>7.3400000000000007E-2</v>
      </c>
      <c r="H278" s="1">
        <v>71.233333333333334</v>
      </c>
      <c r="I278">
        <v>3.2000000000000001E-2</v>
      </c>
      <c r="J278">
        <v>1.4038363652830901</v>
      </c>
      <c r="K278">
        <v>14.229840360300001</v>
      </c>
      <c r="L278">
        <v>14.5940875905859</v>
      </c>
      <c r="M278">
        <v>39.712649700798003</v>
      </c>
      <c r="N278">
        <v>34.2562615311709</v>
      </c>
      <c r="O278">
        <v>58.930605419559903</v>
      </c>
      <c r="P278">
        <v>0</v>
      </c>
    </row>
    <row r="279" spans="1:16" ht="14.5" x14ac:dyDescent="0.3">
      <c r="A279" s="1" t="s">
        <v>429</v>
      </c>
      <c r="B279" s="6" t="s">
        <v>1034</v>
      </c>
      <c r="C279" s="6">
        <v>3</v>
      </c>
      <c r="D279" s="6">
        <v>2</v>
      </c>
      <c r="E279" s="6" t="s">
        <v>1109</v>
      </c>
      <c r="F279" s="6">
        <v>5.04E-2</v>
      </c>
      <c r="H279" s="1">
        <v>71.233333333333334</v>
      </c>
      <c r="I279">
        <v>3.2000000000000001E-2</v>
      </c>
      <c r="J279">
        <v>0.93451380336664602</v>
      </c>
      <c r="K279">
        <v>9.8067532253870606</v>
      </c>
      <c r="L279">
        <v>10.0514666063428</v>
      </c>
      <c r="M279">
        <v>37.9061089366975</v>
      </c>
      <c r="N279">
        <v>25.46931378491</v>
      </c>
      <c r="O279">
        <v>38.745022542955098</v>
      </c>
      <c r="P279">
        <v>0</v>
      </c>
    </row>
    <row r="280" spans="1:16" ht="14.5" x14ac:dyDescent="0.3">
      <c r="A280" s="1" t="s">
        <v>430</v>
      </c>
      <c r="B280" s="6" t="s">
        <v>1034</v>
      </c>
      <c r="C280" s="6">
        <v>3</v>
      </c>
      <c r="D280" s="6">
        <v>3</v>
      </c>
      <c r="E280" s="6" t="s">
        <v>1109</v>
      </c>
      <c r="F280" s="6">
        <v>7.7100000000000002E-2</v>
      </c>
      <c r="H280" s="1">
        <v>71.45</v>
      </c>
      <c r="I280">
        <v>3.2000000000000001E-2</v>
      </c>
      <c r="J280">
        <v>1.54607095988415</v>
      </c>
      <c r="K280">
        <v>15.847903659609401</v>
      </c>
      <c r="L280">
        <v>11.0515079325434</v>
      </c>
      <c r="M280">
        <v>36.299193846338902</v>
      </c>
      <c r="N280">
        <v>22.506157064612498</v>
      </c>
      <c r="O280">
        <v>53.427678971101798</v>
      </c>
      <c r="P280">
        <v>0</v>
      </c>
    </row>
    <row r="281" spans="1:16" ht="14.5" x14ac:dyDescent="0.3">
      <c r="A281" s="1" t="s">
        <v>431</v>
      </c>
      <c r="B281" s="6" t="s">
        <v>1034</v>
      </c>
      <c r="C281" s="6">
        <v>3</v>
      </c>
      <c r="D281" s="6">
        <v>3</v>
      </c>
      <c r="E281" s="6" t="s">
        <v>1109</v>
      </c>
      <c r="F281" s="6">
        <v>5.5899999999999998E-2</v>
      </c>
      <c r="H281" s="1">
        <v>71.45</v>
      </c>
      <c r="I281">
        <v>3.2000000000000001E-2</v>
      </c>
      <c r="J281">
        <v>1.6044204721417099</v>
      </c>
      <c r="K281">
        <v>14.39262965815</v>
      </c>
      <c r="L281">
        <v>10.8829392689579</v>
      </c>
      <c r="M281">
        <v>34.671485653707599</v>
      </c>
      <c r="N281">
        <v>22.3110344877249</v>
      </c>
      <c r="O281">
        <v>41.939920293963503</v>
      </c>
      <c r="P281">
        <v>0</v>
      </c>
    </row>
    <row r="282" spans="1:16" ht="14.5" x14ac:dyDescent="0.3">
      <c r="A282" s="1" t="s">
        <v>432</v>
      </c>
      <c r="B282" s="6" t="s">
        <v>1034</v>
      </c>
      <c r="C282" s="6">
        <v>3</v>
      </c>
      <c r="D282" s="6">
        <v>3</v>
      </c>
      <c r="E282" s="6" t="s">
        <v>1109</v>
      </c>
      <c r="F282" s="6">
        <v>6.9099999999999995E-2</v>
      </c>
      <c r="H282" s="1">
        <v>71.45</v>
      </c>
      <c r="I282">
        <v>3.2000000000000001E-2</v>
      </c>
      <c r="J282">
        <v>1.2613945222835401</v>
      </c>
      <c r="K282">
        <v>14.193774900680401</v>
      </c>
      <c r="L282">
        <v>11.395827203986</v>
      </c>
      <c r="M282">
        <v>28.1990575670876</v>
      </c>
      <c r="N282">
        <v>38.612673287214498</v>
      </c>
      <c r="O282">
        <v>67.933295680462706</v>
      </c>
      <c r="P282">
        <v>0</v>
      </c>
    </row>
    <row r="283" spans="1:16" ht="14.5" x14ac:dyDescent="0.3">
      <c r="A283" s="1" t="s">
        <v>433</v>
      </c>
      <c r="B283" s="6" t="s">
        <v>1034</v>
      </c>
      <c r="C283" s="6">
        <v>3</v>
      </c>
      <c r="D283" s="6">
        <v>3</v>
      </c>
      <c r="E283" s="6" t="s">
        <v>1109</v>
      </c>
      <c r="F283" s="6">
        <v>4.2799999999999998E-2</v>
      </c>
      <c r="H283" s="1">
        <v>71.45</v>
      </c>
      <c r="I283">
        <v>3.2000000000000001E-2</v>
      </c>
      <c r="J283">
        <v>0.88780270769275904</v>
      </c>
      <c r="K283">
        <v>9.5638656234537898</v>
      </c>
      <c r="L283">
        <v>8.8667019635930497</v>
      </c>
      <c r="M283">
        <v>26.477180804383298</v>
      </c>
      <c r="N283">
        <v>24.722241234081199</v>
      </c>
      <c r="O283">
        <v>50.334975729874898</v>
      </c>
      <c r="P283">
        <v>0</v>
      </c>
    </row>
    <row r="284" spans="1:16" ht="14.5" x14ac:dyDescent="0.3">
      <c r="A284" s="1" t="s">
        <v>434</v>
      </c>
      <c r="B284" s="6" t="s">
        <v>1034</v>
      </c>
      <c r="C284" s="6">
        <v>3</v>
      </c>
      <c r="D284" s="6">
        <v>4</v>
      </c>
      <c r="E284" s="6" t="s">
        <v>1109</v>
      </c>
      <c r="F284" s="6">
        <v>6.5100000000000005E-2</v>
      </c>
      <c r="H284" s="1">
        <v>71.2</v>
      </c>
      <c r="I284">
        <v>3.2000000000000001E-2</v>
      </c>
      <c r="J284">
        <v>1.41637385104467</v>
      </c>
      <c r="K284">
        <v>13.2010624983619</v>
      </c>
      <c r="L284">
        <v>10.3643371039665</v>
      </c>
      <c r="M284">
        <v>30.942281852142901</v>
      </c>
      <c r="N284">
        <v>23.497773416223598</v>
      </c>
      <c r="O284">
        <v>39.222778123936997</v>
      </c>
      <c r="P284">
        <v>0</v>
      </c>
    </row>
    <row r="285" spans="1:16" ht="14.5" x14ac:dyDescent="0.3">
      <c r="A285" s="1" t="s">
        <v>435</v>
      </c>
      <c r="B285" s="6" t="s">
        <v>1034</v>
      </c>
      <c r="C285" s="6">
        <v>3</v>
      </c>
      <c r="D285" s="6">
        <v>4</v>
      </c>
      <c r="E285" s="6" t="s">
        <v>1109</v>
      </c>
      <c r="F285" s="6">
        <v>7.9299999999999995E-2</v>
      </c>
      <c r="H285" s="1">
        <v>71.2</v>
      </c>
      <c r="I285">
        <v>3.2000000000000001E-2</v>
      </c>
      <c r="J285">
        <v>1.62190660509017</v>
      </c>
      <c r="K285">
        <v>18.997211177973298</v>
      </c>
      <c r="L285">
        <v>15.5308230772378</v>
      </c>
      <c r="M285">
        <v>65.498851460258194</v>
      </c>
      <c r="N285">
        <v>45.4377589577715</v>
      </c>
      <c r="O285">
        <v>74.228188467773606</v>
      </c>
      <c r="P285">
        <v>0</v>
      </c>
    </row>
    <row r="286" spans="1:16" ht="14.5" x14ac:dyDescent="0.3">
      <c r="A286" s="1" t="s">
        <v>436</v>
      </c>
      <c r="B286" s="6" t="s">
        <v>1034</v>
      </c>
      <c r="C286" s="6">
        <v>3</v>
      </c>
      <c r="D286" s="6">
        <v>4</v>
      </c>
      <c r="E286" s="6" t="s">
        <v>1109</v>
      </c>
      <c r="F286" s="6">
        <v>5.5E-2</v>
      </c>
      <c r="H286" s="1">
        <v>71.2</v>
      </c>
      <c r="I286">
        <v>3.2000000000000001E-2</v>
      </c>
      <c r="J286">
        <v>1.1592466104500101</v>
      </c>
      <c r="K286">
        <v>13.005314438868099</v>
      </c>
      <c r="L286">
        <v>11.448441441536399</v>
      </c>
      <c r="M286">
        <v>34.516081688714799</v>
      </c>
      <c r="N286">
        <v>27.176461056120498</v>
      </c>
      <c r="O286">
        <v>54.2160544798027</v>
      </c>
      <c r="P286">
        <v>0</v>
      </c>
    </row>
    <row r="287" spans="1:16" ht="14.5" x14ac:dyDescent="0.3">
      <c r="A287" s="1" t="s">
        <v>437</v>
      </c>
      <c r="B287" s="6" t="s">
        <v>1034</v>
      </c>
      <c r="C287" s="6">
        <v>3</v>
      </c>
      <c r="D287" s="6">
        <v>4</v>
      </c>
      <c r="E287" s="6" t="s">
        <v>1109</v>
      </c>
      <c r="F287" s="6">
        <v>9.11E-2</v>
      </c>
      <c r="H287" s="1">
        <v>71.2</v>
      </c>
      <c r="I287">
        <v>3.2000000000000001E-2</v>
      </c>
      <c r="J287">
        <v>1.65993843246495</v>
      </c>
      <c r="K287">
        <v>17.390931787979898</v>
      </c>
      <c r="L287">
        <v>17.1791982113673</v>
      </c>
      <c r="M287">
        <v>60.024554358846601</v>
      </c>
      <c r="N287">
        <v>36.134581502196198</v>
      </c>
      <c r="O287">
        <v>64.451119344260107</v>
      </c>
      <c r="P287">
        <v>0</v>
      </c>
    </row>
    <row r="288" spans="1:16" ht="14.5" hidden="1" x14ac:dyDescent="0.3">
      <c r="A288" s="1" t="s">
        <v>438</v>
      </c>
      <c r="B288" s="1" t="s">
        <v>1032</v>
      </c>
      <c r="C288" s="6">
        <v>4</v>
      </c>
      <c r="D288" s="6">
        <v>1</v>
      </c>
      <c r="E288" s="6" t="s">
        <v>1108</v>
      </c>
      <c r="F288" s="6">
        <v>6.3E-2</v>
      </c>
      <c r="I288">
        <v>3.2000000000000001E-2</v>
      </c>
      <c r="J288">
        <v>2.29853201960645</v>
      </c>
      <c r="K288">
        <v>17.801671246947699</v>
      </c>
      <c r="L288">
        <v>10.228901957551599</v>
      </c>
      <c r="M288">
        <v>32.802993314079899</v>
      </c>
      <c r="N288">
        <v>4.5999406045839004</v>
      </c>
      <c r="O288">
        <v>28.623658797867702</v>
      </c>
      <c r="P288">
        <v>0</v>
      </c>
    </row>
    <row r="289" spans="1:16" ht="14.5" hidden="1" x14ac:dyDescent="0.3">
      <c r="A289" s="1" t="s">
        <v>439</v>
      </c>
      <c r="B289" s="1" t="s">
        <v>1032</v>
      </c>
      <c r="C289" s="6">
        <v>4</v>
      </c>
      <c r="D289" s="6">
        <v>2</v>
      </c>
      <c r="E289" s="6" t="s">
        <v>1108</v>
      </c>
      <c r="F289" s="6">
        <v>5.5599999999999997E-2</v>
      </c>
      <c r="I289">
        <v>3.2000000000000001E-2</v>
      </c>
      <c r="J289">
        <v>1.21529722583072</v>
      </c>
      <c r="K289">
        <v>9.6545991430989808</v>
      </c>
      <c r="L289">
        <v>7.6372236981052097</v>
      </c>
      <c r="M289">
        <v>20.290408838846499</v>
      </c>
      <c r="N289">
        <v>3.3074710732709298</v>
      </c>
      <c r="O289">
        <v>14.7798826695605</v>
      </c>
      <c r="P289">
        <v>0</v>
      </c>
    </row>
    <row r="290" spans="1:16" ht="14.5" hidden="1" x14ac:dyDescent="0.3">
      <c r="A290" s="1" t="s">
        <v>440</v>
      </c>
      <c r="B290" s="1" t="s">
        <v>1032</v>
      </c>
      <c r="C290" s="6">
        <v>4</v>
      </c>
      <c r="D290" s="6">
        <v>3</v>
      </c>
      <c r="E290" s="6" t="s">
        <v>1108</v>
      </c>
      <c r="F290" s="6">
        <v>7.7100000000000002E-2</v>
      </c>
      <c r="I290">
        <v>3.2000000000000001E-2</v>
      </c>
      <c r="J290">
        <v>2.01629943558319</v>
      </c>
      <c r="K290">
        <v>15.3790324630406</v>
      </c>
      <c r="L290">
        <v>12.3500521669203</v>
      </c>
      <c r="M290">
        <v>29.098584479832901</v>
      </c>
      <c r="N290">
        <v>3.16763948873629</v>
      </c>
      <c r="O290">
        <v>16.061689647914601</v>
      </c>
      <c r="P290">
        <v>0</v>
      </c>
    </row>
    <row r="291" spans="1:16" ht="14.5" hidden="1" x14ac:dyDescent="0.3">
      <c r="A291" s="1" t="s">
        <v>441</v>
      </c>
      <c r="B291" s="1" t="s">
        <v>1032</v>
      </c>
      <c r="C291" s="6">
        <v>4</v>
      </c>
      <c r="D291" s="6">
        <v>4</v>
      </c>
      <c r="E291" s="6" t="s">
        <v>1108</v>
      </c>
      <c r="F291" s="6">
        <v>6.2600000000000003E-2</v>
      </c>
      <c r="I291">
        <v>3.2000000000000001E-2</v>
      </c>
      <c r="J291">
        <v>1.36344261193167</v>
      </c>
      <c r="K291">
        <v>13.149857448448399</v>
      </c>
      <c r="L291">
        <v>9.6096853509620104</v>
      </c>
      <c r="M291">
        <v>27.9013015131743</v>
      </c>
      <c r="N291">
        <v>6.7577956775419201</v>
      </c>
      <c r="O291">
        <v>23.337195742608301</v>
      </c>
      <c r="P291">
        <v>0</v>
      </c>
    </row>
    <row r="292" spans="1:16" ht="14.5" hidden="1" x14ac:dyDescent="0.3">
      <c r="A292" s="1" t="s">
        <v>442</v>
      </c>
      <c r="B292" s="1" t="s">
        <v>1032</v>
      </c>
      <c r="C292" s="6">
        <v>4</v>
      </c>
      <c r="D292" s="6">
        <v>5</v>
      </c>
      <c r="E292" s="6" t="s">
        <v>1108</v>
      </c>
      <c r="F292" s="6">
        <v>8.8200000000000001E-2</v>
      </c>
      <c r="I292">
        <v>3.2000000000000001E-2</v>
      </c>
      <c r="J292">
        <v>2.1789815615294299</v>
      </c>
      <c r="K292">
        <v>19.454977777713101</v>
      </c>
      <c r="L292">
        <v>15.0501015993657</v>
      </c>
      <c r="M292">
        <v>59.011531165561003</v>
      </c>
      <c r="N292">
        <v>5.6531642708231802</v>
      </c>
      <c r="O292">
        <v>32.797574265168599</v>
      </c>
      <c r="P292">
        <v>0</v>
      </c>
    </row>
    <row r="293" spans="1:16" ht="14.5" hidden="1" x14ac:dyDescent="0.3">
      <c r="A293" s="1" t="s">
        <v>443</v>
      </c>
      <c r="B293" s="1" t="s">
        <v>1032</v>
      </c>
      <c r="C293" s="6">
        <v>4</v>
      </c>
      <c r="D293" s="6">
        <v>6</v>
      </c>
      <c r="E293" s="6" t="s">
        <v>1108</v>
      </c>
      <c r="F293" s="6">
        <v>6.25E-2</v>
      </c>
      <c r="I293">
        <v>3.2000000000000001E-2</v>
      </c>
      <c r="J293">
        <v>1.4669314187273901</v>
      </c>
      <c r="K293">
        <v>14.774757304057299</v>
      </c>
      <c r="L293">
        <v>9.5304114772021098</v>
      </c>
      <c r="M293">
        <v>27.235411136982702</v>
      </c>
      <c r="N293">
        <v>4.5699802697132998</v>
      </c>
      <c r="O293">
        <v>25.623088282298401</v>
      </c>
      <c r="P293">
        <v>0</v>
      </c>
    </row>
    <row r="294" spans="1:16" ht="14.5" hidden="1" x14ac:dyDescent="0.3">
      <c r="A294" s="1" t="s">
        <v>444</v>
      </c>
      <c r="B294" s="1" t="s">
        <v>1032</v>
      </c>
      <c r="C294" s="6">
        <v>4</v>
      </c>
      <c r="D294" s="6">
        <v>7</v>
      </c>
      <c r="E294" s="6" t="s">
        <v>1108</v>
      </c>
      <c r="F294" s="6">
        <v>8.2699999999999996E-2</v>
      </c>
      <c r="I294">
        <v>3.2000000000000001E-2</v>
      </c>
      <c r="J294">
        <v>2.35354093167529</v>
      </c>
      <c r="K294">
        <v>19.532766179984101</v>
      </c>
      <c r="L294">
        <v>11.618412429022399</v>
      </c>
      <c r="M294">
        <v>31.024339832206099</v>
      </c>
      <c r="N294">
        <v>2.8027799888553502</v>
      </c>
      <c r="O294">
        <v>19.312893024057299</v>
      </c>
      <c r="P294">
        <v>0</v>
      </c>
    </row>
    <row r="295" spans="1:16" ht="14.5" hidden="1" x14ac:dyDescent="0.3">
      <c r="A295" s="1" t="s">
        <v>445</v>
      </c>
      <c r="B295" s="1" t="s">
        <v>1032</v>
      </c>
      <c r="C295" s="6">
        <v>4</v>
      </c>
      <c r="D295" s="6">
        <v>8</v>
      </c>
      <c r="E295" s="6" t="s">
        <v>1108</v>
      </c>
      <c r="F295" s="6">
        <v>0.1014</v>
      </c>
      <c r="I295">
        <v>3.2000000000000001E-2</v>
      </c>
      <c r="J295">
        <v>2.51792655621266</v>
      </c>
      <c r="K295">
        <v>16.565156723134798</v>
      </c>
      <c r="L295">
        <v>15.730259562207401</v>
      </c>
      <c r="M295">
        <v>43.9142980153634</v>
      </c>
      <c r="N295">
        <v>7.5677310464455996</v>
      </c>
      <c r="O295">
        <v>35.428496100846701</v>
      </c>
      <c r="P295">
        <v>0</v>
      </c>
    </row>
    <row r="296" spans="1:16" ht="14.5" hidden="1" x14ac:dyDescent="0.3">
      <c r="A296" s="1" t="s">
        <v>446</v>
      </c>
      <c r="B296" s="1" t="s">
        <v>1032</v>
      </c>
      <c r="C296" s="6">
        <v>4</v>
      </c>
      <c r="D296" s="6">
        <v>9</v>
      </c>
      <c r="E296" s="6" t="s">
        <v>1108</v>
      </c>
      <c r="F296" s="6">
        <v>6.2E-2</v>
      </c>
      <c r="I296">
        <v>3.2000000000000001E-2</v>
      </c>
      <c r="J296">
        <v>1.45153341542938</v>
      </c>
      <c r="K296">
        <v>14.6189880449709</v>
      </c>
      <c r="L296">
        <v>8.7689165705674004</v>
      </c>
      <c r="M296">
        <v>29.901682579288</v>
      </c>
      <c r="N296">
        <v>2.7139613050593101</v>
      </c>
      <c r="O296">
        <v>19.425606788644501</v>
      </c>
      <c r="P296">
        <v>0</v>
      </c>
    </row>
    <row r="297" spans="1:16" ht="14.5" hidden="1" x14ac:dyDescent="0.3">
      <c r="A297" s="1" t="s">
        <v>447</v>
      </c>
      <c r="B297" s="1" t="s">
        <v>1032</v>
      </c>
      <c r="C297" s="6">
        <v>4</v>
      </c>
      <c r="D297" s="6">
        <v>10</v>
      </c>
      <c r="E297" s="6" t="s">
        <v>1108</v>
      </c>
      <c r="F297" s="6">
        <v>9.2999999999999999E-2</v>
      </c>
      <c r="I297">
        <v>3.2000000000000001E-2</v>
      </c>
      <c r="J297">
        <v>2.8107540718614001</v>
      </c>
      <c r="K297">
        <v>18.1147864590246</v>
      </c>
      <c r="L297">
        <v>16.736463456718699</v>
      </c>
      <c r="M297">
        <v>54.873843348900799</v>
      </c>
      <c r="N297">
        <v>2.8073484335232601</v>
      </c>
      <c r="O297">
        <v>30.3361635696983</v>
      </c>
      <c r="P297">
        <v>0</v>
      </c>
    </row>
    <row r="298" spans="1:16" ht="14.5" hidden="1" x14ac:dyDescent="0.3">
      <c r="A298" s="1" t="s">
        <v>448</v>
      </c>
      <c r="B298" s="1" t="s">
        <v>1033</v>
      </c>
      <c r="C298" s="6">
        <v>4</v>
      </c>
      <c r="D298" s="6">
        <v>1</v>
      </c>
      <c r="E298" s="6" t="s">
        <v>1107</v>
      </c>
      <c r="F298" s="6">
        <v>7.4200000000000002E-2</v>
      </c>
      <c r="I298">
        <v>3.2000000000000001E-2</v>
      </c>
      <c r="J298">
        <v>1.8139328753635899</v>
      </c>
      <c r="K298">
        <v>10.226411860554601</v>
      </c>
      <c r="L298">
        <v>9.6849706541460296</v>
      </c>
      <c r="M298">
        <v>23.990593124752099</v>
      </c>
      <c r="N298">
        <v>2.9664023068490399</v>
      </c>
      <c r="O298">
        <v>16.5836822481266</v>
      </c>
      <c r="P298">
        <v>0</v>
      </c>
    </row>
    <row r="299" spans="1:16" ht="14.5" hidden="1" x14ac:dyDescent="0.3">
      <c r="A299" s="1" t="s">
        <v>449</v>
      </c>
      <c r="B299" s="1" t="s">
        <v>1033</v>
      </c>
      <c r="C299" s="6">
        <v>4</v>
      </c>
      <c r="D299" s="6">
        <v>1</v>
      </c>
      <c r="E299" s="6" t="s">
        <v>1107</v>
      </c>
      <c r="F299" s="6">
        <v>8.8599999999999998E-2</v>
      </c>
      <c r="I299">
        <v>3.2000000000000001E-2</v>
      </c>
      <c r="J299">
        <v>1.7468460142568201</v>
      </c>
      <c r="K299">
        <v>16.184553925008501</v>
      </c>
      <c r="L299">
        <v>15.119259987215001</v>
      </c>
      <c r="M299">
        <v>54.612387742307398</v>
      </c>
      <c r="N299">
        <v>7.9475586183208504</v>
      </c>
      <c r="O299">
        <v>47.197607041298703</v>
      </c>
      <c r="P299">
        <v>0</v>
      </c>
    </row>
    <row r="300" spans="1:16" ht="14.5" hidden="1" x14ac:dyDescent="0.3">
      <c r="A300" s="1" t="s">
        <v>450</v>
      </c>
      <c r="B300" s="1" t="s">
        <v>1033</v>
      </c>
      <c r="C300" s="6">
        <v>4</v>
      </c>
      <c r="D300" s="6">
        <v>1</v>
      </c>
      <c r="E300" s="6" t="s">
        <v>1107</v>
      </c>
      <c r="F300" s="6">
        <v>6.0199999999999997E-2</v>
      </c>
      <c r="I300">
        <v>3.2000000000000001E-2</v>
      </c>
      <c r="J300">
        <v>1.1683412466640399</v>
      </c>
      <c r="K300">
        <v>10.1309089224085</v>
      </c>
      <c r="L300">
        <v>8.4698528404856592</v>
      </c>
      <c r="M300">
        <v>23.461809936646699</v>
      </c>
      <c r="N300">
        <v>3.0460115219599602</v>
      </c>
      <c r="O300">
        <v>22.5837136475972</v>
      </c>
      <c r="P300">
        <v>0</v>
      </c>
    </row>
    <row r="301" spans="1:16" ht="14.5" hidden="1" x14ac:dyDescent="0.3">
      <c r="A301" s="1" t="s">
        <v>451</v>
      </c>
      <c r="B301" s="1" t="s">
        <v>1033</v>
      </c>
      <c r="C301" s="6">
        <v>4</v>
      </c>
      <c r="D301" s="6">
        <v>2</v>
      </c>
      <c r="E301" s="6" t="s">
        <v>1107</v>
      </c>
      <c r="F301" s="6">
        <v>0.1</v>
      </c>
      <c r="I301">
        <v>3.2000000000000001E-2</v>
      </c>
      <c r="J301">
        <v>2.9695338916796201</v>
      </c>
      <c r="K301">
        <v>21.202805055069302</v>
      </c>
      <c r="L301">
        <v>12.8373950388566</v>
      </c>
      <c r="M301">
        <v>33.576058853895297</v>
      </c>
      <c r="N301">
        <v>11.427383475174899</v>
      </c>
      <c r="O301">
        <v>36.3476732778715</v>
      </c>
      <c r="P301">
        <v>0</v>
      </c>
    </row>
    <row r="302" spans="1:16" ht="14.5" hidden="1" x14ac:dyDescent="0.3">
      <c r="A302" s="1" t="s">
        <v>452</v>
      </c>
      <c r="B302" s="1" t="s">
        <v>1033</v>
      </c>
      <c r="C302" s="6">
        <v>4</v>
      </c>
      <c r="D302" s="6">
        <v>2</v>
      </c>
      <c r="E302" s="6" t="s">
        <v>1107</v>
      </c>
      <c r="F302" s="6">
        <v>8.9200000000000002E-2</v>
      </c>
      <c r="I302">
        <v>3.2000000000000001E-2</v>
      </c>
      <c r="J302">
        <v>2.4128114275704098</v>
      </c>
      <c r="K302">
        <v>26.8722518883392</v>
      </c>
      <c r="L302">
        <v>19.4061159730241</v>
      </c>
      <c r="M302">
        <v>81.406359459775004</v>
      </c>
      <c r="N302">
        <v>8.0734391113531103</v>
      </c>
      <c r="O302">
        <v>51.206697892486901</v>
      </c>
      <c r="P302">
        <v>0</v>
      </c>
    </row>
    <row r="303" spans="1:16" ht="14.5" hidden="1" x14ac:dyDescent="0.3">
      <c r="A303" s="1" t="s">
        <v>453</v>
      </c>
      <c r="B303" s="1" t="s">
        <v>1033</v>
      </c>
      <c r="C303" s="6">
        <v>4</v>
      </c>
      <c r="D303" s="6">
        <v>2</v>
      </c>
      <c r="E303" s="6" t="s">
        <v>1107</v>
      </c>
      <c r="F303" s="6">
        <v>6.5500000000000003E-2</v>
      </c>
      <c r="G303" s="1" t="s">
        <v>500</v>
      </c>
      <c r="I303">
        <v>3.2000000000000001E-2</v>
      </c>
      <c r="J303">
        <v>1.97046455636228</v>
      </c>
      <c r="K303">
        <v>14.5938933726098</v>
      </c>
      <c r="L303">
        <v>9.11187127956509</v>
      </c>
      <c r="M303">
        <v>22.565032691842401</v>
      </c>
      <c r="N303">
        <v>3.8859426570668099</v>
      </c>
      <c r="O303">
        <v>15.148556569978499</v>
      </c>
      <c r="P303">
        <v>0</v>
      </c>
    </row>
    <row r="304" spans="1:16" ht="14.5" hidden="1" x14ac:dyDescent="0.3">
      <c r="A304" s="1" t="s">
        <v>454</v>
      </c>
      <c r="B304" s="1" t="s">
        <v>1033</v>
      </c>
      <c r="C304" s="6">
        <v>4</v>
      </c>
      <c r="D304" s="6">
        <v>3</v>
      </c>
      <c r="E304" s="6" t="s">
        <v>1107</v>
      </c>
      <c r="F304" s="6">
        <v>5.79E-2</v>
      </c>
      <c r="I304">
        <v>3.2000000000000001E-2</v>
      </c>
      <c r="J304">
        <v>1.7637566335200201</v>
      </c>
      <c r="K304">
        <v>13.1272432257642</v>
      </c>
      <c r="L304">
        <v>9.3668442835493302</v>
      </c>
      <c r="M304">
        <v>24.899470341955801</v>
      </c>
      <c r="N304">
        <v>6.5366454793304696</v>
      </c>
      <c r="O304">
        <v>20.911774609278101</v>
      </c>
      <c r="P304">
        <v>0</v>
      </c>
    </row>
    <row r="305" spans="1:16" ht="14.5" hidden="1" x14ac:dyDescent="0.3">
      <c r="A305" s="1" t="s">
        <v>455</v>
      </c>
      <c r="B305" s="1" t="s">
        <v>1033</v>
      </c>
      <c r="C305" s="6">
        <v>4</v>
      </c>
      <c r="D305" s="6">
        <v>3</v>
      </c>
      <c r="E305" s="6" t="s">
        <v>1107</v>
      </c>
      <c r="F305" s="6">
        <v>7.2499999999999995E-2</v>
      </c>
      <c r="I305">
        <v>3.2000000000000001E-2</v>
      </c>
      <c r="J305">
        <v>2.4360946774385601</v>
      </c>
      <c r="K305">
        <v>15.547020334326</v>
      </c>
      <c r="L305">
        <v>8.8482596591704805</v>
      </c>
      <c r="M305">
        <v>20.063164010383598</v>
      </c>
      <c r="N305">
        <v>6.3530199389914799</v>
      </c>
      <c r="O305">
        <v>19.479638035589399</v>
      </c>
      <c r="P305">
        <v>0</v>
      </c>
    </row>
    <row r="306" spans="1:16" ht="14.5" hidden="1" x14ac:dyDescent="0.3">
      <c r="A306" s="1" t="s">
        <v>456</v>
      </c>
      <c r="B306" s="1" t="s">
        <v>1033</v>
      </c>
      <c r="C306" s="6">
        <v>4</v>
      </c>
      <c r="D306" s="6">
        <v>3</v>
      </c>
      <c r="E306" s="6" t="s">
        <v>1107</v>
      </c>
      <c r="F306" s="6">
        <v>7.2599999999999998E-2</v>
      </c>
      <c r="I306">
        <v>3.2000000000000001E-2</v>
      </c>
      <c r="J306">
        <v>1.6813911789911999</v>
      </c>
      <c r="K306">
        <v>16.973766600589698</v>
      </c>
      <c r="L306">
        <v>10.414205397386599</v>
      </c>
      <c r="M306">
        <v>30.873106227368901</v>
      </c>
      <c r="N306">
        <v>3.1769989064237798</v>
      </c>
      <c r="O306">
        <v>32.300682512660202</v>
      </c>
      <c r="P306">
        <v>0</v>
      </c>
    </row>
    <row r="307" spans="1:16" ht="14.5" x14ac:dyDescent="0.3">
      <c r="A307" s="1" t="s">
        <v>457</v>
      </c>
      <c r="B307" s="1" t="s">
        <v>1034</v>
      </c>
      <c r="C307" s="6">
        <v>4</v>
      </c>
      <c r="D307" s="6">
        <v>1</v>
      </c>
      <c r="E307" s="6" t="s">
        <v>1107</v>
      </c>
      <c r="F307" s="6">
        <v>7.0499999999999993E-2</v>
      </c>
      <c r="H307" s="1">
        <v>6</v>
      </c>
      <c r="I307">
        <v>3.2000000000000001E-2</v>
      </c>
      <c r="J307">
        <v>2.9232662167287802</v>
      </c>
      <c r="K307">
        <v>22.677464347964701</v>
      </c>
      <c r="L307">
        <v>11.421079190288999</v>
      </c>
      <c r="M307">
        <v>33.596762997307998</v>
      </c>
      <c r="N307">
        <v>2.7182045130904702</v>
      </c>
      <c r="O307">
        <v>18.350763302305399</v>
      </c>
      <c r="P307">
        <v>0</v>
      </c>
    </row>
    <row r="308" spans="1:16" ht="14.5" x14ac:dyDescent="0.3">
      <c r="A308" s="1" t="s">
        <v>458</v>
      </c>
      <c r="B308" s="1" t="s">
        <v>1034</v>
      </c>
      <c r="C308" s="6">
        <v>4</v>
      </c>
      <c r="D308" s="6">
        <v>1</v>
      </c>
      <c r="E308" s="6" t="s">
        <v>1107</v>
      </c>
      <c r="F308" s="6">
        <v>7.8E-2</v>
      </c>
      <c r="H308" s="1">
        <v>6</v>
      </c>
      <c r="I308">
        <v>3.2000000000000001E-2</v>
      </c>
      <c r="J308">
        <v>1.8884466480177899</v>
      </c>
      <c r="K308">
        <v>19.159878536804499</v>
      </c>
      <c r="L308">
        <v>9.7359505305291201</v>
      </c>
      <c r="M308">
        <v>25.175851213808901</v>
      </c>
      <c r="N308">
        <v>10.629644877049399</v>
      </c>
      <c r="O308">
        <v>41.410446691512</v>
      </c>
      <c r="P308">
        <v>0</v>
      </c>
    </row>
    <row r="309" spans="1:16" ht="14.5" x14ac:dyDescent="0.3">
      <c r="A309" s="1" t="s">
        <v>459</v>
      </c>
      <c r="B309" s="1" t="s">
        <v>1034</v>
      </c>
      <c r="C309" s="6">
        <v>4</v>
      </c>
      <c r="D309" s="6">
        <v>1</v>
      </c>
      <c r="E309" s="6" t="s">
        <v>1107</v>
      </c>
      <c r="F309" s="6">
        <v>7.5200000000000003E-2</v>
      </c>
      <c r="H309" s="1">
        <v>6</v>
      </c>
      <c r="I309">
        <v>3.2000000000000001E-2</v>
      </c>
      <c r="J309">
        <v>1.74999875429908</v>
      </c>
      <c r="K309">
        <v>18.189008437309599</v>
      </c>
      <c r="L309">
        <v>9.4807034956479708</v>
      </c>
      <c r="M309">
        <v>23.471044787108099</v>
      </c>
      <c r="N309">
        <v>8.4414500282577105</v>
      </c>
      <c r="O309">
        <v>27.3881298091388</v>
      </c>
      <c r="P309">
        <v>0</v>
      </c>
    </row>
    <row r="310" spans="1:16" ht="14.5" x14ac:dyDescent="0.3">
      <c r="A310" s="1" t="s">
        <v>460</v>
      </c>
      <c r="B310" s="1" t="s">
        <v>1034</v>
      </c>
      <c r="C310" s="6">
        <v>4</v>
      </c>
      <c r="D310" s="6">
        <v>2</v>
      </c>
      <c r="E310" s="6" t="s">
        <v>1107</v>
      </c>
      <c r="F310" s="6">
        <v>3.7400000000000003E-2</v>
      </c>
      <c r="H310" s="1">
        <v>5.9333333333333336</v>
      </c>
      <c r="I310">
        <v>3.2000000000000001E-2</v>
      </c>
      <c r="J310">
        <v>0.99135501136978899</v>
      </c>
      <c r="K310">
        <v>13.924841942974</v>
      </c>
      <c r="L310">
        <v>3.78077054809276</v>
      </c>
      <c r="M310">
        <v>11.4187567282623</v>
      </c>
      <c r="N310">
        <v>2.7848049062359399</v>
      </c>
      <c r="O310">
        <v>15.902775616354701</v>
      </c>
      <c r="P310">
        <v>0</v>
      </c>
    </row>
    <row r="311" spans="1:16" ht="14.5" x14ac:dyDescent="0.3">
      <c r="A311" s="1" t="s">
        <v>461</v>
      </c>
      <c r="B311" s="1" t="s">
        <v>1034</v>
      </c>
      <c r="C311" s="6">
        <v>4</v>
      </c>
      <c r="D311" s="6">
        <v>2</v>
      </c>
      <c r="E311" s="6" t="s">
        <v>1107</v>
      </c>
      <c r="F311" s="6">
        <v>9.1999999999999998E-2</v>
      </c>
      <c r="H311" s="1">
        <v>5.9333333333333336</v>
      </c>
      <c r="I311">
        <v>3.2000000000000001E-2</v>
      </c>
      <c r="J311">
        <v>2.3738852701584601</v>
      </c>
      <c r="K311">
        <v>20.3136047034771</v>
      </c>
      <c r="L311">
        <v>13.1522288924295</v>
      </c>
      <c r="M311">
        <v>42.2376633591821</v>
      </c>
      <c r="N311">
        <v>6.9250440722455497</v>
      </c>
      <c r="O311">
        <v>30.230242652510501</v>
      </c>
      <c r="P311">
        <v>0</v>
      </c>
    </row>
    <row r="312" spans="1:16" ht="14.5" x14ac:dyDescent="0.3">
      <c r="A312" s="1" t="s">
        <v>462</v>
      </c>
      <c r="B312" s="1" t="s">
        <v>1034</v>
      </c>
      <c r="C312" s="6">
        <v>4</v>
      </c>
      <c r="D312" s="6">
        <v>2</v>
      </c>
      <c r="E312" s="6" t="s">
        <v>1107</v>
      </c>
      <c r="F312" s="6">
        <v>5.5300000000000002E-2</v>
      </c>
      <c r="H312" s="1">
        <v>5.9333333333333336</v>
      </c>
      <c r="I312">
        <v>3.2000000000000001E-2</v>
      </c>
      <c r="J312">
        <v>1.4762094819521301</v>
      </c>
      <c r="K312">
        <v>17.090490677306001</v>
      </c>
      <c r="L312">
        <v>8.8209321530937199</v>
      </c>
      <c r="M312">
        <v>37.508479973105999</v>
      </c>
      <c r="N312">
        <v>6.8045091412599898</v>
      </c>
      <c r="O312">
        <v>28.5530590607782</v>
      </c>
      <c r="P312">
        <v>0</v>
      </c>
    </row>
    <row r="313" spans="1:16" ht="14.5" x14ac:dyDescent="0.3">
      <c r="A313" s="1" t="s">
        <v>463</v>
      </c>
      <c r="B313" s="1" t="s">
        <v>1034</v>
      </c>
      <c r="C313" s="6">
        <v>4</v>
      </c>
      <c r="D313" s="6">
        <v>3</v>
      </c>
      <c r="E313" s="6" t="s">
        <v>1107</v>
      </c>
      <c r="F313" s="6">
        <v>8.3500000000000005E-2</v>
      </c>
      <c r="H313" s="1">
        <v>6.0166666666666666</v>
      </c>
      <c r="I313">
        <v>3.2000000000000001E-2</v>
      </c>
      <c r="J313">
        <v>1.84299714455657</v>
      </c>
      <c r="K313">
        <v>20.499238725082598</v>
      </c>
      <c r="L313">
        <v>12.1654608205048</v>
      </c>
      <c r="M313">
        <v>47.106952257909697</v>
      </c>
      <c r="N313">
        <v>8.3379676982862208</v>
      </c>
      <c r="O313">
        <v>41.186791684443101</v>
      </c>
      <c r="P313">
        <v>0</v>
      </c>
    </row>
    <row r="314" spans="1:16" ht="14.5" x14ac:dyDescent="0.3">
      <c r="A314" s="1" t="s">
        <v>464</v>
      </c>
      <c r="B314" s="1" t="s">
        <v>1034</v>
      </c>
      <c r="C314" s="6">
        <v>4</v>
      </c>
      <c r="D314" s="6">
        <v>3</v>
      </c>
      <c r="E314" s="6" t="s">
        <v>1107</v>
      </c>
      <c r="F314" s="6">
        <v>0.10199999999999999</v>
      </c>
      <c r="H314" s="1">
        <v>6.0166666666666666</v>
      </c>
      <c r="I314">
        <v>3.2000000000000001E-2</v>
      </c>
      <c r="J314">
        <v>2.8956100053962701</v>
      </c>
      <c r="K314">
        <v>24.1616376545207</v>
      </c>
      <c r="L314">
        <v>15.041873931521</v>
      </c>
      <c r="M314">
        <v>46.862996508587003</v>
      </c>
      <c r="N314">
        <v>8.3942723002058006</v>
      </c>
      <c r="O314">
        <v>38.7866479009692</v>
      </c>
      <c r="P314">
        <v>0</v>
      </c>
    </row>
    <row r="315" spans="1:16" ht="14.5" x14ac:dyDescent="0.3">
      <c r="A315" s="1" t="s">
        <v>465</v>
      </c>
      <c r="B315" s="1" t="s">
        <v>1034</v>
      </c>
      <c r="C315" s="6">
        <v>4</v>
      </c>
      <c r="D315" s="6">
        <v>3</v>
      </c>
      <c r="E315" s="6" t="s">
        <v>1107</v>
      </c>
      <c r="F315" s="6">
        <v>0.1075</v>
      </c>
      <c r="H315" s="1">
        <v>6.0166666666666666</v>
      </c>
      <c r="I315">
        <v>3.2000000000000001E-2</v>
      </c>
      <c r="J315">
        <v>2.1392249253320399</v>
      </c>
      <c r="K315">
        <v>13.1817596535598</v>
      </c>
      <c r="L315">
        <v>13.3913133000868</v>
      </c>
      <c r="M315">
        <v>31.077956613050102</v>
      </c>
      <c r="N315">
        <v>7.0412085442135304</v>
      </c>
      <c r="O315">
        <v>26.477906431903602</v>
      </c>
      <c r="P315">
        <v>0</v>
      </c>
    </row>
    <row r="316" spans="1:16" ht="14.5" x14ac:dyDescent="0.3">
      <c r="A316" s="1" t="s">
        <v>466</v>
      </c>
      <c r="B316" s="1" t="s">
        <v>1034</v>
      </c>
      <c r="C316" s="6">
        <v>4</v>
      </c>
      <c r="D316" s="6">
        <v>4</v>
      </c>
      <c r="E316" s="6" t="s">
        <v>1107</v>
      </c>
      <c r="F316" s="6">
        <v>8.9899999999999994E-2</v>
      </c>
      <c r="H316" s="1">
        <v>6.0666666666666664</v>
      </c>
      <c r="I316">
        <v>3.2000000000000001E-2</v>
      </c>
      <c r="J316">
        <v>2.4233465488421699</v>
      </c>
      <c r="K316">
        <v>18.114013759165399</v>
      </c>
      <c r="L316">
        <v>9.0729633511198795</v>
      </c>
      <c r="M316">
        <v>23.450685007507499</v>
      </c>
      <c r="N316">
        <v>7.5414206785511997</v>
      </c>
      <c r="O316">
        <v>25.683220321538698</v>
      </c>
      <c r="P316">
        <v>0</v>
      </c>
    </row>
    <row r="317" spans="1:16" ht="14.5" x14ac:dyDescent="0.3">
      <c r="A317" s="1" t="s">
        <v>467</v>
      </c>
      <c r="B317" s="1" t="s">
        <v>1034</v>
      </c>
      <c r="C317" s="6">
        <v>4</v>
      </c>
      <c r="D317" s="6">
        <v>4</v>
      </c>
      <c r="E317" s="6" t="s">
        <v>1107</v>
      </c>
      <c r="F317" s="6">
        <v>8.7499999999999994E-2</v>
      </c>
      <c r="H317" s="1">
        <v>6.0666666666666664</v>
      </c>
      <c r="I317">
        <v>3.2000000000000001E-2</v>
      </c>
      <c r="J317">
        <v>2.20869332264621</v>
      </c>
      <c r="K317">
        <v>13.8479817862664</v>
      </c>
      <c r="L317">
        <v>12.784119780832</v>
      </c>
      <c r="M317">
        <v>30.324124691794399</v>
      </c>
      <c r="N317">
        <v>10.7667942057844</v>
      </c>
      <c r="O317">
        <v>23.190363909134302</v>
      </c>
      <c r="P317">
        <v>0</v>
      </c>
    </row>
    <row r="318" spans="1:16" ht="14.5" x14ac:dyDescent="0.3">
      <c r="A318" s="1" t="s">
        <v>468</v>
      </c>
      <c r="B318" s="1" t="s">
        <v>1034</v>
      </c>
      <c r="C318" s="6">
        <v>4</v>
      </c>
      <c r="D318" s="6">
        <v>4</v>
      </c>
      <c r="E318" s="6" t="s">
        <v>1107</v>
      </c>
      <c r="F318" s="6">
        <v>9.8799999999999999E-2</v>
      </c>
      <c r="H318" s="1">
        <v>6.0666666666666664</v>
      </c>
      <c r="I318">
        <v>3.2000000000000001E-2</v>
      </c>
      <c r="J318">
        <v>2.9065872450069499</v>
      </c>
      <c r="K318">
        <v>23.368379947290698</v>
      </c>
      <c r="L318">
        <v>13.596285411279901</v>
      </c>
      <c r="M318">
        <v>35.826936985986102</v>
      </c>
      <c r="N318">
        <v>11.724094617741899</v>
      </c>
      <c r="O318">
        <v>31.4255693402717</v>
      </c>
      <c r="P318">
        <v>0</v>
      </c>
    </row>
    <row r="319" spans="1:16" ht="14.5" hidden="1" x14ac:dyDescent="0.3">
      <c r="A319" s="1" t="s">
        <v>469</v>
      </c>
      <c r="B319" s="1" t="s">
        <v>1033</v>
      </c>
      <c r="C319" s="6">
        <v>4</v>
      </c>
      <c r="D319" s="6">
        <v>1</v>
      </c>
      <c r="E319" s="6" t="s">
        <v>1108</v>
      </c>
      <c r="F319" s="6">
        <v>7.5499999999999998E-2</v>
      </c>
      <c r="I319">
        <v>3.2000000000000001E-2</v>
      </c>
      <c r="J319">
        <v>1.5647217584712501</v>
      </c>
      <c r="K319">
        <v>12.919392287329799</v>
      </c>
      <c r="L319">
        <v>8.5463512889440594</v>
      </c>
      <c r="M319">
        <v>22.270923122734199</v>
      </c>
      <c r="N319">
        <v>3.17989788944984</v>
      </c>
      <c r="O319">
        <v>11.877191968322</v>
      </c>
      <c r="P319">
        <v>0</v>
      </c>
    </row>
    <row r="320" spans="1:16" ht="14.5" hidden="1" x14ac:dyDescent="0.3">
      <c r="A320" s="1" t="s">
        <v>470</v>
      </c>
      <c r="B320" s="1" t="s">
        <v>1033</v>
      </c>
      <c r="C320" s="6">
        <v>4</v>
      </c>
      <c r="D320" s="6">
        <v>1</v>
      </c>
      <c r="E320" s="6" t="s">
        <v>1108</v>
      </c>
      <c r="F320" s="6">
        <v>8.9599999999999999E-2</v>
      </c>
      <c r="I320">
        <v>3.2000000000000001E-2</v>
      </c>
      <c r="J320">
        <v>1.8866652025177899</v>
      </c>
      <c r="K320">
        <v>8.5333546494285404</v>
      </c>
      <c r="L320">
        <v>13.0650740609937</v>
      </c>
      <c r="M320">
        <v>24.450369362964299</v>
      </c>
      <c r="N320">
        <v>5.0766620758468202</v>
      </c>
      <c r="O320">
        <v>13.1166522700524</v>
      </c>
      <c r="P320">
        <v>0</v>
      </c>
    </row>
    <row r="321" spans="1:16" ht="14.5" hidden="1" x14ac:dyDescent="0.3">
      <c r="A321" s="1" t="s">
        <v>471</v>
      </c>
      <c r="B321" s="1" t="s">
        <v>1033</v>
      </c>
      <c r="C321" s="6">
        <v>4</v>
      </c>
      <c r="D321" s="6">
        <v>1</v>
      </c>
      <c r="E321" s="6" t="s">
        <v>1108</v>
      </c>
      <c r="F321" s="6">
        <v>7.9500000000000001E-2</v>
      </c>
      <c r="I321">
        <v>3.2000000000000001E-2</v>
      </c>
      <c r="J321">
        <v>2.9888885707420898</v>
      </c>
      <c r="K321">
        <v>21.9672353327366</v>
      </c>
      <c r="L321">
        <v>9.8193554007080408</v>
      </c>
      <c r="M321">
        <v>25.626611678699799</v>
      </c>
      <c r="N321">
        <v>7.1937692034715104</v>
      </c>
      <c r="O321">
        <v>24.393777662458302</v>
      </c>
      <c r="P321">
        <v>0</v>
      </c>
    </row>
    <row r="322" spans="1:16" ht="14.5" hidden="1" x14ac:dyDescent="0.3">
      <c r="A322" s="1" t="s">
        <v>472</v>
      </c>
      <c r="B322" s="1" t="s">
        <v>1033</v>
      </c>
      <c r="C322" s="6">
        <v>4</v>
      </c>
      <c r="D322" s="6">
        <v>2</v>
      </c>
      <c r="E322" s="6" t="s">
        <v>1108</v>
      </c>
      <c r="F322" s="6">
        <v>9.0899999999999995E-2</v>
      </c>
      <c r="I322">
        <v>3.2000000000000001E-2</v>
      </c>
      <c r="J322">
        <v>3.41823602229899</v>
      </c>
      <c r="K322">
        <v>26.797123672969501</v>
      </c>
      <c r="L322">
        <v>15.3454677238686</v>
      </c>
      <c r="M322">
        <v>45.796389530771897</v>
      </c>
      <c r="N322">
        <v>6.7386748848003899</v>
      </c>
      <c r="O322">
        <v>30.596328794948999</v>
      </c>
      <c r="P322">
        <v>0</v>
      </c>
    </row>
    <row r="323" spans="1:16" ht="14.5" hidden="1" x14ac:dyDescent="0.3">
      <c r="A323" s="1" t="s">
        <v>473</v>
      </c>
      <c r="B323" s="1" t="s">
        <v>1033</v>
      </c>
      <c r="C323" s="6">
        <v>4</v>
      </c>
      <c r="D323" s="6">
        <v>2</v>
      </c>
      <c r="E323" s="6" t="s">
        <v>1108</v>
      </c>
      <c r="F323" s="6">
        <v>7.5200000000000003E-2</v>
      </c>
      <c r="I323">
        <v>3.2000000000000001E-2</v>
      </c>
      <c r="J323">
        <v>1.7905908218247599</v>
      </c>
      <c r="K323">
        <v>14.0891570782739</v>
      </c>
      <c r="L323">
        <v>11.6826198570401</v>
      </c>
      <c r="M323">
        <v>26.075873193637399</v>
      </c>
      <c r="N323">
        <v>3.5091271295931099</v>
      </c>
      <c r="O323">
        <v>23.455133457081001</v>
      </c>
      <c r="P323">
        <v>0</v>
      </c>
    </row>
    <row r="324" spans="1:16" ht="14.5" hidden="1" x14ac:dyDescent="0.3">
      <c r="A324" s="1" t="s">
        <v>474</v>
      </c>
      <c r="B324" s="1" t="s">
        <v>1033</v>
      </c>
      <c r="C324" s="6">
        <v>4</v>
      </c>
      <c r="D324" s="6">
        <v>2</v>
      </c>
      <c r="E324" s="6" t="s">
        <v>1108</v>
      </c>
      <c r="F324" s="6">
        <v>7.17E-2</v>
      </c>
      <c r="I324">
        <v>3.2000000000000001E-2</v>
      </c>
      <c r="J324">
        <v>2.2649480897374299</v>
      </c>
      <c r="K324">
        <v>20.420324428417398</v>
      </c>
      <c r="L324">
        <v>12.459548179595</v>
      </c>
      <c r="M324">
        <v>39.759737382507197</v>
      </c>
      <c r="N324">
        <v>4.8115252943181401</v>
      </c>
      <c r="O324">
        <v>27.955330531492901</v>
      </c>
      <c r="P324">
        <v>0</v>
      </c>
    </row>
    <row r="325" spans="1:16" ht="14.5" hidden="1" x14ac:dyDescent="0.3">
      <c r="A325" s="1" t="s">
        <v>475</v>
      </c>
      <c r="B325" s="1" t="s">
        <v>1033</v>
      </c>
      <c r="C325" s="6">
        <v>4</v>
      </c>
      <c r="D325" s="6">
        <v>3</v>
      </c>
      <c r="E325" s="6" t="s">
        <v>1108</v>
      </c>
      <c r="F325" s="6">
        <v>8.5900000000000004E-2</v>
      </c>
      <c r="I325">
        <v>3.2000000000000001E-2</v>
      </c>
      <c r="J325">
        <v>2.2311379164903902</v>
      </c>
      <c r="K325">
        <v>23.965965332327201</v>
      </c>
      <c r="L325">
        <v>14.825912415467</v>
      </c>
      <c r="M325">
        <v>49.6399215756608</v>
      </c>
      <c r="N325">
        <v>2.92676065725614</v>
      </c>
      <c r="O325">
        <v>41.529078137457503</v>
      </c>
      <c r="P325">
        <v>0</v>
      </c>
    </row>
    <row r="326" spans="1:16" ht="14.5" hidden="1" x14ac:dyDescent="0.3">
      <c r="A326" s="1" t="s">
        <v>476</v>
      </c>
      <c r="B326" s="1" t="s">
        <v>1033</v>
      </c>
      <c r="C326" s="6">
        <v>4</v>
      </c>
      <c r="D326" s="6">
        <v>3</v>
      </c>
      <c r="E326" s="6" t="s">
        <v>1108</v>
      </c>
      <c r="F326" s="6">
        <v>6.3299999999999995E-2</v>
      </c>
      <c r="I326">
        <v>3.2000000000000001E-2</v>
      </c>
      <c r="J326">
        <v>2.06886477989076</v>
      </c>
      <c r="K326">
        <v>15.4797494152134</v>
      </c>
      <c r="L326">
        <v>10.3893809783847</v>
      </c>
      <c r="M326">
        <v>26.0441576862885</v>
      </c>
      <c r="N326">
        <v>4.4229777871506304</v>
      </c>
      <c r="O326">
        <v>24.0307907436957</v>
      </c>
      <c r="P326">
        <v>0</v>
      </c>
    </row>
    <row r="327" spans="1:16" ht="14.5" hidden="1" x14ac:dyDescent="0.3">
      <c r="A327" s="1" t="s">
        <v>477</v>
      </c>
      <c r="B327" s="1" t="s">
        <v>1033</v>
      </c>
      <c r="C327" s="6">
        <v>4</v>
      </c>
      <c r="D327" s="6">
        <v>3</v>
      </c>
      <c r="E327" s="6" t="s">
        <v>1108</v>
      </c>
      <c r="F327" s="6">
        <v>5.3199999999999997E-2</v>
      </c>
      <c r="I327">
        <v>3.2000000000000001E-2</v>
      </c>
      <c r="J327">
        <v>1.3239579857563</v>
      </c>
      <c r="K327">
        <v>15.0660588613316</v>
      </c>
      <c r="L327">
        <v>8.9350994269533892</v>
      </c>
      <c r="M327">
        <v>35.076992077618499</v>
      </c>
      <c r="N327">
        <v>3.1383370351391799</v>
      </c>
      <c r="O327">
        <v>20.8992724984702</v>
      </c>
      <c r="P327">
        <v>0</v>
      </c>
    </row>
    <row r="328" spans="1:16" ht="14.5" hidden="1" x14ac:dyDescent="0.3">
      <c r="A328" s="1" t="s">
        <v>478</v>
      </c>
      <c r="B328" s="1" t="s">
        <v>1035</v>
      </c>
      <c r="C328" s="6">
        <v>4</v>
      </c>
      <c r="D328" s="6">
        <v>1</v>
      </c>
      <c r="E328" s="6" t="s">
        <v>1108</v>
      </c>
      <c r="F328" s="6">
        <v>9.35E-2</v>
      </c>
      <c r="H328" s="1">
        <v>24.133333333333333</v>
      </c>
      <c r="I328">
        <v>3.2000000000000001E-2</v>
      </c>
      <c r="J328">
        <v>2.0492737639591398</v>
      </c>
      <c r="K328">
        <v>18.402804001768601</v>
      </c>
      <c r="L328">
        <v>12.0868996581223</v>
      </c>
      <c r="M328">
        <v>31.453168322578801</v>
      </c>
      <c r="N328">
        <v>9.5624432962552</v>
      </c>
      <c r="O328">
        <v>43.511410330222901</v>
      </c>
      <c r="P328">
        <v>0</v>
      </c>
    </row>
    <row r="329" spans="1:16" ht="14.5" hidden="1" x14ac:dyDescent="0.3">
      <c r="A329" s="1" t="s">
        <v>479</v>
      </c>
      <c r="B329" s="1" t="s">
        <v>1035</v>
      </c>
      <c r="C329" s="6">
        <v>4</v>
      </c>
      <c r="D329" s="6">
        <v>1</v>
      </c>
      <c r="E329" s="6" t="s">
        <v>1108</v>
      </c>
      <c r="F329" s="6">
        <v>0.1047</v>
      </c>
      <c r="H329" s="1">
        <v>24.133333333333333</v>
      </c>
      <c r="I329">
        <v>3.2000000000000001E-2</v>
      </c>
      <c r="J329">
        <v>2.1879075549148799</v>
      </c>
      <c r="K329">
        <v>20.8951735914364</v>
      </c>
      <c r="L329">
        <v>12.8323736850556</v>
      </c>
      <c r="M329">
        <v>34.179071299019597</v>
      </c>
      <c r="N329">
        <v>5.7102126565194</v>
      </c>
      <c r="O329">
        <v>33.5721633960408</v>
      </c>
      <c r="P329">
        <v>0</v>
      </c>
    </row>
    <row r="330" spans="1:16" ht="14.5" hidden="1" x14ac:dyDescent="0.3">
      <c r="A330" s="1" t="s">
        <v>480</v>
      </c>
      <c r="B330" s="1" t="s">
        <v>1035</v>
      </c>
      <c r="C330" s="6">
        <v>4</v>
      </c>
      <c r="D330" s="6">
        <v>1</v>
      </c>
      <c r="E330" s="6" t="s">
        <v>1108</v>
      </c>
      <c r="F330" s="6">
        <v>9.5600000000000004E-2</v>
      </c>
      <c r="H330" s="1">
        <v>24.133333333333333</v>
      </c>
      <c r="I330">
        <v>3.2000000000000001E-2</v>
      </c>
      <c r="J330">
        <v>2.6244188522009799</v>
      </c>
      <c r="K330">
        <v>17.083672923373801</v>
      </c>
      <c r="L330">
        <v>14.687620512178199</v>
      </c>
      <c r="M330">
        <v>31.102450139251701</v>
      </c>
      <c r="N330">
        <v>5.8139189300572802</v>
      </c>
      <c r="O330">
        <v>22.111878485756002</v>
      </c>
      <c r="P330">
        <v>0</v>
      </c>
    </row>
    <row r="331" spans="1:16" ht="14.5" hidden="1" x14ac:dyDescent="0.3">
      <c r="A331" s="1" t="s">
        <v>481</v>
      </c>
      <c r="B331" s="1" t="s">
        <v>1035</v>
      </c>
      <c r="C331" s="6">
        <v>4</v>
      </c>
      <c r="D331" s="6">
        <v>1</v>
      </c>
      <c r="E331" s="6" t="s">
        <v>1108</v>
      </c>
      <c r="F331" s="6">
        <v>0.1003</v>
      </c>
      <c r="H331" s="1">
        <v>24.133333333333333</v>
      </c>
      <c r="I331">
        <v>3.2000000000000001E-2</v>
      </c>
      <c r="J331">
        <v>2.74627545714768</v>
      </c>
      <c r="K331">
        <v>21.266967818271699</v>
      </c>
      <c r="L331">
        <v>15.4682845440931</v>
      </c>
      <c r="M331">
        <v>42.535043335960502</v>
      </c>
      <c r="N331">
        <v>10.238637935284199</v>
      </c>
      <c r="O331">
        <v>36.9204338360056</v>
      </c>
      <c r="P331">
        <v>0</v>
      </c>
    </row>
    <row r="332" spans="1:16" ht="14.5" hidden="1" x14ac:dyDescent="0.3">
      <c r="A332" s="1" t="s">
        <v>482</v>
      </c>
      <c r="B332" s="1" t="s">
        <v>1035</v>
      </c>
      <c r="C332" s="6">
        <v>4</v>
      </c>
      <c r="D332" s="6">
        <v>2</v>
      </c>
      <c r="E332" s="6" t="s">
        <v>1108</v>
      </c>
      <c r="F332" s="6">
        <v>8.7800000000000003E-2</v>
      </c>
      <c r="H332" s="1">
        <v>24.166666666666668</v>
      </c>
      <c r="I332">
        <v>3.2000000000000001E-2</v>
      </c>
      <c r="J332">
        <v>2.4187834991122599</v>
      </c>
      <c r="K332">
        <v>21.099137530099799</v>
      </c>
      <c r="L332">
        <v>13.1265355892127</v>
      </c>
      <c r="M332">
        <v>28.763438424843098</v>
      </c>
      <c r="N332">
        <v>3.3984040990767501</v>
      </c>
      <c r="O332">
        <v>18.691855498023099</v>
      </c>
      <c r="P332">
        <v>0</v>
      </c>
    </row>
    <row r="333" spans="1:16" ht="14.5" hidden="1" x14ac:dyDescent="0.3">
      <c r="A333" s="1" t="s">
        <v>483</v>
      </c>
      <c r="B333" s="1" t="s">
        <v>1035</v>
      </c>
      <c r="C333" s="6">
        <v>4</v>
      </c>
      <c r="D333" s="6">
        <v>2</v>
      </c>
      <c r="E333" s="6" t="s">
        <v>1108</v>
      </c>
      <c r="F333" s="6">
        <v>7.5600000000000001E-2</v>
      </c>
      <c r="H333" s="1">
        <v>24.166666666666668</v>
      </c>
      <c r="I333">
        <v>3.2000000000000001E-2</v>
      </c>
      <c r="J333">
        <v>2.52714776456749</v>
      </c>
      <c r="K333">
        <v>15.6588023368028</v>
      </c>
      <c r="L333">
        <v>9.06032265440796</v>
      </c>
      <c r="M333">
        <v>19.361119249761899</v>
      </c>
      <c r="N333">
        <v>4.5320712891253301</v>
      </c>
      <c r="O333">
        <v>12.0087081316696</v>
      </c>
      <c r="P333">
        <v>0</v>
      </c>
    </row>
    <row r="334" spans="1:16" ht="14.5" hidden="1" x14ac:dyDescent="0.3">
      <c r="A334" s="1" t="s">
        <v>484</v>
      </c>
      <c r="B334" s="1" t="s">
        <v>1035</v>
      </c>
      <c r="C334" s="6">
        <v>4</v>
      </c>
      <c r="D334" s="6">
        <v>2</v>
      </c>
      <c r="E334" s="6" t="s">
        <v>1108</v>
      </c>
      <c r="F334" s="6">
        <v>7.0400000000000004E-2</v>
      </c>
      <c r="H334" s="1">
        <v>24.166666666666668</v>
      </c>
      <c r="I334">
        <v>3.2000000000000001E-2</v>
      </c>
      <c r="J334">
        <v>1.97508429930601</v>
      </c>
      <c r="K334">
        <v>19.527892062964799</v>
      </c>
      <c r="L334">
        <v>11.411015539089201</v>
      </c>
      <c r="M334">
        <v>30.487664929311599</v>
      </c>
      <c r="N334">
        <v>4.50786856748155</v>
      </c>
      <c r="O334">
        <v>32.512872469447998</v>
      </c>
      <c r="P334">
        <v>0</v>
      </c>
    </row>
    <row r="335" spans="1:16" ht="14.5" hidden="1" x14ac:dyDescent="0.3">
      <c r="A335" s="1" t="s">
        <v>485</v>
      </c>
      <c r="B335" s="1" t="s">
        <v>1035</v>
      </c>
      <c r="C335" s="6">
        <v>4</v>
      </c>
      <c r="D335" s="6">
        <v>2</v>
      </c>
      <c r="E335" s="6" t="s">
        <v>1108</v>
      </c>
      <c r="F335" s="6">
        <v>7.3200000000000001E-2</v>
      </c>
      <c r="H335" s="1">
        <v>24.166666666666668</v>
      </c>
      <c r="I335">
        <v>3.2000000000000001E-2</v>
      </c>
      <c r="J335">
        <v>1.82501256990905</v>
      </c>
      <c r="K335">
        <v>17.169793735758201</v>
      </c>
      <c r="L335">
        <v>10.300363838676599</v>
      </c>
      <c r="M335">
        <v>24.474491356253701</v>
      </c>
      <c r="N335">
        <v>4.3069242566834296</v>
      </c>
      <c r="O335">
        <v>22.657811563749899</v>
      </c>
      <c r="P335">
        <v>0</v>
      </c>
    </row>
    <row r="336" spans="1:16" ht="14.5" hidden="1" x14ac:dyDescent="0.3">
      <c r="A336" s="1" t="s">
        <v>486</v>
      </c>
      <c r="B336" s="1" t="s">
        <v>1035</v>
      </c>
      <c r="C336" s="6">
        <v>4</v>
      </c>
      <c r="D336" s="6">
        <v>3</v>
      </c>
      <c r="E336" s="6" t="s">
        <v>1108</v>
      </c>
      <c r="F336" s="6">
        <v>9.8500000000000004E-2</v>
      </c>
      <c r="H336" s="1">
        <v>24.316666666666666</v>
      </c>
      <c r="I336">
        <v>3.2000000000000001E-2</v>
      </c>
      <c r="J336">
        <v>1.8851122923167201</v>
      </c>
      <c r="K336">
        <v>19.160909472605599</v>
      </c>
      <c r="L336">
        <v>15.180338583851899</v>
      </c>
      <c r="M336">
        <v>39.410380191722098</v>
      </c>
      <c r="N336">
        <v>7.9930405995526597</v>
      </c>
      <c r="O336">
        <v>28.195828205516499</v>
      </c>
      <c r="P336">
        <v>0</v>
      </c>
    </row>
    <row r="337" spans="1:16" ht="14.5" hidden="1" x14ac:dyDescent="0.3">
      <c r="A337" s="1" t="s">
        <v>487</v>
      </c>
      <c r="B337" s="1" t="s">
        <v>1035</v>
      </c>
      <c r="C337" s="6">
        <v>4</v>
      </c>
      <c r="D337" s="6">
        <v>3</v>
      </c>
      <c r="E337" s="6" t="s">
        <v>1108</v>
      </c>
      <c r="F337" s="6">
        <v>0.1159</v>
      </c>
      <c r="H337" s="1">
        <v>24.316666666666666</v>
      </c>
      <c r="I337">
        <v>0.04</v>
      </c>
      <c r="J337">
        <v>1.8566349439004499</v>
      </c>
      <c r="K337">
        <v>11.449758444308699</v>
      </c>
      <c r="L337">
        <v>11.027125299831001</v>
      </c>
      <c r="M337">
        <v>21.186890309524401</v>
      </c>
      <c r="N337">
        <v>4.9504640686473396</v>
      </c>
      <c r="O337">
        <v>16.733815644120799</v>
      </c>
      <c r="P337">
        <v>0</v>
      </c>
    </row>
    <row r="338" spans="1:16" ht="14.5" hidden="1" x14ac:dyDescent="0.3">
      <c r="A338" s="1" t="s">
        <v>488</v>
      </c>
      <c r="B338" s="1" t="s">
        <v>1035</v>
      </c>
      <c r="C338" s="6">
        <v>4</v>
      </c>
      <c r="D338" s="6">
        <v>3</v>
      </c>
      <c r="E338" s="6" t="s">
        <v>1108</v>
      </c>
      <c r="F338" s="6">
        <v>0.09</v>
      </c>
      <c r="H338" s="1">
        <v>24.316666666666666</v>
      </c>
      <c r="I338">
        <v>3.2000000000000001E-2</v>
      </c>
      <c r="J338">
        <v>1.95302198894501</v>
      </c>
      <c r="K338">
        <v>17.798806055262201</v>
      </c>
      <c r="L338">
        <v>11.9940230818094</v>
      </c>
      <c r="M338">
        <v>28.306892267032701</v>
      </c>
      <c r="N338">
        <v>7.8783056350352796</v>
      </c>
      <c r="O338">
        <v>23.623978882293599</v>
      </c>
      <c r="P338">
        <v>0</v>
      </c>
    </row>
    <row r="339" spans="1:16" ht="14.5" hidden="1" x14ac:dyDescent="0.3">
      <c r="A339" s="1" t="s">
        <v>489</v>
      </c>
      <c r="B339" s="1" t="s">
        <v>1035</v>
      </c>
      <c r="C339" s="6">
        <v>4</v>
      </c>
      <c r="D339" s="6">
        <v>3</v>
      </c>
      <c r="E339" s="6" t="s">
        <v>1108</v>
      </c>
      <c r="F339" s="6">
        <v>0.1007</v>
      </c>
      <c r="H339" s="1">
        <v>24.316666666666666</v>
      </c>
      <c r="I339">
        <v>3.2000000000000001E-2</v>
      </c>
      <c r="J339">
        <v>2.23202098751347</v>
      </c>
      <c r="K339">
        <v>17.285562601132099</v>
      </c>
      <c r="L339">
        <v>14.7490064169066</v>
      </c>
      <c r="M339">
        <v>35.608181451126697</v>
      </c>
      <c r="N339">
        <v>9.3470988365204697</v>
      </c>
      <c r="O339">
        <v>29.957233408410701</v>
      </c>
      <c r="P339">
        <v>0</v>
      </c>
    </row>
    <row r="340" spans="1:16" ht="14.5" hidden="1" x14ac:dyDescent="0.3">
      <c r="A340" s="1" t="s">
        <v>490</v>
      </c>
      <c r="B340" s="1" t="s">
        <v>1035</v>
      </c>
      <c r="C340" s="6">
        <v>4</v>
      </c>
      <c r="D340" s="6">
        <v>4</v>
      </c>
      <c r="E340" s="6" t="s">
        <v>1108</v>
      </c>
      <c r="F340" s="6">
        <v>0.1084</v>
      </c>
      <c r="H340" s="1">
        <v>24.116666666666667</v>
      </c>
      <c r="I340">
        <v>3.2000000000000001E-2</v>
      </c>
      <c r="J340">
        <v>2.0148035402956901</v>
      </c>
      <c r="K340">
        <v>18.366379697585799</v>
      </c>
      <c r="L340">
        <v>13.740499113127999</v>
      </c>
      <c r="M340">
        <v>30.527079259301701</v>
      </c>
      <c r="N340">
        <v>7.2753757571257296</v>
      </c>
      <c r="O340">
        <v>31.316881816100398</v>
      </c>
      <c r="P340">
        <v>0</v>
      </c>
    </row>
    <row r="341" spans="1:16" ht="14.5" hidden="1" x14ac:dyDescent="0.3">
      <c r="A341" s="1" t="s">
        <v>491</v>
      </c>
      <c r="B341" s="1" t="s">
        <v>1035</v>
      </c>
      <c r="C341" s="6">
        <v>4</v>
      </c>
      <c r="D341" s="6">
        <v>4</v>
      </c>
      <c r="E341" s="6" t="s">
        <v>1108</v>
      </c>
      <c r="F341" s="6">
        <v>0.10440000000000001</v>
      </c>
      <c r="H341" s="1">
        <v>24.116666666666667</v>
      </c>
      <c r="I341">
        <v>3.2000000000000001E-2</v>
      </c>
      <c r="J341">
        <v>1.73202838398796</v>
      </c>
      <c r="K341">
        <v>16.508468595915001</v>
      </c>
      <c r="L341">
        <v>14.705657937972401</v>
      </c>
      <c r="M341">
        <v>33.039506466522099</v>
      </c>
      <c r="N341">
        <v>7.5063618858966903</v>
      </c>
      <c r="O341">
        <v>26.7941020173187</v>
      </c>
      <c r="P341">
        <v>0</v>
      </c>
    </row>
    <row r="342" spans="1:16" ht="14.5" hidden="1" x14ac:dyDescent="0.3">
      <c r="A342" s="1" t="s">
        <v>492</v>
      </c>
      <c r="B342" s="1" t="s">
        <v>1035</v>
      </c>
      <c r="C342" s="6">
        <v>4</v>
      </c>
      <c r="D342" s="6">
        <v>4</v>
      </c>
      <c r="E342" s="6" t="s">
        <v>1108</v>
      </c>
      <c r="F342" s="6">
        <v>0.1051</v>
      </c>
      <c r="H342" s="1">
        <v>24.116666666666667</v>
      </c>
      <c r="I342">
        <v>3.2000000000000001E-2</v>
      </c>
      <c r="J342">
        <v>2.53491899802188</v>
      </c>
      <c r="K342">
        <v>27.895425900932999</v>
      </c>
      <c r="L342">
        <v>15.0111804095531</v>
      </c>
      <c r="M342">
        <v>36.354575424856101</v>
      </c>
      <c r="N342">
        <v>7.1423999779031098</v>
      </c>
      <c r="O342">
        <v>55.015720067133202</v>
      </c>
      <c r="P342">
        <v>0</v>
      </c>
    </row>
    <row r="343" spans="1:16" ht="14.5" hidden="1" x14ac:dyDescent="0.3">
      <c r="A343" s="1" t="s">
        <v>493</v>
      </c>
      <c r="B343" s="1" t="s">
        <v>1035</v>
      </c>
      <c r="C343" s="6">
        <v>4</v>
      </c>
      <c r="D343" s="6">
        <v>4</v>
      </c>
      <c r="E343" s="6" t="s">
        <v>1108</v>
      </c>
      <c r="F343" s="6">
        <v>7.3200000000000001E-2</v>
      </c>
      <c r="H343" s="1">
        <v>24.116666666666667</v>
      </c>
      <c r="I343">
        <v>3.2000000000000001E-2</v>
      </c>
      <c r="J343">
        <v>1.69686090077222</v>
      </c>
      <c r="K343">
        <v>12.8609820288265</v>
      </c>
      <c r="L343">
        <v>12.1298056186116</v>
      </c>
      <c r="M343">
        <v>33.797441543799302</v>
      </c>
      <c r="N343">
        <v>7.5489378665611904</v>
      </c>
      <c r="O343">
        <v>20.450772928945199</v>
      </c>
      <c r="P343">
        <v>0</v>
      </c>
    </row>
    <row r="344" spans="1:16" ht="14.5" x14ac:dyDescent="0.3">
      <c r="A344" s="1" t="s">
        <v>494</v>
      </c>
      <c r="B344" s="1" t="s">
        <v>1034</v>
      </c>
      <c r="C344" s="6">
        <v>4</v>
      </c>
      <c r="D344" s="6">
        <v>1</v>
      </c>
      <c r="E344" s="6" t="s">
        <v>1108</v>
      </c>
      <c r="F344" s="6">
        <v>8.5099999999999995E-2</v>
      </c>
      <c r="H344" s="1">
        <v>24.283333333333335</v>
      </c>
      <c r="I344">
        <v>3.2000000000000001E-2</v>
      </c>
      <c r="J344">
        <v>2.28800965587279</v>
      </c>
      <c r="K344">
        <v>18.068946145743201</v>
      </c>
      <c r="L344">
        <v>10.8304234915888</v>
      </c>
      <c r="M344">
        <v>22.0327198615696</v>
      </c>
      <c r="N344">
        <v>9.2693481724014593</v>
      </c>
      <c r="O344">
        <v>19.015458021730399</v>
      </c>
      <c r="P344">
        <v>0</v>
      </c>
    </row>
    <row r="345" spans="1:16" ht="14.5" x14ac:dyDescent="0.3">
      <c r="A345" s="1" t="s">
        <v>495</v>
      </c>
      <c r="B345" s="1" t="s">
        <v>1034</v>
      </c>
      <c r="C345" s="6">
        <v>4</v>
      </c>
      <c r="D345" s="6">
        <v>1</v>
      </c>
      <c r="E345" s="6" t="s">
        <v>1108</v>
      </c>
      <c r="F345" s="6">
        <v>0.10199999999999999</v>
      </c>
      <c r="H345" s="1">
        <v>24.283333333333335</v>
      </c>
      <c r="I345">
        <v>3.2000000000000001E-2</v>
      </c>
      <c r="J345">
        <v>2.9164782950867099</v>
      </c>
      <c r="K345">
        <v>24.9798077135037</v>
      </c>
      <c r="L345">
        <v>13.9645035257419</v>
      </c>
      <c r="M345">
        <v>33.346185658293699</v>
      </c>
      <c r="N345">
        <v>10.7806413038616</v>
      </c>
      <c r="O345">
        <v>30.836094270421299</v>
      </c>
      <c r="P345">
        <v>0</v>
      </c>
    </row>
    <row r="346" spans="1:16" ht="14.5" x14ac:dyDescent="0.3">
      <c r="A346" s="1" t="s">
        <v>496</v>
      </c>
      <c r="B346" s="1" t="s">
        <v>1034</v>
      </c>
      <c r="C346" s="6">
        <v>4</v>
      </c>
      <c r="D346" s="6">
        <v>1</v>
      </c>
      <c r="E346" s="6" t="s">
        <v>1108</v>
      </c>
      <c r="F346" s="6">
        <v>8.4099999999999994E-2</v>
      </c>
      <c r="H346" s="1">
        <v>24.283333333333335</v>
      </c>
      <c r="I346">
        <v>3.2000000000000001E-2</v>
      </c>
      <c r="J346">
        <v>2.0722366636723599</v>
      </c>
      <c r="K346">
        <v>13.727006426718299</v>
      </c>
      <c r="L346">
        <v>9.4653919702266993</v>
      </c>
      <c r="M346">
        <v>24.433560390708799</v>
      </c>
      <c r="N346">
        <v>5.2542789744986802</v>
      </c>
      <c r="O346">
        <v>14.2919255320934</v>
      </c>
      <c r="P346">
        <v>0</v>
      </c>
    </row>
    <row r="347" spans="1:16" ht="14.5" x14ac:dyDescent="0.3">
      <c r="A347" s="1" t="s">
        <v>497</v>
      </c>
      <c r="B347" s="1" t="s">
        <v>1034</v>
      </c>
      <c r="C347" s="6">
        <v>4</v>
      </c>
      <c r="D347" s="6">
        <v>2</v>
      </c>
      <c r="E347" s="6" t="s">
        <v>1108</v>
      </c>
      <c r="F347" s="6">
        <v>8.1600000000000006E-2</v>
      </c>
      <c r="H347" s="1">
        <v>24.183333333333334</v>
      </c>
      <c r="I347">
        <v>3.2000000000000001E-2</v>
      </c>
      <c r="J347">
        <v>2.5578885522163999</v>
      </c>
      <c r="K347">
        <v>25.4699939578821</v>
      </c>
      <c r="L347">
        <v>11.112220283541101</v>
      </c>
      <c r="M347">
        <v>34.726075120442097</v>
      </c>
      <c r="N347">
        <v>15.2137506368627</v>
      </c>
      <c r="O347">
        <v>40.350546953480098</v>
      </c>
      <c r="P347">
        <v>0</v>
      </c>
    </row>
    <row r="348" spans="1:16" ht="14.5" x14ac:dyDescent="0.3">
      <c r="A348" s="1" t="s">
        <v>498</v>
      </c>
      <c r="B348" s="1" t="s">
        <v>1034</v>
      </c>
      <c r="C348" s="6">
        <v>4</v>
      </c>
      <c r="D348" s="6">
        <v>2</v>
      </c>
      <c r="E348" s="6" t="s">
        <v>1108</v>
      </c>
      <c r="F348" s="6">
        <v>7.8899999999999998E-2</v>
      </c>
      <c r="H348" s="1">
        <v>24.183333333333334</v>
      </c>
      <c r="I348">
        <v>3.2000000000000001E-2</v>
      </c>
      <c r="J348">
        <v>2.38174508186377</v>
      </c>
      <c r="K348">
        <v>23.659135783456801</v>
      </c>
      <c r="L348">
        <v>14.260841339636601</v>
      </c>
      <c r="M348">
        <v>40.983798745938302</v>
      </c>
      <c r="N348">
        <v>11.822059806864701</v>
      </c>
      <c r="O348">
        <v>34.329638494819498</v>
      </c>
      <c r="P348">
        <v>0</v>
      </c>
    </row>
    <row r="349" spans="1:16" ht="14.5" x14ac:dyDescent="0.3">
      <c r="A349" s="1" t="s">
        <v>499</v>
      </c>
      <c r="B349" s="1" t="s">
        <v>1034</v>
      </c>
      <c r="C349" s="6">
        <v>4</v>
      </c>
      <c r="D349" s="6">
        <v>2</v>
      </c>
      <c r="E349" s="6" t="s">
        <v>1108</v>
      </c>
      <c r="F349" s="6">
        <v>7.9600000000000004E-2</v>
      </c>
      <c r="G349" s="1" t="s">
        <v>500</v>
      </c>
      <c r="H349" s="1">
        <v>24.183333333333334</v>
      </c>
      <c r="I349">
        <v>3.2000000000000001E-2</v>
      </c>
      <c r="J349">
        <v>3.2321949861685102</v>
      </c>
      <c r="K349">
        <v>3.2068266560325398</v>
      </c>
      <c r="L349">
        <v>14.512009678819901</v>
      </c>
      <c r="M349">
        <v>14.8224187564057</v>
      </c>
      <c r="N349">
        <v>12.7372771130846</v>
      </c>
      <c r="O349">
        <v>12.5484109829631</v>
      </c>
      <c r="P349">
        <v>1</v>
      </c>
    </row>
    <row r="350" spans="1:16" ht="14.5" x14ac:dyDescent="0.3">
      <c r="A350" s="1" t="s">
        <v>501</v>
      </c>
      <c r="B350" s="1" t="s">
        <v>1034</v>
      </c>
      <c r="C350" s="6">
        <v>4</v>
      </c>
      <c r="D350" s="6">
        <v>3</v>
      </c>
      <c r="E350" s="6" t="s">
        <v>1108</v>
      </c>
      <c r="F350" s="6">
        <v>9.8500000000000004E-2</v>
      </c>
      <c r="H350" s="1">
        <v>24.233333333333334</v>
      </c>
      <c r="I350">
        <v>3.2000000000000001E-2</v>
      </c>
      <c r="J350">
        <v>2.2524435253383301</v>
      </c>
      <c r="K350">
        <v>11.635133890593499</v>
      </c>
      <c r="L350">
        <v>13.5096966335402</v>
      </c>
      <c r="M350">
        <v>27.275235391396102</v>
      </c>
      <c r="N350">
        <v>10.3898754924156</v>
      </c>
      <c r="O350">
        <v>19.319469475382999</v>
      </c>
      <c r="P350">
        <v>0</v>
      </c>
    </row>
    <row r="351" spans="1:16" ht="14.5" x14ac:dyDescent="0.3">
      <c r="A351" s="1" t="s">
        <v>502</v>
      </c>
      <c r="B351" s="1" t="s">
        <v>1034</v>
      </c>
      <c r="C351" s="6">
        <v>4</v>
      </c>
      <c r="D351" s="6">
        <v>3</v>
      </c>
      <c r="E351" s="6" t="s">
        <v>1108</v>
      </c>
      <c r="F351" s="6">
        <v>8.8999999999999996E-2</v>
      </c>
      <c r="H351" s="1">
        <v>24.233333333333334</v>
      </c>
      <c r="I351">
        <v>3.2000000000000001E-2</v>
      </c>
      <c r="J351">
        <v>1.8803820351224201</v>
      </c>
      <c r="K351">
        <v>14.960639616973801</v>
      </c>
      <c r="L351">
        <v>9.7397957179240109</v>
      </c>
      <c r="M351">
        <v>21.088622313561402</v>
      </c>
      <c r="N351">
        <v>26.609594360813698</v>
      </c>
      <c r="O351">
        <v>32.756864838324397</v>
      </c>
      <c r="P351">
        <v>0</v>
      </c>
    </row>
    <row r="352" spans="1:16" ht="14.5" x14ac:dyDescent="0.3">
      <c r="A352" s="1" t="s">
        <v>503</v>
      </c>
      <c r="B352" s="1" t="s">
        <v>1034</v>
      </c>
      <c r="C352" s="6">
        <v>4</v>
      </c>
      <c r="D352" s="6">
        <v>3</v>
      </c>
      <c r="E352" s="6" t="s">
        <v>1108</v>
      </c>
      <c r="F352" s="6">
        <v>9.5799999999999996E-2</v>
      </c>
      <c r="H352" s="1">
        <v>24.233333333333334</v>
      </c>
      <c r="I352">
        <v>3.2000000000000001E-2</v>
      </c>
      <c r="J352">
        <v>2.1338459052530698</v>
      </c>
      <c r="K352">
        <v>16.870379692591602</v>
      </c>
      <c r="L352">
        <v>14.849084652059901</v>
      </c>
      <c r="M352">
        <v>33.132531296005801</v>
      </c>
      <c r="N352">
        <v>13.2173992728087</v>
      </c>
      <c r="O352">
        <v>23.421179209939901</v>
      </c>
      <c r="P352">
        <v>0</v>
      </c>
    </row>
    <row r="353" spans="1:16" ht="14.5" x14ac:dyDescent="0.3">
      <c r="A353" s="1" t="s">
        <v>504</v>
      </c>
      <c r="B353" s="1" t="s">
        <v>1034</v>
      </c>
      <c r="C353" s="6">
        <v>4</v>
      </c>
      <c r="D353" s="6">
        <v>4</v>
      </c>
      <c r="E353" s="6" t="s">
        <v>1108</v>
      </c>
      <c r="F353" s="6">
        <v>8.1299999999999997E-2</v>
      </c>
      <c r="H353" s="1">
        <v>24.25</v>
      </c>
      <c r="I353">
        <v>3.2000000000000001E-2</v>
      </c>
      <c r="J353">
        <v>2.3250567044925501</v>
      </c>
      <c r="K353">
        <v>24.619844683867399</v>
      </c>
      <c r="L353">
        <v>10.448602951683799</v>
      </c>
      <c r="M353">
        <v>25.1552778836339</v>
      </c>
      <c r="N353">
        <v>12.955995747589601</v>
      </c>
      <c r="O353">
        <v>36.504714584609999</v>
      </c>
      <c r="P353">
        <v>0</v>
      </c>
    </row>
    <row r="354" spans="1:16" ht="14.5" x14ac:dyDescent="0.3">
      <c r="A354" s="1" t="s">
        <v>505</v>
      </c>
      <c r="B354" s="1" t="s">
        <v>1034</v>
      </c>
      <c r="C354" s="6">
        <v>4</v>
      </c>
      <c r="D354" s="6">
        <v>4</v>
      </c>
      <c r="E354" s="6" t="s">
        <v>1108</v>
      </c>
      <c r="F354" s="6">
        <v>6.5699999999999995E-2</v>
      </c>
      <c r="H354" s="1">
        <v>24.25</v>
      </c>
      <c r="I354">
        <v>3.2000000000000001E-2</v>
      </c>
      <c r="J354">
        <v>2.3476321300899499</v>
      </c>
      <c r="K354">
        <v>22.011562763010801</v>
      </c>
      <c r="L354">
        <v>8.4695096920769402</v>
      </c>
      <c r="M354">
        <v>19.036634050387899</v>
      </c>
      <c r="N354">
        <v>14.8186069955392</v>
      </c>
      <c r="O354">
        <v>27.300442906611</v>
      </c>
      <c r="P354">
        <v>0</v>
      </c>
    </row>
    <row r="355" spans="1:16" ht="14.5" x14ac:dyDescent="0.3">
      <c r="A355" s="1" t="s">
        <v>506</v>
      </c>
      <c r="B355" s="1" t="s">
        <v>1034</v>
      </c>
      <c r="C355" s="6">
        <v>4</v>
      </c>
      <c r="D355" s="6">
        <v>4</v>
      </c>
      <c r="E355" s="6" t="s">
        <v>1108</v>
      </c>
      <c r="F355" s="6">
        <v>6.4000000000000001E-2</v>
      </c>
      <c r="H355" s="1">
        <v>24.25</v>
      </c>
      <c r="I355">
        <v>3.2000000000000001E-2</v>
      </c>
      <c r="J355">
        <v>1.5907429784971101</v>
      </c>
      <c r="K355">
        <v>15.784921280221599</v>
      </c>
      <c r="L355">
        <v>7.1808598864768003</v>
      </c>
      <c r="M355">
        <v>16.692681118028499</v>
      </c>
      <c r="N355">
        <v>20.342573617808799</v>
      </c>
      <c r="O355">
        <v>35.4964140915489</v>
      </c>
      <c r="P355">
        <v>0</v>
      </c>
    </row>
    <row r="356" spans="1:16" ht="14.5" hidden="1" x14ac:dyDescent="0.3">
      <c r="A356" s="1" t="s">
        <v>507</v>
      </c>
      <c r="B356" s="1" t="s">
        <v>1033</v>
      </c>
      <c r="C356" s="6">
        <v>4</v>
      </c>
      <c r="D356" s="6">
        <v>1</v>
      </c>
      <c r="E356" s="6" t="s">
        <v>1109</v>
      </c>
      <c r="F356" s="6">
        <v>6.6900000000000001E-2</v>
      </c>
      <c r="I356">
        <v>3.2000000000000001E-2</v>
      </c>
      <c r="J356">
        <v>1.9662480141154399</v>
      </c>
      <c r="K356">
        <v>13.076765989976799</v>
      </c>
      <c r="L356">
        <v>7.7695970655588003</v>
      </c>
      <c r="M356">
        <v>18.800087609236101</v>
      </c>
      <c r="N356">
        <v>3.0499278731176198</v>
      </c>
      <c r="O356">
        <v>11.9165043523316</v>
      </c>
      <c r="P356">
        <v>0</v>
      </c>
    </row>
    <row r="357" spans="1:16" ht="14.5" hidden="1" x14ac:dyDescent="0.3">
      <c r="A357" s="1" t="s">
        <v>508</v>
      </c>
      <c r="B357" s="1" t="s">
        <v>1033</v>
      </c>
      <c r="C357" s="6">
        <v>4</v>
      </c>
      <c r="D357" s="6">
        <v>1</v>
      </c>
      <c r="E357" s="6" t="s">
        <v>1109</v>
      </c>
      <c r="F357" s="6">
        <v>7.7399999999999997E-2</v>
      </c>
      <c r="I357">
        <v>3.2000000000000001E-2</v>
      </c>
      <c r="J357">
        <v>1.8440121806765299</v>
      </c>
      <c r="K357">
        <v>14.317049369862</v>
      </c>
      <c r="L357">
        <v>10.082200676755001</v>
      </c>
      <c r="M357">
        <v>22.803206829045401</v>
      </c>
      <c r="N357">
        <v>5.4564000438723204</v>
      </c>
      <c r="O357">
        <v>16.722633122173001</v>
      </c>
      <c r="P357">
        <v>0</v>
      </c>
    </row>
    <row r="358" spans="1:16" ht="14.5" hidden="1" x14ac:dyDescent="0.3">
      <c r="A358" s="1" t="s">
        <v>509</v>
      </c>
      <c r="B358" s="1" t="s">
        <v>1033</v>
      </c>
      <c r="C358" s="6">
        <v>4</v>
      </c>
      <c r="D358" s="6">
        <v>1</v>
      </c>
      <c r="E358" s="6" t="s">
        <v>1109</v>
      </c>
      <c r="F358" s="6">
        <v>8.8700000000000001E-2</v>
      </c>
      <c r="I358">
        <v>3.2000000000000001E-2</v>
      </c>
      <c r="J358">
        <v>1.78570834832392</v>
      </c>
      <c r="K358">
        <v>11.1708225024034</v>
      </c>
      <c r="L358">
        <v>11.1835019705288</v>
      </c>
      <c r="M358">
        <v>21.385632687895701</v>
      </c>
      <c r="N358">
        <v>7.4913436432590697</v>
      </c>
      <c r="O358">
        <v>22.326901615838199</v>
      </c>
      <c r="P358">
        <v>0</v>
      </c>
    </row>
    <row r="359" spans="1:16" ht="14.5" hidden="1" x14ac:dyDescent="0.3">
      <c r="A359" s="1" t="s">
        <v>510</v>
      </c>
      <c r="B359" s="1" t="s">
        <v>1033</v>
      </c>
      <c r="C359" s="6">
        <v>4</v>
      </c>
      <c r="D359" s="6">
        <v>2</v>
      </c>
      <c r="E359" s="6" t="s">
        <v>1109</v>
      </c>
      <c r="F359" s="6">
        <v>6.7699999999999996E-2</v>
      </c>
      <c r="I359">
        <v>3.2000000000000001E-2</v>
      </c>
      <c r="J359">
        <v>1.6141649992778999</v>
      </c>
      <c r="K359">
        <v>19.3102961886202</v>
      </c>
      <c r="L359">
        <v>10.669983976683801</v>
      </c>
      <c r="M359">
        <v>27.416969704222701</v>
      </c>
      <c r="N359">
        <v>3.00221660285598</v>
      </c>
      <c r="O359">
        <v>34.899324221793798</v>
      </c>
      <c r="P359">
        <v>0</v>
      </c>
    </row>
    <row r="360" spans="1:16" ht="14.5" hidden="1" x14ac:dyDescent="0.3">
      <c r="A360" s="1" t="s">
        <v>511</v>
      </c>
      <c r="B360" s="1" t="s">
        <v>1033</v>
      </c>
      <c r="C360" s="6">
        <v>4</v>
      </c>
      <c r="D360" s="6">
        <v>2</v>
      </c>
      <c r="E360" s="6" t="s">
        <v>1109</v>
      </c>
      <c r="F360" s="6">
        <v>9.1499999999999998E-2</v>
      </c>
      <c r="I360">
        <v>3.2000000000000001E-2</v>
      </c>
      <c r="J360">
        <v>2.6491892995614399</v>
      </c>
      <c r="K360">
        <v>16.166915072865599</v>
      </c>
      <c r="L360">
        <v>13.556789426564199</v>
      </c>
      <c r="M360">
        <v>37.764304595417002</v>
      </c>
      <c r="N360">
        <v>7.9574524691152799</v>
      </c>
      <c r="O360">
        <v>25.8258622994814</v>
      </c>
      <c r="P360">
        <v>0</v>
      </c>
    </row>
    <row r="361" spans="1:16" ht="14.5" hidden="1" x14ac:dyDescent="0.3">
      <c r="A361" s="1" t="s">
        <v>512</v>
      </c>
      <c r="B361" s="1" t="s">
        <v>1033</v>
      </c>
      <c r="C361" s="6">
        <v>4</v>
      </c>
      <c r="D361" s="6">
        <v>2</v>
      </c>
      <c r="E361" s="6" t="s">
        <v>1109</v>
      </c>
      <c r="F361" s="6">
        <v>4.6199999999999998E-2</v>
      </c>
      <c r="I361">
        <v>3.2000000000000001E-2</v>
      </c>
      <c r="J361">
        <v>1.64906966935192</v>
      </c>
      <c r="K361">
        <v>14.8131026688015</v>
      </c>
      <c r="L361">
        <v>7.1032596362411002</v>
      </c>
      <c r="M361">
        <v>16.280453385476999</v>
      </c>
      <c r="N361">
        <v>1.42142719698672</v>
      </c>
      <c r="O361">
        <v>17.883639929965302</v>
      </c>
      <c r="P361">
        <v>0</v>
      </c>
    </row>
    <row r="362" spans="1:16" ht="14.5" hidden="1" x14ac:dyDescent="0.3">
      <c r="A362" s="1" t="s">
        <v>513</v>
      </c>
      <c r="B362" s="1" t="s">
        <v>1033</v>
      </c>
      <c r="C362" s="6">
        <v>4</v>
      </c>
      <c r="D362" s="6">
        <v>3</v>
      </c>
      <c r="E362" s="6" t="s">
        <v>1109</v>
      </c>
      <c r="F362" s="6">
        <v>8.5900000000000004E-2</v>
      </c>
      <c r="I362">
        <v>3.2000000000000001E-2</v>
      </c>
      <c r="J362">
        <v>2.4447906268645401</v>
      </c>
      <c r="K362">
        <v>17.510466146056899</v>
      </c>
      <c r="L362">
        <v>11.1258831570411</v>
      </c>
      <c r="M362">
        <v>23.511073072910499</v>
      </c>
      <c r="N362">
        <v>2.5559595471512799</v>
      </c>
      <c r="O362">
        <v>19.43771782608</v>
      </c>
      <c r="P362">
        <v>0</v>
      </c>
    </row>
    <row r="363" spans="1:16" ht="14.5" hidden="1" x14ac:dyDescent="0.3">
      <c r="A363" s="1" t="s">
        <v>514</v>
      </c>
      <c r="B363" s="1" t="s">
        <v>1033</v>
      </c>
      <c r="C363" s="6">
        <v>4</v>
      </c>
      <c r="D363" s="6">
        <v>3</v>
      </c>
      <c r="E363" s="6" t="s">
        <v>1109</v>
      </c>
      <c r="F363" s="6">
        <v>7.0000000000000007E-2</v>
      </c>
      <c r="I363">
        <v>3.2000000000000001E-2</v>
      </c>
      <c r="J363">
        <v>1.7719710771038799</v>
      </c>
      <c r="K363">
        <v>10.6251482924727</v>
      </c>
      <c r="L363">
        <v>8.4566346476846093</v>
      </c>
      <c r="M363">
        <v>17.189680933096099</v>
      </c>
      <c r="N363">
        <v>4.2188557754507103</v>
      </c>
      <c r="O363">
        <v>16.353502125762098</v>
      </c>
      <c r="P363">
        <v>0</v>
      </c>
    </row>
    <row r="364" spans="1:16" ht="14.5" hidden="1" x14ac:dyDescent="0.3">
      <c r="A364" s="1" t="s">
        <v>515</v>
      </c>
      <c r="B364" s="1" t="s">
        <v>1033</v>
      </c>
      <c r="C364" s="6">
        <v>4</v>
      </c>
      <c r="D364" s="6">
        <v>3</v>
      </c>
      <c r="E364" s="6" t="s">
        <v>1109</v>
      </c>
      <c r="F364" s="6">
        <v>7.7100000000000002E-2</v>
      </c>
      <c r="I364">
        <v>3.2000000000000001E-2</v>
      </c>
      <c r="J364">
        <v>1.54202745605446</v>
      </c>
      <c r="K364">
        <v>11.613107843846301</v>
      </c>
      <c r="L364">
        <v>9.3896671827623894</v>
      </c>
      <c r="M364">
        <v>23.889575292961901</v>
      </c>
      <c r="N364">
        <v>2.68393919323643</v>
      </c>
      <c r="O364">
        <v>21.2103812155833</v>
      </c>
      <c r="P364">
        <v>0</v>
      </c>
    </row>
    <row r="365" spans="1:16" ht="14.5" x14ac:dyDescent="0.3">
      <c r="A365" s="1" t="s">
        <v>516</v>
      </c>
      <c r="B365" s="1" t="s">
        <v>1034</v>
      </c>
      <c r="C365" s="6">
        <v>4</v>
      </c>
      <c r="D365" s="6">
        <v>1</v>
      </c>
      <c r="E365" s="6" t="s">
        <v>1109</v>
      </c>
      <c r="F365" s="6">
        <v>7.46E-2</v>
      </c>
      <c r="H365" s="1">
        <v>71.333333333333329</v>
      </c>
      <c r="I365">
        <v>3.2000000000000001E-2</v>
      </c>
      <c r="J365">
        <v>2.0225771466890401</v>
      </c>
      <c r="K365">
        <v>14.4045266591733</v>
      </c>
      <c r="L365">
        <v>12.690001930401699</v>
      </c>
      <c r="M365">
        <v>21.996842403669</v>
      </c>
      <c r="N365">
        <v>32.045910837413501</v>
      </c>
      <c r="O365">
        <v>52.581638164550299</v>
      </c>
      <c r="P365">
        <v>0</v>
      </c>
    </row>
    <row r="366" spans="1:16" ht="14.5" x14ac:dyDescent="0.3">
      <c r="A366" s="1" t="s">
        <v>517</v>
      </c>
      <c r="B366" s="1" t="s">
        <v>1034</v>
      </c>
      <c r="C366" s="6">
        <v>4</v>
      </c>
      <c r="D366" s="6">
        <v>1</v>
      </c>
      <c r="E366" s="6" t="s">
        <v>1109</v>
      </c>
      <c r="F366" s="6">
        <v>8.2400000000000001E-2</v>
      </c>
      <c r="H366" s="1">
        <v>71.333333333333329</v>
      </c>
      <c r="I366">
        <v>3.2000000000000001E-2</v>
      </c>
      <c r="J366">
        <v>2.5392784708826999</v>
      </c>
      <c r="K366">
        <v>16.294325031674099</v>
      </c>
      <c r="L366">
        <v>11.497767502520199</v>
      </c>
      <c r="M366">
        <v>26.852801172208199</v>
      </c>
      <c r="N366">
        <v>26.415997090830999</v>
      </c>
      <c r="O366">
        <v>38.925274325801702</v>
      </c>
      <c r="P366">
        <v>0</v>
      </c>
    </row>
    <row r="367" spans="1:16" ht="14.5" x14ac:dyDescent="0.3">
      <c r="A367" s="1" t="s">
        <v>518</v>
      </c>
      <c r="B367" s="1" t="s">
        <v>1034</v>
      </c>
      <c r="C367" s="6">
        <v>4</v>
      </c>
      <c r="D367" s="6">
        <v>1</v>
      </c>
      <c r="E367" s="6" t="s">
        <v>1109</v>
      </c>
      <c r="F367" s="6">
        <v>8.8200000000000001E-2</v>
      </c>
      <c r="H367" s="1">
        <v>71.333333333333329</v>
      </c>
      <c r="I367">
        <v>3.2000000000000001E-2</v>
      </c>
      <c r="J367">
        <v>2.08164614795797</v>
      </c>
      <c r="K367">
        <v>16.256295212831201</v>
      </c>
      <c r="L367">
        <v>9.3779350009210294</v>
      </c>
      <c r="M367">
        <v>19.671852252234501</v>
      </c>
      <c r="N367">
        <v>31.3763285145018</v>
      </c>
      <c r="O367">
        <v>46.8996295943112</v>
      </c>
      <c r="P367">
        <v>0</v>
      </c>
    </row>
    <row r="368" spans="1:16" ht="14.5" x14ac:dyDescent="0.3">
      <c r="A368" s="1" t="s">
        <v>519</v>
      </c>
      <c r="B368" s="1" t="s">
        <v>1034</v>
      </c>
      <c r="C368" s="6">
        <v>4</v>
      </c>
      <c r="D368" s="6">
        <v>2</v>
      </c>
      <c r="E368" s="6" t="s">
        <v>1109</v>
      </c>
      <c r="F368" s="6">
        <v>8.4099999999999994E-2</v>
      </c>
      <c r="H368" s="1">
        <v>71.416666666666671</v>
      </c>
      <c r="I368">
        <v>3.2000000000000001E-2</v>
      </c>
      <c r="J368">
        <v>1.61390782881463</v>
      </c>
      <c r="K368">
        <v>15.9951392105711</v>
      </c>
      <c r="L368">
        <v>14.149410847762899</v>
      </c>
      <c r="M368">
        <v>37.153067731070898</v>
      </c>
      <c r="N368">
        <v>128.10397337185501</v>
      </c>
      <c r="O368">
        <v>165.34762165742501</v>
      </c>
      <c r="P368">
        <v>0</v>
      </c>
    </row>
    <row r="369" spans="1:16" ht="14.5" x14ac:dyDescent="0.3">
      <c r="A369" s="1" t="s">
        <v>520</v>
      </c>
      <c r="B369" s="1" t="s">
        <v>1034</v>
      </c>
      <c r="C369" s="6">
        <v>4</v>
      </c>
      <c r="D369" s="6">
        <v>2</v>
      </c>
      <c r="E369" s="6" t="s">
        <v>1109</v>
      </c>
      <c r="F369" s="6">
        <v>8.1600000000000006E-2</v>
      </c>
      <c r="H369" s="1">
        <v>71.416666666666671</v>
      </c>
      <c r="I369">
        <v>3.2000000000000001E-2</v>
      </c>
      <c r="J369">
        <v>1.45020621900692</v>
      </c>
      <c r="K369">
        <v>15.768364387228599</v>
      </c>
      <c r="L369">
        <v>13.029954842477901</v>
      </c>
      <c r="M369">
        <v>35.1265233448229</v>
      </c>
      <c r="N369">
        <v>23.0328885557477</v>
      </c>
      <c r="O369">
        <v>42.075650026787898</v>
      </c>
      <c r="P369">
        <v>0</v>
      </c>
    </row>
    <row r="370" spans="1:16" ht="14.5" x14ac:dyDescent="0.3">
      <c r="A370" s="1" t="s">
        <v>521</v>
      </c>
      <c r="B370" s="1" t="s">
        <v>1034</v>
      </c>
      <c r="C370" s="6">
        <v>4</v>
      </c>
      <c r="D370" s="6">
        <v>2</v>
      </c>
      <c r="E370" s="6" t="s">
        <v>1109</v>
      </c>
      <c r="F370" s="6">
        <v>7.6200000000000004E-2</v>
      </c>
      <c r="H370" s="1">
        <v>71.416666666666671</v>
      </c>
      <c r="I370">
        <v>3.2000000000000001E-2</v>
      </c>
      <c r="J370">
        <v>2.2040638100961401</v>
      </c>
      <c r="K370">
        <v>11.784140914537501</v>
      </c>
      <c r="L370">
        <v>9.5197727123326903</v>
      </c>
      <c r="M370">
        <v>18.953651767965901</v>
      </c>
      <c r="N370">
        <v>19.911948239464699</v>
      </c>
      <c r="O370">
        <v>29.354172508914999</v>
      </c>
      <c r="P370">
        <v>0</v>
      </c>
    </row>
    <row r="371" spans="1:16" ht="14.5" x14ac:dyDescent="0.3">
      <c r="A371" s="1" t="s">
        <v>522</v>
      </c>
      <c r="B371" s="1" t="s">
        <v>1034</v>
      </c>
      <c r="C371" s="6">
        <v>4</v>
      </c>
      <c r="D371" s="6">
        <v>2</v>
      </c>
      <c r="E371" s="6" t="s">
        <v>1109</v>
      </c>
      <c r="F371" s="6">
        <v>7.2599999999999998E-2</v>
      </c>
      <c r="H371" s="1">
        <v>71.416666666666671</v>
      </c>
      <c r="I371">
        <v>3.2000000000000001E-2</v>
      </c>
      <c r="J371">
        <v>1.9430780350091399</v>
      </c>
      <c r="K371">
        <v>12.4198019692316</v>
      </c>
      <c r="L371">
        <v>9.4877271975945892</v>
      </c>
      <c r="M371">
        <v>19.1387409506066</v>
      </c>
      <c r="N371">
        <v>17.328671184799099</v>
      </c>
      <c r="O371">
        <v>27.1446427738347</v>
      </c>
      <c r="P371">
        <v>0</v>
      </c>
    </row>
    <row r="372" spans="1:16" ht="14.5" x14ac:dyDescent="0.3">
      <c r="A372" s="1" t="s">
        <v>523</v>
      </c>
      <c r="B372" s="1" t="s">
        <v>1034</v>
      </c>
      <c r="C372" s="6">
        <v>4</v>
      </c>
      <c r="D372" s="6">
        <v>3</v>
      </c>
      <c r="E372" s="6" t="s">
        <v>1109</v>
      </c>
      <c r="F372" s="6">
        <v>7.85E-2</v>
      </c>
      <c r="H372" s="1">
        <v>71.316666666666663</v>
      </c>
      <c r="I372">
        <v>3.2000000000000001E-2</v>
      </c>
      <c r="J372">
        <v>1.8885210170171101</v>
      </c>
      <c r="K372">
        <v>18.185557256377098</v>
      </c>
      <c r="L372">
        <v>13.049711763592599</v>
      </c>
      <c r="M372">
        <v>34.329545495567899</v>
      </c>
      <c r="N372">
        <v>21.635224850959698</v>
      </c>
      <c r="O372">
        <v>46.690256774089399</v>
      </c>
      <c r="P372">
        <v>0</v>
      </c>
    </row>
    <row r="373" spans="1:16" ht="14.5" x14ac:dyDescent="0.3">
      <c r="A373" s="1" t="s">
        <v>524</v>
      </c>
      <c r="B373" s="1" t="s">
        <v>1034</v>
      </c>
      <c r="C373" s="6">
        <v>4</v>
      </c>
      <c r="D373" s="6">
        <v>3</v>
      </c>
      <c r="E373" s="6" t="s">
        <v>1109</v>
      </c>
      <c r="F373" s="6">
        <v>8.1100000000000005E-2</v>
      </c>
      <c r="H373" s="1">
        <v>71.316666666666663</v>
      </c>
      <c r="I373">
        <v>3.2000000000000001E-2</v>
      </c>
      <c r="J373">
        <v>1.7497739084886299</v>
      </c>
      <c r="K373">
        <v>15.8287501823068</v>
      </c>
      <c r="L373">
        <v>10.0425479755292</v>
      </c>
      <c r="M373">
        <v>21.372962788796901</v>
      </c>
      <c r="N373">
        <v>37.638533946118599</v>
      </c>
      <c r="O373">
        <v>57.322851691606402</v>
      </c>
      <c r="P373">
        <v>0</v>
      </c>
    </row>
    <row r="374" spans="1:16" ht="14.5" x14ac:dyDescent="0.3">
      <c r="A374" s="1" t="s">
        <v>525</v>
      </c>
      <c r="B374" s="1" t="s">
        <v>1034</v>
      </c>
      <c r="C374" s="6">
        <v>4</v>
      </c>
      <c r="D374" s="6">
        <v>3</v>
      </c>
      <c r="E374" s="6" t="s">
        <v>1109</v>
      </c>
      <c r="F374" s="6">
        <v>7.7200000000000005E-2</v>
      </c>
      <c r="H374" s="1">
        <v>71.316666666666663</v>
      </c>
      <c r="I374">
        <v>3.2000000000000001E-2</v>
      </c>
      <c r="J374">
        <v>1.9504946661040099</v>
      </c>
      <c r="K374">
        <v>17.5626362503832</v>
      </c>
      <c r="L374">
        <v>9.8741191736432707</v>
      </c>
      <c r="M374">
        <v>25.714155693594499</v>
      </c>
      <c r="N374">
        <v>26.829464768790199</v>
      </c>
      <c r="O374">
        <v>45.140764304828799</v>
      </c>
      <c r="P374">
        <v>0</v>
      </c>
    </row>
    <row r="375" spans="1:16" ht="14.5" x14ac:dyDescent="0.3">
      <c r="A375" s="1" t="s">
        <v>526</v>
      </c>
      <c r="B375" s="1" t="s">
        <v>1034</v>
      </c>
      <c r="C375" s="6">
        <v>4</v>
      </c>
      <c r="D375" s="6">
        <v>3</v>
      </c>
      <c r="E375" s="6" t="s">
        <v>1109</v>
      </c>
      <c r="F375" s="6">
        <v>6.6000000000000003E-2</v>
      </c>
      <c r="G375" s="1" t="s">
        <v>500</v>
      </c>
      <c r="H375" s="1">
        <v>71.316666666666663</v>
      </c>
      <c r="I375">
        <v>3.2000000000000001E-2</v>
      </c>
      <c r="J375">
        <v>1.71500679184595</v>
      </c>
      <c r="K375">
        <v>14.745661620238501</v>
      </c>
      <c r="L375">
        <v>10.1139211569126</v>
      </c>
      <c r="M375">
        <v>25.294043991336999</v>
      </c>
      <c r="N375">
        <v>14.2396070907485</v>
      </c>
      <c r="O375">
        <v>28.522067626741201</v>
      </c>
      <c r="P375">
        <v>0</v>
      </c>
    </row>
    <row r="376" spans="1:16" ht="14.5" x14ac:dyDescent="0.3">
      <c r="A376" s="1" t="s">
        <v>527</v>
      </c>
      <c r="B376" s="1" t="s">
        <v>1034</v>
      </c>
      <c r="C376" s="6">
        <v>4</v>
      </c>
      <c r="D376" s="6">
        <v>4</v>
      </c>
      <c r="E376" s="6" t="s">
        <v>1109</v>
      </c>
      <c r="F376" s="6">
        <v>8.1199999999999994E-2</v>
      </c>
      <c r="H376" s="1">
        <v>71.283333333333331</v>
      </c>
      <c r="I376">
        <v>3.2000000000000001E-2</v>
      </c>
      <c r="J376">
        <v>2.06458324743266</v>
      </c>
      <c r="K376">
        <v>20.168499941550401</v>
      </c>
      <c r="L376">
        <v>11.208212807139899</v>
      </c>
      <c r="M376">
        <v>22.245359864367199</v>
      </c>
      <c r="N376">
        <v>27.135957226311302</v>
      </c>
      <c r="O376">
        <v>47.4752849073801</v>
      </c>
      <c r="P376">
        <v>0</v>
      </c>
    </row>
    <row r="377" spans="1:16" ht="14.5" x14ac:dyDescent="0.3">
      <c r="A377" s="1" t="s">
        <v>528</v>
      </c>
      <c r="B377" s="1" t="s">
        <v>1034</v>
      </c>
      <c r="C377" s="6">
        <v>4</v>
      </c>
      <c r="D377" s="6">
        <v>4</v>
      </c>
      <c r="E377" s="6" t="s">
        <v>1109</v>
      </c>
      <c r="F377" s="6">
        <v>7.3700000000000002E-2</v>
      </c>
      <c r="H377" s="1">
        <v>71.283333333333331</v>
      </c>
      <c r="I377">
        <v>3.2000000000000001E-2</v>
      </c>
      <c r="J377">
        <v>2.0772254618500101</v>
      </c>
      <c r="K377">
        <v>21.657688684218598</v>
      </c>
      <c r="L377">
        <v>10.130867654455001</v>
      </c>
      <c r="M377">
        <v>24.948987903589899</v>
      </c>
      <c r="N377">
        <v>13.0838438161016</v>
      </c>
      <c r="O377">
        <v>36.987818650767899</v>
      </c>
      <c r="P377">
        <v>0</v>
      </c>
    </row>
    <row r="378" spans="1:16" ht="14.5" x14ac:dyDescent="0.3">
      <c r="A378" s="1" t="s">
        <v>529</v>
      </c>
      <c r="B378" s="1" t="s">
        <v>1034</v>
      </c>
      <c r="C378" s="6">
        <v>4</v>
      </c>
      <c r="D378" s="6">
        <v>4</v>
      </c>
      <c r="E378" s="6" t="s">
        <v>1109</v>
      </c>
      <c r="F378" s="6">
        <v>7.3099999999999998E-2</v>
      </c>
      <c r="H378" s="1">
        <v>71.283333333333331</v>
      </c>
      <c r="I378">
        <v>3.2000000000000001E-2</v>
      </c>
      <c r="J378">
        <v>1.8444031115341499</v>
      </c>
      <c r="K378">
        <v>18.279987003991401</v>
      </c>
      <c r="L378">
        <v>10.710705050540399</v>
      </c>
      <c r="M378">
        <v>27.417451062197902</v>
      </c>
      <c r="N378">
        <v>14.5419641765309</v>
      </c>
      <c r="O378">
        <v>32.599953550454103</v>
      </c>
      <c r="P378">
        <v>0</v>
      </c>
    </row>
    <row r="379" spans="1:16" ht="14.5" x14ac:dyDescent="0.3">
      <c r="A379" s="1" t="s">
        <v>530</v>
      </c>
      <c r="B379" s="1" t="s">
        <v>1034</v>
      </c>
      <c r="C379" s="6">
        <v>4</v>
      </c>
      <c r="D379" s="6">
        <v>4</v>
      </c>
      <c r="E379" s="6" t="s">
        <v>1109</v>
      </c>
      <c r="F379" s="6">
        <v>8.2299999999999998E-2</v>
      </c>
      <c r="H379" s="1">
        <v>71.283333333333331</v>
      </c>
      <c r="I379">
        <v>3.2000000000000001E-2</v>
      </c>
      <c r="J379">
        <v>1.9849175688510701</v>
      </c>
      <c r="K379">
        <v>13.485052416378601</v>
      </c>
      <c r="L379">
        <v>12.891681742849</v>
      </c>
      <c r="M379">
        <v>22.016205850692</v>
      </c>
      <c r="N379">
        <v>21.506897434194599</v>
      </c>
      <c r="O379">
        <v>30.9624654510516</v>
      </c>
      <c r="P379">
        <v>0</v>
      </c>
    </row>
    <row r="380" spans="1:16" ht="14.5" hidden="1" x14ac:dyDescent="0.3">
      <c r="A380" s="1" t="s">
        <v>531</v>
      </c>
      <c r="B380" s="1" t="s">
        <v>1032</v>
      </c>
      <c r="C380" s="6">
        <v>5</v>
      </c>
      <c r="D380" s="6">
        <v>1</v>
      </c>
      <c r="E380" s="6">
        <v>14</v>
      </c>
      <c r="F380" s="6">
        <v>6.3200000000000006E-2</v>
      </c>
      <c r="I380">
        <v>3.2000000000000001E-2</v>
      </c>
      <c r="J380">
        <v>1.8110148575321201</v>
      </c>
      <c r="K380">
        <v>13.450889319484</v>
      </c>
      <c r="L380">
        <v>9.8037631558208602</v>
      </c>
      <c r="M380">
        <v>28.655158054005</v>
      </c>
      <c r="N380">
        <v>3.90203454411738</v>
      </c>
      <c r="O380">
        <v>20.4319472134273</v>
      </c>
      <c r="P380">
        <v>0</v>
      </c>
    </row>
    <row r="381" spans="1:16" ht="14.5" hidden="1" x14ac:dyDescent="0.3">
      <c r="A381" s="1" t="s">
        <v>532</v>
      </c>
      <c r="B381" s="1" t="s">
        <v>1032</v>
      </c>
      <c r="C381" s="6">
        <v>5</v>
      </c>
      <c r="D381" s="6">
        <v>2</v>
      </c>
      <c r="E381" s="6">
        <v>14</v>
      </c>
      <c r="F381" s="6">
        <v>5.4899999999999997E-2</v>
      </c>
      <c r="I381">
        <v>3.2000000000000001E-2</v>
      </c>
      <c r="J381">
        <v>1.2717828725076501</v>
      </c>
      <c r="K381">
        <v>13.154775170533499</v>
      </c>
      <c r="L381">
        <v>10.6112559119852</v>
      </c>
      <c r="M381">
        <v>38.337399175102</v>
      </c>
      <c r="N381">
        <v>2.0250578215304902</v>
      </c>
      <c r="O381">
        <v>18.4084158241218</v>
      </c>
      <c r="P381">
        <v>0</v>
      </c>
    </row>
    <row r="382" spans="1:16" ht="14.5" hidden="1" x14ac:dyDescent="0.3">
      <c r="A382" s="1" t="s">
        <v>533</v>
      </c>
      <c r="B382" s="1" t="s">
        <v>1032</v>
      </c>
      <c r="C382" s="6">
        <v>5</v>
      </c>
      <c r="D382" s="6">
        <v>3</v>
      </c>
      <c r="E382" s="6">
        <v>14</v>
      </c>
      <c r="F382" s="6">
        <v>5.11E-2</v>
      </c>
      <c r="I382">
        <v>3.2000000000000001E-2</v>
      </c>
      <c r="J382">
        <v>1.6213140769301999</v>
      </c>
      <c r="K382">
        <v>14.818799189360901</v>
      </c>
      <c r="L382">
        <v>8.5786378021377203</v>
      </c>
      <c r="M382">
        <v>28.0894898702735</v>
      </c>
      <c r="N382">
        <v>2.3907377212275098</v>
      </c>
      <c r="O382">
        <v>20.691086686958901</v>
      </c>
      <c r="P382">
        <v>0</v>
      </c>
    </row>
    <row r="383" spans="1:16" ht="14.5" hidden="1" x14ac:dyDescent="0.3">
      <c r="A383" s="1" t="s">
        <v>534</v>
      </c>
      <c r="B383" s="1" t="s">
        <v>1032</v>
      </c>
      <c r="C383" s="6">
        <v>5</v>
      </c>
      <c r="D383" s="6">
        <v>4</v>
      </c>
      <c r="E383" s="6">
        <v>14</v>
      </c>
      <c r="F383" s="6">
        <v>5.1999999999999998E-2</v>
      </c>
      <c r="I383">
        <v>3.2000000000000001E-2</v>
      </c>
      <c r="J383">
        <v>1.14841714006424</v>
      </c>
      <c r="K383">
        <v>10.364482610584499</v>
      </c>
      <c r="L383">
        <v>7.0857201648228703</v>
      </c>
      <c r="M383">
        <v>23.629798260123199</v>
      </c>
      <c r="N383">
        <v>5.1701816576100796</v>
      </c>
      <c r="O383">
        <v>20.863516632701401</v>
      </c>
      <c r="P383">
        <v>0</v>
      </c>
    </row>
    <row r="384" spans="1:16" ht="14.5" hidden="1" x14ac:dyDescent="0.3">
      <c r="A384" s="1" t="s">
        <v>535</v>
      </c>
      <c r="B384" s="1" t="s">
        <v>1032</v>
      </c>
      <c r="C384" s="6">
        <v>5</v>
      </c>
      <c r="D384" s="6">
        <v>5</v>
      </c>
      <c r="E384" s="6">
        <v>14</v>
      </c>
      <c r="F384" s="6">
        <v>6.4199999999999993E-2</v>
      </c>
      <c r="I384">
        <v>3.2000000000000001E-2</v>
      </c>
      <c r="J384">
        <v>1.8966978874728899</v>
      </c>
      <c r="K384">
        <v>14.4413711466416</v>
      </c>
      <c r="L384">
        <v>14.1550049641797</v>
      </c>
      <c r="M384">
        <v>58.489732460366703</v>
      </c>
      <c r="N384">
        <v>6.62827891096632</v>
      </c>
      <c r="O384">
        <v>25.274712168840299</v>
      </c>
      <c r="P384">
        <v>0</v>
      </c>
    </row>
    <row r="385" spans="1:16" ht="14.5" hidden="1" x14ac:dyDescent="0.3">
      <c r="A385" s="1" t="s">
        <v>536</v>
      </c>
      <c r="B385" s="1" t="s">
        <v>1032</v>
      </c>
      <c r="C385" s="6">
        <v>5</v>
      </c>
      <c r="D385" s="6">
        <v>6</v>
      </c>
      <c r="E385" s="6">
        <v>14</v>
      </c>
      <c r="F385" s="6">
        <v>5.9700000000000003E-2</v>
      </c>
      <c r="I385">
        <v>3.2000000000000001E-2</v>
      </c>
      <c r="J385">
        <v>2.0141738154287601</v>
      </c>
      <c r="K385">
        <v>15.4560703445323</v>
      </c>
      <c r="L385">
        <v>11.9082172203147</v>
      </c>
      <c r="M385">
        <v>50.064015333284701</v>
      </c>
      <c r="N385">
        <v>3.0233072236151202</v>
      </c>
      <c r="O385">
        <v>19.561503274456701</v>
      </c>
      <c r="P385">
        <v>0</v>
      </c>
    </row>
    <row r="386" spans="1:16" ht="14.5" hidden="1" x14ac:dyDescent="0.3">
      <c r="A386" s="1" t="s">
        <v>537</v>
      </c>
      <c r="B386" s="1" t="s">
        <v>1032</v>
      </c>
      <c r="C386" s="6">
        <v>5</v>
      </c>
      <c r="D386" s="6">
        <v>7</v>
      </c>
      <c r="E386" s="6">
        <v>14</v>
      </c>
      <c r="F386" s="6">
        <v>6.6500000000000004E-2</v>
      </c>
      <c r="I386">
        <v>3.2000000000000001E-2</v>
      </c>
      <c r="J386">
        <v>2.3525326332610499</v>
      </c>
      <c r="K386">
        <v>13.8920047776025</v>
      </c>
      <c r="L386">
        <v>9.8871568230585591</v>
      </c>
      <c r="M386">
        <v>28.617711796236499</v>
      </c>
      <c r="N386">
        <v>4.8284572323108703</v>
      </c>
      <c r="O386">
        <v>17.945681532493001</v>
      </c>
      <c r="P386">
        <v>0</v>
      </c>
    </row>
    <row r="387" spans="1:16" ht="14.5" hidden="1" x14ac:dyDescent="0.3">
      <c r="A387" s="1" t="s">
        <v>538</v>
      </c>
      <c r="B387" s="1" t="s">
        <v>1032</v>
      </c>
      <c r="C387" s="6">
        <v>5</v>
      </c>
      <c r="D387" s="6">
        <v>8</v>
      </c>
      <c r="E387" s="6">
        <v>14</v>
      </c>
      <c r="F387" s="6">
        <v>4.6600000000000003E-2</v>
      </c>
      <c r="I387">
        <v>3.2000000000000001E-2</v>
      </c>
      <c r="J387">
        <v>1.24188803156505</v>
      </c>
      <c r="K387">
        <v>9.6150974990096394</v>
      </c>
      <c r="L387">
        <v>6.46514662428919</v>
      </c>
      <c r="M387">
        <v>17.5227203983703</v>
      </c>
      <c r="N387">
        <v>1.70333778623932</v>
      </c>
      <c r="O387">
        <v>9.0655828552395601</v>
      </c>
      <c r="P387">
        <v>0</v>
      </c>
    </row>
    <row r="388" spans="1:16" ht="14.5" hidden="1" x14ac:dyDescent="0.3">
      <c r="A388" s="1" t="s">
        <v>539</v>
      </c>
      <c r="B388" s="1" t="s">
        <v>1032</v>
      </c>
      <c r="C388" s="6">
        <v>5</v>
      </c>
      <c r="D388" s="6">
        <v>9</v>
      </c>
      <c r="E388" s="6">
        <v>14</v>
      </c>
      <c r="F388" s="6">
        <v>5.6399999999999999E-2</v>
      </c>
      <c r="I388">
        <v>3.2000000000000001E-2</v>
      </c>
      <c r="J388">
        <v>1.7344340201070201</v>
      </c>
      <c r="K388">
        <v>13.604300583777199</v>
      </c>
      <c r="L388">
        <v>7.4295881791408904</v>
      </c>
      <c r="M388">
        <v>26.6348152145477</v>
      </c>
      <c r="N388">
        <v>4.4271816155034998</v>
      </c>
      <c r="O388">
        <v>19.168953176160102</v>
      </c>
      <c r="P388">
        <v>0</v>
      </c>
    </row>
    <row r="389" spans="1:16" ht="14.5" hidden="1" x14ac:dyDescent="0.3">
      <c r="A389" s="1" t="s">
        <v>540</v>
      </c>
      <c r="B389" s="1" t="s">
        <v>1032</v>
      </c>
      <c r="C389" s="6">
        <v>5</v>
      </c>
      <c r="D389" s="6">
        <v>10</v>
      </c>
      <c r="E389" s="6">
        <v>14</v>
      </c>
      <c r="F389" s="6">
        <v>5.5199999999999999E-2</v>
      </c>
      <c r="I389">
        <v>3.2000000000000001E-2</v>
      </c>
      <c r="J389">
        <v>1.4970051583327</v>
      </c>
      <c r="K389">
        <v>11.6994872155366</v>
      </c>
      <c r="L389">
        <v>10.0257920047206</v>
      </c>
      <c r="M389">
        <v>34.867712919398599</v>
      </c>
      <c r="N389">
        <v>2.7554554792930701</v>
      </c>
      <c r="O389">
        <v>16.539043011943299</v>
      </c>
      <c r="P389">
        <v>0</v>
      </c>
    </row>
    <row r="390" spans="1:16" ht="14.5" hidden="1" x14ac:dyDescent="0.3">
      <c r="A390" s="1" t="s">
        <v>541</v>
      </c>
      <c r="B390" s="1" t="s">
        <v>1033</v>
      </c>
      <c r="C390" s="6">
        <v>5</v>
      </c>
      <c r="D390" s="6">
        <v>1</v>
      </c>
      <c r="E390" s="6" t="s">
        <v>1107</v>
      </c>
      <c r="F390" s="6">
        <v>0.13189999999999999</v>
      </c>
      <c r="I390">
        <v>0.04</v>
      </c>
      <c r="J390">
        <v>2.6803730125260099</v>
      </c>
      <c r="K390">
        <v>15.7347364873151</v>
      </c>
      <c r="L390">
        <v>14.5649323423357</v>
      </c>
      <c r="M390">
        <v>35.954485831721698</v>
      </c>
      <c r="N390">
        <v>10.763863018448699</v>
      </c>
      <c r="O390">
        <v>21.600145598722001</v>
      </c>
      <c r="P390">
        <v>0</v>
      </c>
    </row>
    <row r="391" spans="1:16" ht="14.5" hidden="1" x14ac:dyDescent="0.3">
      <c r="A391" s="1" t="s">
        <v>542</v>
      </c>
      <c r="B391" s="1" t="s">
        <v>1033</v>
      </c>
      <c r="C391" s="6">
        <v>5</v>
      </c>
      <c r="D391" s="6">
        <v>1</v>
      </c>
      <c r="E391" s="6" t="s">
        <v>1107</v>
      </c>
      <c r="F391" s="6">
        <v>5.7599999999999998E-2</v>
      </c>
      <c r="I391">
        <v>3.2000000000000001E-2</v>
      </c>
      <c r="J391">
        <v>2.5090997945120002</v>
      </c>
      <c r="K391">
        <v>20.068419038442801</v>
      </c>
      <c r="L391">
        <v>8.7818845814329496</v>
      </c>
      <c r="M391">
        <v>33.1265431195907</v>
      </c>
      <c r="N391">
        <v>1.8009406382341899</v>
      </c>
      <c r="O391">
        <v>20.280113761797601</v>
      </c>
      <c r="P391">
        <v>0</v>
      </c>
    </row>
    <row r="392" spans="1:16" ht="14.5" hidden="1" x14ac:dyDescent="0.3">
      <c r="A392" s="1" t="s">
        <v>543</v>
      </c>
      <c r="B392" s="1" t="s">
        <v>1033</v>
      </c>
      <c r="C392" s="6">
        <v>5</v>
      </c>
      <c r="D392" s="6">
        <v>1</v>
      </c>
      <c r="E392" s="6" t="s">
        <v>1107</v>
      </c>
      <c r="F392" s="6">
        <v>5.9900000000000002E-2</v>
      </c>
      <c r="I392">
        <v>3.2000000000000001E-2</v>
      </c>
      <c r="J392">
        <v>1.59872939161669</v>
      </c>
      <c r="K392">
        <v>20.223938952666899</v>
      </c>
      <c r="L392">
        <v>11.4975203455064</v>
      </c>
      <c r="M392">
        <v>45.234174870801098</v>
      </c>
      <c r="N392">
        <v>6.2752072909719798</v>
      </c>
      <c r="O392">
        <v>37.590806744315401</v>
      </c>
      <c r="P392">
        <v>0</v>
      </c>
    </row>
    <row r="393" spans="1:16" ht="14.5" hidden="1" x14ac:dyDescent="0.3">
      <c r="A393" s="1" t="s">
        <v>544</v>
      </c>
      <c r="B393" s="1" t="s">
        <v>1033</v>
      </c>
      <c r="C393" s="6">
        <v>5</v>
      </c>
      <c r="D393" s="6">
        <v>2</v>
      </c>
      <c r="E393" s="6" t="s">
        <v>1107</v>
      </c>
      <c r="F393" s="6">
        <v>8.8099999999999998E-2</v>
      </c>
      <c r="I393">
        <v>3.2000000000000001E-2</v>
      </c>
      <c r="J393">
        <v>2.3867020900609699</v>
      </c>
      <c r="K393">
        <v>23.481462893285201</v>
      </c>
      <c r="L393">
        <v>14.082283361706301</v>
      </c>
      <c r="M393">
        <v>40.274942637263102</v>
      </c>
      <c r="N393">
        <v>1.7354651690948699</v>
      </c>
      <c r="O393">
        <v>31.383092573991501</v>
      </c>
      <c r="P393">
        <v>0</v>
      </c>
    </row>
    <row r="394" spans="1:16" ht="14.5" hidden="1" x14ac:dyDescent="0.3">
      <c r="A394" s="1" t="s">
        <v>545</v>
      </c>
      <c r="B394" s="1" t="s">
        <v>1033</v>
      </c>
      <c r="C394" s="6">
        <v>5</v>
      </c>
      <c r="D394" s="6">
        <v>2</v>
      </c>
      <c r="E394" s="6" t="s">
        <v>1107</v>
      </c>
      <c r="F394" s="6">
        <v>8.9399999999999993E-2</v>
      </c>
      <c r="I394">
        <v>3.2000000000000001E-2</v>
      </c>
      <c r="J394">
        <v>3.3754353502510499</v>
      </c>
      <c r="K394">
        <v>19.118186445544101</v>
      </c>
      <c r="L394">
        <v>15.9392707396972</v>
      </c>
      <c r="M394">
        <v>35.626652390732303</v>
      </c>
      <c r="N394">
        <v>4.9201561578266997</v>
      </c>
      <c r="O394">
        <v>18.314798555640198</v>
      </c>
      <c r="P394">
        <v>0</v>
      </c>
    </row>
    <row r="395" spans="1:16" ht="14.5" hidden="1" x14ac:dyDescent="0.3">
      <c r="A395" s="1" t="s">
        <v>546</v>
      </c>
      <c r="B395" s="1" t="s">
        <v>1033</v>
      </c>
      <c r="C395" s="6">
        <v>5</v>
      </c>
      <c r="D395" s="6">
        <v>2</v>
      </c>
      <c r="E395" s="6" t="s">
        <v>1107</v>
      </c>
      <c r="F395" s="6">
        <v>6.6699999999999995E-2</v>
      </c>
      <c r="I395">
        <v>3.2000000000000001E-2</v>
      </c>
      <c r="J395">
        <v>1.77251660612301</v>
      </c>
      <c r="K395">
        <v>14.7674101619866</v>
      </c>
      <c r="L395">
        <v>11.809653373004201</v>
      </c>
      <c r="M395">
        <v>41.461072698306303</v>
      </c>
      <c r="N395">
        <v>5.3292380263157098</v>
      </c>
      <c r="O395">
        <v>20.127390985325899</v>
      </c>
      <c r="P395">
        <v>0</v>
      </c>
    </row>
    <row r="396" spans="1:16" ht="14.5" hidden="1" x14ac:dyDescent="0.3">
      <c r="A396" s="1" t="s">
        <v>547</v>
      </c>
      <c r="B396" s="1" t="s">
        <v>1033</v>
      </c>
      <c r="C396" s="6">
        <v>5</v>
      </c>
      <c r="D396" s="6">
        <v>3</v>
      </c>
      <c r="E396" s="6" t="s">
        <v>1107</v>
      </c>
      <c r="F396" s="6">
        <v>0.106</v>
      </c>
      <c r="I396">
        <v>3.2000000000000001E-2</v>
      </c>
      <c r="J396">
        <v>2.2026815466317502</v>
      </c>
      <c r="K396">
        <v>17.759472965036199</v>
      </c>
      <c r="L396">
        <v>13.365004473293</v>
      </c>
      <c r="M396">
        <v>39.1525056253667</v>
      </c>
      <c r="N396">
        <v>4.9832736525152797</v>
      </c>
      <c r="O396">
        <v>20.650560645669501</v>
      </c>
      <c r="P396">
        <v>0</v>
      </c>
    </row>
    <row r="397" spans="1:16" ht="14.5" hidden="1" x14ac:dyDescent="0.3">
      <c r="A397" s="1" t="s">
        <v>548</v>
      </c>
      <c r="B397" s="1" t="s">
        <v>1033</v>
      </c>
      <c r="C397" s="6">
        <v>5</v>
      </c>
      <c r="D397" s="6">
        <v>3</v>
      </c>
      <c r="E397" s="6" t="s">
        <v>1107</v>
      </c>
      <c r="F397" s="6">
        <v>8.1600000000000006E-2</v>
      </c>
      <c r="I397">
        <v>3.2000000000000001E-2</v>
      </c>
      <c r="J397">
        <v>2.0579244901602398</v>
      </c>
      <c r="K397">
        <v>12.5423962656842</v>
      </c>
      <c r="L397">
        <v>14.0409449211043</v>
      </c>
      <c r="M397">
        <v>30.593344794842</v>
      </c>
      <c r="N397">
        <v>10.9965921152394</v>
      </c>
      <c r="O397">
        <v>20.821623139961702</v>
      </c>
      <c r="P397">
        <v>0</v>
      </c>
    </row>
    <row r="398" spans="1:16" ht="14.5" hidden="1" x14ac:dyDescent="0.3">
      <c r="A398" s="1" t="s">
        <v>549</v>
      </c>
      <c r="B398" s="1" t="s">
        <v>1033</v>
      </c>
      <c r="C398" s="6">
        <v>5</v>
      </c>
      <c r="D398" s="6">
        <v>3</v>
      </c>
      <c r="E398" s="6" t="s">
        <v>1107</v>
      </c>
      <c r="F398" s="6">
        <v>7.9299999999999995E-2</v>
      </c>
      <c r="I398">
        <v>3.2000000000000001E-2</v>
      </c>
      <c r="J398">
        <v>1.35059263962703</v>
      </c>
      <c r="K398">
        <v>12.0925223243728</v>
      </c>
      <c r="L398">
        <v>11.199512317005</v>
      </c>
      <c r="M398">
        <v>28.459903023631099</v>
      </c>
      <c r="N398">
        <v>6.7496714453623499</v>
      </c>
      <c r="O398">
        <v>24.723689065139499</v>
      </c>
      <c r="P398">
        <v>0</v>
      </c>
    </row>
    <row r="399" spans="1:16" ht="14.5" x14ac:dyDescent="0.3">
      <c r="A399" s="1" t="s">
        <v>550</v>
      </c>
      <c r="B399" s="1" t="s">
        <v>1034</v>
      </c>
      <c r="C399" s="6">
        <v>5</v>
      </c>
      <c r="D399" s="6">
        <v>1</v>
      </c>
      <c r="E399" s="6" t="s">
        <v>1107</v>
      </c>
      <c r="F399" s="6">
        <v>8.1699999999999995E-2</v>
      </c>
      <c r="H399" s="1">
        <v>6</v>
      </c>
      <c r="I399">
        <v>3.2000000000000001E-2</v>
      </c>
      <c r="J399">
        <v>2.4981417189350701</v>
      </c>
      <c r="K399">
        <v>19.075452169525501</v>
      </c>
      <c r="L399">
        <v>15.1104379731776</v>
      </c>
      <c r="M399">
        <v>40.7274260219734</v>
      </c>
      <c r="N399">
        <v>9.5154084019302498</v>
      </c>
      <c r="O399">
        <v>26.451430023238899</v>
      </c>
      <c r="P399">
        <v>0</v>
      </c>
    </row>
    <row r="400" spans="1:16" ht="14.5" x14ac:dyDescent="0.3">
      <c r="A400" s="1" t="s">
        <v>551</v>
      </c>
      <c r="B400" s="1" t="s">
        <v>1034</v>
      </c>
      <c r="C400" s="6">
        <v>5</v>
      </c>
      <c r="D400" s="6">
        <v>1</v>
      </c>
      <c r="E400" s="6" t="s">
        <v>1107</v>
      </c>
      <c r="F400" s="6">
        <v>7.3999999999999996E-2</v>
      </c>
      <c r="H400" s="1">
        <v>6</v>
      </c>
      <c r="I400">
        <v>3.2000000000000001E-2</v>
      </c>
      <c r="J400">
        <v>1.57912281250705</v>
      </c>
      <c r="K400">
        <v>12.5371850829585</v>
      </c>
      <c r="L400">
        <v>8.2906763102100403</v>
      </c>
      <c r="M400">
        <v>20.8848718463559</v>
      </c>
      <c r="N400">
        <v>5.1613535685459198</v>
      </c>
      <c r="O400">
        <v>17.9628929157717</v>
      </c>
      <c r="P400">
        <v>0</v>
      </c>
    </row>
    <row r="401" spans="1:16" ht="14.5" x14ac:dyDescent="0.3">
      <c r="A401" s="1" t="s">
        <v>552</v>
      </c>
      <c r="B401" s="1" t="s">
        <v>1034</v>
      </c>
      <c r="C401" s="6">
        <v>5</v>
      </c>
      <c r="D401" s="6">
        <v>1</v>
      </c>
      <c r="E401" s="6" t="s">
        <v>1107</v>
      </c>
      <c r="F401" s="6">
        <v>6.4600000000000005E-2</v>
      </c>
      <c r="H401" s="1">
        <v>6</v>
      </c>
      <c r="I401">
        <v>3.2000000000000001E-2</v>
      </c>
      <c r="J401">
        <v>1.5311836493729101</v>
      </c>
      <c r="K401">
        <v>10.731853665714601</v>
      </c>
      <c r="L401">
        <v>10.6361864968503</v>
      </c>
      <c r="M401">
        <v>30.209960546051398</v>
      </c>
      <c r="N401">
        <v>4.0194071978831998</v>
      </c>
      <c r="O401">
        <v>11.573363241025</v>
      </c>
      <c r="P401">
        <v>0</v>
      </c>
    </row>
    <row r="402" spans="1:16" ht="14.5" x14ac:dyDescent="0.3">
      <c r="A402" s="1" t="s">
        <v>553</v>
      </c>
      <c r="B402" s="1" t="s">
        <v>1034</v>
      </c>
      <c r="C402" s="6">
        <v>5</v>
      </c>
      <c r="D402" s="6">
        <v>2</v>
      </c>
      <c r="E402" s="6" t="s">
        <v>1107</v>
      </c>
      <c r="F402" s="6">
        <v>7.2099999999999997E-2</v>
      </c>
      <c r="H402" s="1">
        <v>6</v>
      </c>
      <c r="I402">
        <v>3.2000000000000001E-2</v>
      </c>
      <c r="J402">
        <v>1.8183315247216301</v>
      </c>
      <c r="K402">
        <v>22.613960342131801</v>
      </c>
      <c r="L402">
        <v>12.0374451857483</v>
      </c>
      <c r="M402">
        <v>43.571073628216098</v>
      </c>
      <c r="N402">
        <v>9.3565497066078898</v>
      </c>
      <c r="O402">
        <v>32.8067852955677</v>
      </c>
      <c r="P402">
        <v>0</v>
      </c>
    </row>
    <row r="403" spans="1:16" ht="14.5" x14ac:dyDescent="0.3">
      <c r="A403" s="1" t="s">
        <v>554</v>
      </c>
      <c r="B403" s="1" t="s">
        <v>1034</v>
      </c>
      <c r="C403" s="6">
        <v>5</v>
      </c>
      <c r="D403" s="6">
        <v>2</v>
      </c>
      <c r="E403" s="6" t="s">
        <v>1107</v>
      </c>
      <c r="F403" s="6">
        <v>0.1009</v>
      </c>
      <c r="H403" s="1">
        <v>6</v>
      </c>
      <c r="I403">
        <v>3.2000000000000001E-2</v>
      </c>
      <c r="J403">
        <v>2.82833529924496</v>
      </c>
      <c r="K403">
        <v>18.281816474569698</v>
      </c>
      <c r="L403">
        <v>11.9039168494014</v>
      </c>
      <c r="M403">
        <v>31.672879843392401</v>
      </c>
      <c r="N403">
        <v>6.157893733071</v>
      </c>
      <c r="O403">
        <v>19.131862833736299</v>
      </c>
      <c r="P403">
        <v>0</v>
      </c>
    </row>
    <row r="404" spans="1:16" ht="14.5" x14ac:dyDescent="0.3">
      <c r="A404" s="1" t="s">
        <v>555</v>
      </c>
      <c r="B404" s="1" t="s">
        <v>1034</v>
      </c>
      <c r="C404" s="6">
        <v>5</v>
      </c>
      <c r="D404" s="6">
        <v>2</v>
      </c>
      <c r="E404" s="6" t="s">
        <v>1107</v>
      </c>
      <c r="F404" s="6">
        <v>7.7799999999999994E-2</v>
      </c>
      <c r="H404" s="1">
        <v>6</v>
      </c>
      <c r="I404">
        <v>3.2000000000000001E-2</v>
      </c>
      <c r="J404">
        <v>2.2037215356923201</v>
      </c>
      <c r="K404">
        <v>16.2071478996975</v>
      </c>
      <c r="L404">
        <v>11.3378495080685</v>
      </c>
      <c r="M404">
        <v>29.256315093373399</v>
      </c>
      <c r="N404">
        <v>5.6342514773576804</v>
      </c>
      <c r="O404">
        <v>17.6326874234665</v>
      </c>
      <c r="P404">
        <v>0</v>
      </c>
    </row>
    <row r="405" spans="1:16" ht="14.5" x14ac:dyDescent="0.3">
      <c r="A405" s="1" t="s">
        <v>556</v>
      </c>
      <c r="B405" s="1" t="s">
        <v>1034</v>
      </c>
      <c r="C405" s="6">
        <v>5</v>
      </c>
      <c r="D405" s="6">
        <v>3</v>
      </c>
      <c r="E405" s="6" t="s">
        <v>1107</v>
      </c>
      <c r="F405" s="6">
        <v>8.5300000000000001E-2</v>
      </c>
      <c r="H405" s="1">
        <v>6.0166666666666666</v>
      </c>
      <c r="I405">
        <v>3.2000000000000001E-2</v>
      </c>
      <c r="J405">
        <v>1.9735144877713799</v>
      </c>
      <c r="K405">
        <v>15.0846693513346</v>
      </c>
      <c r="L405">
        <v>11.863262382120499</v>
      </c>
      <c r="M405">
        <v>33.332764570889097</v>
      </c>
      <c r="N405">
        <v>4.4453166809811302</v>
      </c>
      <c r="O405">
        <v>16.055539021826998</v>
      </c>
      <c r="P405">
        <v>0</v>
      </c>
    </row>
    <row r="406" spans="1:16" ht="14.5" x14ac:dyDescent="0.3">
      <c r="A406" s="1" t="s">
        <v>557</v>
      </c>
      <c r="B406" s="1" t="s">
        <v>1034</v>
      </c>
      <c r="C406" s="6">
        <v>5</v>
      </c>
      <c r="D406" s="6">
        <v>3</v>
      </c>
      <c r="E406" s="6" t="s">
        <v>1107</v>
      </c>
      <c r="F406" s="6">
        <v>9.9900000000000003E-2</v>
      </c>
      <c r="H406" s="1">
        <v>6.0166666666666666</v>
      </c>
      <c r="I406">
        <v>3.2000000000000001E-2</v>
      </c>
      <c r="J406">
        <v>2.95386708619752</v>
      </c>
      <c r="K406">
        <v>17.7698269571205</v>
      </c>
      <c r="L406">
        <v>13.1180945053783</v>
      </c>
      <c r="M406">
        <v>37.8897605867895</v>
      </c>
      <c r="N406">
        <v>11.1361294924499</v>
      </c>
      <c r="O406">
        <v>25.655193754226399</v>
      </c>
      <c r="P406">
        <v>0</v>
      </c>
    </row>
    <row r="407" spans="1:16" ht="14.5" x14ac:dyDescent="0.3">
      <c r="A407" s="1" t="s">
        <v>558</v>
      </c>
      <c r="B407" s="1" t="s">
        <v>1034</v>
      </c>
      <c r="C407" s="6">
        <v>5</v>
      </c>
      <c r="D407" s="6">
        <v>3</v>
      </c>
      <c r="E407" s="6" t="s">
        <v>1107</v>
      </c>
      <c r="F407" s="6">
        <v>9.5100000000000004E-2</v>
      </c>
      <c r="H407" s="1">
        <v>6.0166666666666666</v>
      </c>
      <c r="I407">
        <v>3.2000000000000001E-2</v>
      </c>
      <c r="J407">
        <v>1.87583585223418</v>
      </c>
      <c r="K407">
        <v>15.5487854412887</v>
      </c>
      <c r="L407">
        <v>13.3994502053408</v>
      </c>
      <c r="M407">
        <v>38.3595511559272</v>
      </c>
      <c r="N407">
        <v>7.9297346023531601</v>
      </c>
      <c r="O407">
        <v>34.351004439076497</v>
      </c>
      <c r="P407">
        <v>0</v>
      </c>
    </row>
    <row r="408" spans="1:16" ht="14.5" x14ac:dyDescent="0.3">
      <c r="A408" s="1" t="s">
        <v>559</v>
      </c>
      <c r="B408" s="1" t="s">
        <v>1034</v>
      </c>
      <c r="C408" s="6">
        <v>5</v>
      </c>
      <c r="D408" s="6">
        <v>4</v>
      </c>
      <c r="E408" s="6" t="s">
        <v>1107</v>
      </c>
      <c r="F408" s="6">
        <v>9.1600000000000001E-2</v>
      </c>
      <c r="H408" s="1">
        <v>6.0166666666666666</v>
      </c>
      <c r="I408">
        <v>3.2000000000000001E-2</v>
      </c>
      <c r="J408">
        <v>2.4827413241390102</v>
      </c>
      <c r="K408">
        <v>26.281833383387699</v>
      </c>
      <c r="L408">
        <v>14.737559711900801</v>
      </c>
      <c r="M408">
        <v>57.781548700673703</v>
      </c>
      <c r="N408">
        <v>5.5551923166430104</v>
      </c>
      <c r="O408">
        <v>30.948142707676599</v>
      </c>
      <c r="P408">
        <v>0</v>
      </c>
    </row>
    <row r="409" spans="1:16" ht="14.5" x14ac:dyDescent="0.3">
      <c r="A409" s="1" t="s">
        <v>560</v>
      </c>
      <c r="B409" s="1" t="s">
        <v>1034</v>
      </c>
      <c r="C409" s="6">
        <v>5</v>
      </c>
      <c r="D409" s="6">
        <v>4</v>
      </c>
      <c r="E409" s="6" t="s">
        <v>1107</v>
      </c>
      <c r="F409" s="6">
        <v>5.7200000000000001E-2</v>
      </c>
      <c r="H409" s="1">
        <v>6.0166666666666666</v>
      </c>
      <c r="I409">
        <v>3.2000000000000001E-2</v>
      </c>
      <c r="J409">
        <v>2.11094491745986</v>
      </c>
      <c r="K409">
        <v>21.504919851961699</v>
      </c>
      <c r="L409">
        <v>11.540270165152601</v>
      </c>
      <c r="M409">
        <v>47.231115376161597</v>
      </c>
      <c r="N409">
        <v>2.9338487643129301</v>
      </c>
      <c r="O409">
        <v>26.868857064781199</v>
      </c>
      <c r="P409">
        <v>0</v>
      </c>
    </row>
    <row r="410" spans="1:16" ht="14.5" x14ac:dyDescent="0.3">
      <c r="A410" s="1" t="s">
        <v>561</v>
      </c>
      <c r="B410" s="1" t="s">
        <v>1034</v>
      </c>
      <c r="C410" s="6">
        <v>5</v>
      </c>
      <c r="D410" s="6">
        <v>4</v>
      </c>
      <c r="E410" s="6" t="s">
        <v>1107</v>
      </c>
      <c r="F410" s="6">
        <v>6.9800000000000001E-2</v>
      </c>
      <c r="H410" s="1">
        <v>6.0166666666666666</v>
      </c>
      <c r="I410">
        <v>3.2000000000000001E-2</v>
      </c>
      <c r="J410">
        <v>2.24136759520204</v>
      </c>
      <c r="K410">
        <v>23.191823682836201</v>
      </c>
      <c r="L410">
        <v>14.298782092101099</v>
      </c>
      <c r="M410">
        <v>43.2408944549857</v>
      </c>
      <c r="N410">
        <v>16.931036387558098</v>
      </c>
      <c r="O410">
        <v>45.194397317925997</v>
      </c>
      <c r="P410">
        <v>0</v>
      </c>
    </row>
    <row r="411" spans="1:16" ht="14.5" hidden="1" x14ac:dyDescent="0.3">
      <c r="A411" s="1" t="s">
        <v>562</v>
      </c>
      <c r="B411" s="1" t="s">
        <v>1033</v>
      </c>
      <c r="C411" s="6">
        <v>5</v>
      </c>
      <c r="D411" s="6">
        <v>1</v>
      </c>
      <c r="E411" s="6" t="s">
        <v>1108</v>
      </c>
      <c r="F411" s="6">
        <v>7.0900000000000005E-2</v>
      </c>
      <c r="I411">
        <v>3.2000000000000001E-2</v>
      </c>
      <c r="J411">
        <v>1.5687301218693901</v>
      </c>
      <c r="K411">
        <v>16.805487160044699</v>
      </c>
      <c r="L411">
        <v>13.7803649419628</v>
      </c>
      <c r="M411">
        <v>56.127183779815098</v>
      </c>
      <c r="N411">
        <v>5.8688237428209096</v>
      </c>
      <c r="O411">
        <v>31.313270910603201</v>
      </c>
      <c r="P411">
        <v>0</v>
      </c>
    </row>
    <row r="412" spans="1:16" ht="14.5" hidden="1" x14ac:dyDescent="0.3">
      <c r="A412" s="1" t="s">
        <v>563</v>
      </c>
      <c r="B412" s="1" t="s">
        <v>1033</v>
      </c>
      <c r="C412" s="6">
        <v>5</v>
      </c>
      <c r="D412" s="6">
        <v>1</v>
      </c>
      <c r="E412" s="6" t="s">
        <v>1108</v>
      </c>
      <c r="F412" s="6">
        <v>4.0099999999999997E-2</v>
      </c>
      <c r="I412">
        <v>3.2000000000000001E-2</v>
      </c>
      <c r="J412">
        <v>1.2871177482637599</v>
      </c>
      <c r="K412">
        <v>10.301312409733899</v>
      </c>
      <c r="L412">
        <v>6.1822571023300501</v>
      </c>
      <c r="M412">
        <v>14.3156801995975</v>
      </c>
      <c r="N412">
        <v>0.70622143670977799</v>
      </c>
      <c r="O412">
        <v>9.7299097173490008</v>
      </c>
      <c r="P412">
        <v>0</v>
      </c>
    </row>
    <row r="413" spans="1:16" ht="14.5" hidden="1" x14ac:dyDescent="0.3">
      <c r="A413" s="1" t="s">
        <v>564</v>
      </c>
      <c r="B413" s="1" t="s">
        <v>1033</v>
      </c>
      <c r="C413" s="6">
        <v>5</v>
      </c>
      <c r="D413" s="6">
        <v>1</v>
      </c>
      <c r="E413" s="6" t="s">
        <v>1108</v>
      </c>
      <c r="F413" s="6">
        <v>4.4900000000000002E-2</v>
      </c>
      <c r="I413">
        <v>3.2000000000000001E-2</v>
      </c>
      <c r="J413">
        <v>0.84470681260081304</v>
      </c>
      <c r="K413">
        <v>7.9504503224148397</v>
      </c>
      <c r="L413">
        <v>7.2868785271559799</v>
      </c>
      <c r="M413">
        <v>22.101996547113199</v>
      </c>
      <c r="N413">
        <v>3.35289481505251</v>
      </c>
      <c r="O413">
        <v>16.594595414484001</v>
      </c>
      <c r="P413">
        <v>0</v>
      </c>
    </row>
    <row r="414" spans="1:16" ht="14.5" hidden="1" x14ac:dyDescent="0.3">
      <c r="A414" s="1" t="s">
        <v>565</v>
      </c>
      <c r="B414" s="1" t="s">
        <v>1033</v>
      </c>
      <c r="C414" s="6">
        <v>5</v>
      </c>
      <c r="D414" s="6">
        <v>2</v>
      </c>
      <c r="E414" s="6" t="s">
        <v>1108</v>
      </c>
      <c r="F414" s="6">
        <v>8.2699999999999996E-2</v>
      </c>
      <c r="I414">
        <v>3.2000000000000001E-2</v>
      </c>
      <c r="J414">
        <v>2.5188491784511799</v>
      </c>
      <c r="K414">
        <v>20.517034423447701</v>
      </c>
      <c r="L414">
        <v>11.9340114011761</v>
      </c>
      <c r="M414">
        <v>35.948776995464499</v>
      </c>
      <c r="N414">
        <v>6.1099406078389604</v>
      </c>
      <c r="O414">
        <v>18.5966694644728</v>
      </c>
      <c r="P414">
        <v>0</v>
      </c>
    </row>
    <row r="415" spans="1:16" ht="14.5" hidden="1" x14ac:dyDescent="0.3">
      <c r="A415" s="1" t="s">
        <v>566</v>
      </c>
      <c r="B415" s="1" t="s">
        <v>1033</v>
      </c>
      <c r="C415" s="6">
        <v>5</v>
      </c>
      <c r="D415" s="6">
        <v>2</v>
      </c>
      <c r="E415" s="6" t="s">
        <v>1108</v>
      </c>
      <c r="F415" s="6">
        <v>7.0099999999999996E-2</v>
      </c>
      <c r="I415">
        <v>3.2000000000000001E-2</v>
      </c>
      <c r="J415">
        <v>1.77346206980398</v>
      </c>
      <c r="K415">
        <v>14.9749938733913</v>
      </c>
      <c r="L415">
        <v>7.6575801290877896</v>
      </c>
      <c r="M415">
        <v>20.3919453648844</v>
      </c>
      <c r="N415">
        <v>3.37529662175533</v>
      </c>
      <c r="O415">
        <v>14.249215880406799</v>
      </c>
      <c r="P415">
        <v>0</v>
      </c>
    </row>
    <row r="416" spans="1:16" ht="14.5" hidden="1" x14ac:dyDescent="0.3">
      <c r="A416" s="1" t="s">
        <v>567</v>
      </c>
      <c r="B416" s="1" t="s">
        <v>1033</v>
      </c>
      <c r="C416" s="6">
        <v>5</v>
      </c>
      <c r="D416" s="6">
        <v>2</v>
      </c>
      <c r="E416" s="6" t="s">
        <v>1108</v>
      </c>
      <c r="F416" s="6">
        <v>5.8999999999999997E-2</v>
      </c>
      <c r="I416">
        <v>3.2000000000000001E-2</v>
      </c>
      <c r="J416">
        <v>1.4943879265753599</v>
      </c>
      <c r="K416">
        <v>10.6890657799888</v>
      </c>
      <c r="L416">
        <v>9.4273907118318405</v>
      </c>
      <c r="M416">
        <v>29.0505711549939</v>
      </c>
      <c r="N416">
        <v>5.7262180475048297</v>
      </c>
      <c r="O416">
        <v>18.436497003583799</v>
      </c>
      <c r="P416">
        <v>0</v>
      </c>
    </row>
    <row r="417" spans="1:16" ht="14.5" hidden="1" x14ac:dyDescent="0.3">
      <c r="A417" s="1" t="s">
        <v>568</v>
      </c>
      <c r="B417" s="1" t="s">
        <v>1033</v>
      </c>
      <c r="C417" s="6">
        <v>5</v>
      </c>
      <c r="D417" s="6">
        <v>3</v>
      </c>
      <c r="E417" s="6" t="s">
        <v>1108</v>
      </c>
      <c r="F417" s="6">
        <v>7.9000000000000001E-2</v>
      </c>
      <c r="I417">
        <v>3.2000000000000001E-2</v>
      </c>
      <c r="J417">
        <v>2.3163351202011802</v>
      </c>
      <c r="K417">
        <v>21.734665336519502</v>
      </c>
      <c r="L417">
        <v>15.386380581413199</v>
      </c>
      <c r="M417">
        <v>56.862025466529801</v>
      </c>
      <c r="N417">
        <v>5.7715668898842001</v>
      </c>
      <c r="O417">
        <v>30.9133837117434</v>
      </c>
      <c r="P417">
        <v>0</v>
      </c>
    </row>
    <row r="418" spans="1:16" ht="14.5" hidden="1" x14ac:dyDescent="0.3">
      <c r="A418" s="1" t="s">
        <v>569</v>
      </c>
      <c r="B418" s="1" t="s">
        <v>1033</v>
      </c>
      <c r="C418" s="6">
        <v>5</v>
      </c>
      <c r="D418" s="6">
        <v>3</v>
      </c>
      <c r="E418" s="6" t="s">
        <v>1108</v>
      </c>
      <c r="F418" s="6">
        <v>6.2100000000000002E-2</v>
      </c>
      <c r="I418">
        <v>3.2000000000000001E-2</v>
      </c>
      <c r="J418">
        <v>1.3003743097751399</v>
      </c>
      <c r="K418">
        <v>15.822535878864899</v>
      </c>
      <c r="L418">
        <v>14.944765535257501</v>
      </c>
      <c r="M418">
        <v>68.297045257000704</v>
      </c>
      <c r="N418">
        <v>3.1512476100142899</v>
      </c>
      <c r="O418">
        <v>33.954714098733902</v>
      </c>
      <c r="P418">
        <v>0</v>
      </c>
    </row>
    <row r="419" spans="1:16" ht="14.5" hidden="1" x14ac:dyDescent="0.3">
      <c r="A419" s="1" t="s">
        <v>570</v>
      </c>
      <c r="B419" s="1" t="s">
        <v>1033</v>
      </c>
      <c r="C419" s="6">
        <v>5</v>
      </c>
      <c r="D419" s="6">
        <v>3</v>
      </c>
      <c r="E419" s="6" t="s">
        <v>1108</v>
      </c>
      <c r="F419" s="6">
        <v>5.4899999999999997E-2</v>
      </c>
      <c r="I419">
        <v>3.2000000000000001E-2</v>
      </c>
      <c r="J419">
        <v>2.29171019506542</v>
      </c>
      <c r="K419">
        <v>24.656601185438198</v>
      </c>
      <c r="L419">
        <v>8.7544393905577191</v>
      </c>
      <c r="M419">
        <v>28.387720132821102</v>
      </c>
      <c r="N419">
        <v>2.2363824976820199</v>
      </c>
      <c r="O419">
        <v>21.806534308992699</v>
      </c>
      <c r="P419">
        <v>0</v>
      </c>
    </row>
    <row r="420" spans="1:16" ht="14.5" hidden="1" x14ac:dyDescent="0.3">
      <c r="A420" s="1" t="s">
        <v>571</v>
      </c>
      <c r="B420" s="1" t="s">
        <v>1035</v>
      </c>
      <c r="C420" s="6">
        <v>5</v>
      </c>
      <c r="D420" s="6">
        <v>1</v>
      </c>
      <c r="E420" s="6" t="s">
        <v>1108</v>
      </c>
      <c r="F420" s="6">
        <v>8.0699999999999994E-2</v>
      </c>
      <c r="H420" s="1">
        <v>23.883333333333333</v>
      </c>
      <c r="I420">
        <v>3.2000000000000001E-2</v>
      </c>
      <c r="J420">
        <v>2.2640779080065601</v>
      </c>
      <c r="K420">
        <v>14.8479845438764</v>
      </c>
      <c r="L420">
        <v>12.7051252963018</v>
      </c>
      <c r="M420">
        <v>32.663012524025802</v>
      </c>
      <c r="N420">
        <v>5.41620242979634</v>
      </c>
      <c r="O420">
        <v>22.774735546901798</v>
      </c>
      <c r="P420">
        <v>0</v>
      </c>
    </row>
    <row r="421" spans="1:16" ht="14.5" hidden="1" x14ac:dyDescent="0.3">
      <c r="A421" s="1" t="s">
        <v>572</v>
      </c>
      <c r="B421" s="1" t="s">
        <v>1035</v>
      </c>
      <c r="C421" s="6">
        <v>5</v>
      </c>
      <c r="D421" s="6">
        <v>1</v>
      </c>
      <c r="E421" s="6" t="s">
        <v>1108</v>
      </c>
      <c r="F421" s="6">
        <v>7.3400000000000007E-2</v>
      </c>
      <c r="H421" s="1">
        <v>23.883333333333333</v>
      </c>
      <c r="I421">
        <v>3.2000000000000001E-2</v>
      </c>
      <c r="J421">
        <v>1.7403415324042499</v>
      </c>
      <c r="K421">
        <v>13.7876904307046</v>
      </c>
      <c r="L421">
        <v>10.336480981274001</v>
      </c>
      <c r="M421">
        <v>25.1851966418564</v>
      </c>
      <c r="N421">
        <v>5.0030828042669304</v>
      </c>
      <c r="O421">
        <v>13.451228963527999</v>
      </c>
      <c r="P421">
        <v>0</v>
      </c>
    </row>
    <row r="422" spans="1:16" ht="14.5" hidden="1" x14ac:dyDescent="0.3">
      <c r="A422" s="1" t="s">
        <v>573</v>
      </c>
      <c r="B422" s="1" t="s">
        <v>1035</v>
      </c>
      <c r="C422" s="6">
        <v>5</v>
      </c>
      <c r="D422" s="6">
        <v>1</v>
      </c>
      <c r="E422" s="6" t="s">
        <v>1108</v>
      </c>
      <c r="F422" s="6">
        <v>9.74E-2</v>
      </c>
      <c r="H422" s="1">
        <v>23.883333333333333</v>
      </c>
      <c r="I422">
        <v>3.2000000000000001E-2</v>
      </c>
      <c r="J422">
        <v>3.3854346325625202</v>
      </c>
      <c r="K422">
        <v>28.546797284663</v>
      </c>
      <c r="L422">
        <v>12.813855929125999</v>
      </c>
      <c r="M422">
        <v>34.226593663997697</v>
      </c>
      <c r="N422">
        <v>6.45279248580702</v>
      </c>
      <c r="O422">
        <v>22.7300493971096</v>
      </c>
      <c r="P422">
        <v>0</v>
      </c>
    </row>
    <row r="423" spans="1:16" ht="14.5" hidden="1" x14ac:dyDescent="0.3">
      <c r="A423" s="1" t="s">
        <v>574</v>
      </c>
      <c r="B423" s="1" t="s">
        <v>1035</v>
      </c>
      <c r="C423" s="6">
        <v>5</v>
      </c>
      <c r="D423" s="6">
        <v>1</v>
      </c>
      <c r="E423" s="6" t="s">
        <v>1108</v>
      </c>
      <c r="F423" s="6">
        <v>0.1105</v>
      </c>
      <c r="H423" s="1">
        <v>23.883333333333333</v>
      </c>
      <c r="I423">
        <v>0.04</v>
      </c>
      <c r="J423">
        <v>1.8681385806223501</v>
      </c>
      <c r="K423">
        <v>13.2418906476152</v>
      </c>
      <c r="L423">
        <v>12.060000724129001</v>
      </c>
      <c r="M423">
        <v>26.2062128317828</v>
      </c>
      <c r="N423">
        <v>11.754484744534899</v>
      </c>
      <c r="O423">
        <v>27.474492515908899</v>
      </c>
      <c r="P423">
        <v>0</v>
      </c>
    </row>
    <row r="424" spans="1:16" ht="14.5" hidden="1" x14ac:dyDescent="0.3">
      <c r="A424" s="1" t="s">
        <v>575</v>
      </c>
      <c r="B424" s="1" t="s">
        <v>1035</v>
      </c>
      <c r="C424" s="6">
        <v>5</v>
      </c>
      <c r="D424" s="6">
        <v>2</v>
      </c>
      <c r="E424" s="6" t="s">
        <v>1108</v>
      </c>
      <c r="F424" s="6">
        <v>7.9000000000000001E-2</v>
      </c>
      <c r="H424" s="1">
        <v>23.883333333333333</v>
      </c>
      <c r="I424">
        <v>3.2000000000000001E-2</v>
      </c>
      <c r="J424">
        <v>2.9126100931946501</v>
      </c>
      <c r="K424">
        <v>20.475240215056001</v>
      </c>
      <c r="L424">
        <v>11.8330187175013</v>
      </c>
      <c r="M424">
        <v>34.565601617216203</v>
      </c>
      <c r="N424">
        <v>3.9948784308455898</v>
      </c>
      <c r="O424">
        <v>15.7248245879002</v>
      </c>
      <c r="P424">
        <v>0</v>
      </c>
    </row>
    <row r="425" spans="1:16" ht="14.5" hidden="1" x14ac:dyDescent="0.3">
      <c r="A425" s="1" t="s">
        <v>576</v>
      </c>
      <c r="B425" s="1" t="s">
        <v>1035</v>
      </c>
      <c r="C425" s="6">
        <v>5</v>
      </c>
      <c r="D425" s="6">
        <v>2</v>
      </c>
      <c r="E425" s="6" t="s">
        <v>1108</v>
      </c>
      <c r="F425" s="6">
        <v>0.1263</v>
      </c>
      <c r="H425" s="1">
        <v>23.883333333333333</v>
      </c>
      <c r="I425">
        <v>0.04</v>
      </c>
      <c r="J425">
        <v>2.2506876301647498</v>
      </c>
      <c r="K425">
        <v>11.565758590649599</v>
      </c>
      <c r="L425">
        <v>11.342547468207099</v>
      </c>
      <c r="M425">
        <v>21.8621231645688</v>
      </c>
      <c r="N425">
        <v>4.7241385054874696</v>
      </c>
      <c r="O425">
        <v>13.205521576011799</v>
      </c>
      <c r="P425">
        <v>0</v>
      </c>
    </row>
    <row r="426" spans="1:16" ht="14.5" hidden="1" x14ac:dyDescent="0.3">
      <c r="A426" s="1" t="s">
        <v>577</v>
      </c>
      <c r="B426" s="1" t="s">
        <v>1035</v>
      </c>
      <c r="C426" s="6">
        <v>5</v>
      </c>
      <c r="D426" s="6">
        <v>2</v>
      </c>
      <c r="E426" s="6" t="s">
        <v>1108</v>
      </c>
      <c r="F426" s="6">
        <v>7.1199999999999999E-2</v>
      </c>
      <c r="H426" s="1">
        <v>23.883333333333333</v>
      </c>
      <c r="I426">
        <v>3.2000000000000001E-2</v>
      </c>
      <c r="J426">
        <v>1.7836556388364799</v>
      </c>
      <c r="K426">
        <v>15.698592262990999</v>
      </c>
      <c r="L426">
        <v>12.891737880291601</v>
      </c>
      <c r="M426">
        <v>40.300931649526099</v>
      </c>
      <c r="N426">
        <v>5.8601685609181704</v>
      </c>
      <c r="O426">
        <v>26.0294645459112</v>
      </c>
      <c r="P426">
        <v>0</v>
      </c>
    </row>
    <row r="427" spans="1:16" ht="14.5" hidden="1" x14ac:dyDescent="0.3">
      <c r="A427" s="1" t="s">
        <v>578</v>
      </c>
      <c r="B427" s="1" t="s">
        <v>1035</v>
      </c>
      <c r="C427" s="6">
        <v>5</v>
      </c>
      <c r="D427" s="6">
        <v>2</v>
      </c>
      <c r="E427" s="6" t="s">
        <v>1108</v>
      </c>
      <c r="F427" s="6">
        <v>0.11360000000000001</v>
      </c>
      <c r="H427" s="1">
        <v>23.883333333333333</v>
      </c>
      <c r="I427">
        <v>0.04</v>
      </c>
      <c r="J427">
        <v>1.97147408018687</v>
      </c>
      <c r="K427">
        <v>21.186153095809701</v>
      </c>
      <c r="L427">
        <v>14.7401650438209</v>
      </c>
      <c r="M427">
        <v>45.831469021055398</v>
      </c>
      <c r="N427">
        <v>6.9318289888960898</v>
      </c>
      <c r="O427">
        <v>29.822741369044799</v>
      </c>
      <c r="P427">
        <v>0</v>
      </c>
    </row>
    <row r="428" spans="1:16" ht="14.5" hidden="1" x14ac:dyDescent="0.3">
      <c r="A428" s="1" t="s">
        <v>579</v>
      </c>
      <c r="B428" s="1" t="s">
        <v>1035</v>
      </c>
      <c r="C428" s="6">
        <v>5</v>
      </c>
      <c r="D428" s="6">
        <v>3</v>
      </c>
      <c r="E428" s="6" t="s">
        <v>1108</v>
      </c>
      <c r="F428" s="6">
        <v>0.1114</v>
      </c>
      <c r="H428" s="1">
        <v>24.033333333333335</v>
      </c>
      <c r="I428">
        <v>0.04</v>
      </c>
      <c r="J428">
        <v>2.3151400677231901</v>
      </c>
      <c r="K428">
        <v>18.864940990328801</v>
      </c>
      <c r="L428">
        <v>11.4940298211844</v>
      </c>
      <c r="M428">
        <v>25.8771717205891</v>
      </c>
      <c r="N428">
        <v>4.1375868947609602</v>
      </c>
      <c r="O428">
        <v>19.751469382979401</v>
      </c>
      <c r="P428">
        <v>0</v>
      </c>
    </row>
    <row r="429" spans="1:16" ht="14.5" hidden="1" x14ac:dyDescent="0.3">
      <c r="A429" s="1" t="s">
        <v>580</v>
      </c>
      <c r="B429" s="1" t="s">
        <v>1035</v>
      </c>
      <c r="C429" s="6">
        <v>5</v>
      </c>
      <c r="D429" s="6">
        <v>3</v>
      </c>
      <c r="E429" s="6" t="s">
        <v>1108</v>
      </c>
      <c r="F429" s="6">
        <v>7.7600000000000002E-2</v>
      </c>
      <c r="H429" s="1">
        <v>24.033333333333335</v>
      </c>
      <c r="I429">
        <v>3.2000000000000001E-2</v>
      </c>
      <c r="J429">
        <v>1.4503346758311899</v>
      </c>
      <c r="K429">
        <v>13.511259438845</v>
      </c>
      <c r="L429">
        <v>11.2084747922073</v>
      </c>
      <c r="M429">
        <v>36.333243483013199</v>
      </c>
      <c r="N429">
        <v>5.8157536538969401</v>
      </c>
      <c r="O429">
        <v>25.850952788532901</v>
      </c>
      <c r="P429">
        <v>0</v>
      </c>
    </row>
    <row r="430" spans="1:16" ht="14.5" hidden="1" x14ac:dyDescent="0.3">
      <c r="A430" s="1" t="s">
        <v>581</v>
      </c>
      <c r="B430" s="1" t="s">
        <v>1035</v>
      </c>
      <c r="C430" s="6">
        <v>5</v>
      </c>
      <c r="D430" s="6">
        <v>3</v>
      </c>
      <c r="E430" s="6" t="s">
        <v>1108</v>
      </c>
      <c r="F430" s="6">
        <v>6.3299999999999995E-2</v>
      </c>
      <c r="H430" s="1">
        <v>24.033333333333335</v>
      </c>
      <c r="I430">
        <v>3.2000000000000001E-2</v>
      </c>
      <c r="J430">
        <v>1.25238017420415</v>
      </c>
      <c r="K430">
        <v>11.105660936494701</v>
      </c>
      <c r="L430">
        <v>9.1455508146794795</v>
      </c>
      <c r="M430">
        <v>23.771642446373001</v>
      </c>
      <c r="N430">
        <v>4.8844153434248598</v>
      </c>
      <c r="O430">
        <v>23.343715019558498</v>
      </c>
      <c r="P430">
        <v>0</v>
      </c>
    </row>
    <row r="431" spans="1:16" ht="14.5" hidden="1" x14ac:dyDescent="0.3">
      <c r="A431" s="1" t="s">
        <v>582</v>
      </c>
      <c r="B431" s="1" t="s">
        <v>1035</v>
      </c>
      <c r="C431" s="6">
        <v>5</v>
      </c>
      <c r="D431" s="6">
        <v>4</v>
      </c>
      <c r="E431" s="6" t="s">
        <v>1108</v>
      </c>
      <c r="F431" s="6">
        <v>0.1031</v>
      </c>
      <c r="H431" s="1">
        <v>23.883333333333333</v>
      </c>
      <c r="I431">
        <v>3.2000000000000001E-2</v>
      </c>
      <c r="J431">
        <v>2.5977249022956901</v>
      </c>
      <c r="K431">
        <v>23.751981211003201</v>
      </c>
      <c r="L431">
        <v>17.417064081703199</v>
      </c>
      <c r="M431">
        <v>72.160835120415697</v>
      </c>
      <c r="N431">
        <v>8.6733211167599702</v>
      </c>
      <c r="O431">
        <v>41.580632412990397</v>
      </c>
      <c r="P431">
        <v>0</v>
      </c>
    </row>
    <row r="432" spans="1:16" ht="14.5" hidden="1" x14ac:dyDescent="0.3">
      <c r="A432" s="1" t="s">
        <v>583</v>
      </c>
      <c r="B432" s="1" t="s">
        <v>1035</v>
      </c>
      <c r="C432" s="6">
        <v>5</v>
      </c>
      <c r="D432" s="6">
        <v>4</v>
      </c>
      <c r="E432" s="6" t="s">
        <v>1108</v>
      </c>
      <c r="F432" s="6">
        <v>8.6800000000000002E-2</v>
      </c>
      <c r="H432" s="1">
        <v>23.883333333333333</v>
      </c>
      <c r="I432">
        <v>3.2000000000000001E-2</v>
      </c>
      <c r="J432">
        <v>3.0722438536749901</v>
      </c>
      <c r="K432">
        <v>26.388161779984902</v>
      </c>
      <c r="L432">
        <v>11.7239760129617</v>
      </c>
      <c r="M432">
        <v>37.774776259749402</v>
      </c>
      <c r="N432">
        <v>5.9649216483432603</v>
      </c>
      <c r="O432">
        <v>34.359231589032198</v>
      </c>
      <c r="P432">
        <v>0</v>
      </c>
    </row>
    <row r="433" spans="1:16" ht="14.5" hidden="1" x14ac:dyDescent="0.3">
      <c r="A433" s="1" t="s">
        <v>584</v>
      </c>
      <c r="B433" s="1" t="s">
        <v>1035</v>
      </c>
      <c r="C433" s="6">
        <v>5</v>
      </c>
      <c r="D433" s="6">
        <v>4</v>
      </c>
      <c r="E433" s="6" t="s">
        <v>1108</v>
      </c>
      <c r="F433" s="6">
        <v>7.5800000000000006E-2</v>
      </c>
      <c r="H433" s="1">
        <v>23.883333333333333</v>
      </c>
      <c r="I433">
        <v>3.2000000000000001E-2</v>
      </c>
      <c r="J433">
        <v>2.9933195350460702</v>
      </c>
      <c r="K433">
        <v>18.6578132885104</v>
      </c>
      <c r="L433">
        <v>11.3191373077688</v>
      </c>
      <c r="M433">
        <v>28.164980497824899</v>
      </c>
      <c r="N433">
        <v>7.0771103437677896</v>
      </c>
      <c r="O433">
        <v>18.783405655521001</v>
      </c>
      <c r="P433">
        <v>0</v>
      </c>
    </row>
    <row r="434" spans="1:16" ht="14.5" hidden="1" x14ac:dyDescent="0.3">
      <c r="A434" s="1" t="s">
        <v>585</v>
      </c>
      <c r="B434" s="1" t="s">
        <v>1035</v>
      </c>
      <c r="C434" s="6">
        <v>5</v>
      </c>
      <c r="D434" s="6">
        <v>4</v>
      </c>
      <c r="E434" s="6" t="s">
        <v>1108</v>
      </c>
      <c r="F434" s="6">
        <v>0.1084</v>
      </c>
      <c r="H434" s="1">
        <v>23.883333333333333</v>
      </c>
      <c r="I434">
        <v>3.2000000000000001E-2</v>
      </c>
      <c r="J434">
        <v>2.1752863781199001</v>
      </c>
      <c r="K434">
        <v>11.603288481665</v>
      </c>
      <c r="L434">
        <v>19.2062391412741</v>
      </c>
      <c r="M434">
        <v>37.994403095182697</v>
      </c>
      <c r="N434">
        <v>5.7262846919575896</v>
      </c>
      <c r="O434">
        <v>21.017654163911999</v>
      </c>
      <c r="P434">
        <v>0</v>
      </c>
    </row>
    <row r="435" spans="1:16" ht="14.5" x14ac:dyDescent="0.3">
      <c r="A435" s="1" t="s">
        <v>586</v>
      </c>
      <c r="B435" s="1" t="s">
        <v>1034</v>
      </c>
      <c r="C435" s="6">
        <v>5</v>
      </c>
      <c r="D435" s="6">
        <v>1</v>
      </c>
      <c r="E435" s="6" t="s">
        <v>1108</v>
      </c>
      <c r="F435" s="6">
        <v>8.3400000000000002E-2</v>
      </c>
      <c r="H435" s="1">
        <v>23.916666666666668</v>
      </c>
      <c r="I435">
        <v>3.2000000000000001E-2</v>
      </c>
      <c r="J435">
        <v>1.10019824108279</v>
      </c>
      <c r="K435">
        <v>9.3270542876526008</v>
      </c>
      <c r="L435">
        <v>5.5933768708857796</v>
      </c>
      <c r="M435">
        <v>18.841564518949301</v>
      </c>
      <c r="N435">
        <v>4.0101169709614499</v>
      </c>
      <c r="O435">
        <v>12.672056183346401</v>
      </c>
      <c r="P435">
        <v>0</v>
      </c>
    </row>
    <row r="436" spans="1:16" ht="14.5" x14ac:dyDescent="0.3">
      <c r="A436" s="1" t="s">
        <v>587</v>
      </c>
      <c r="B436" s="1" t="s">
        <v>1034</v>
      </c>
      <c r="C436" s="6">
        <v>5</v>
      </c>
      <c r="D436" s="6">
        <v>1</v>
      </c>
      <c r="E436" s="6" t="s">
        <v>1108</v>
      </c>
      <c r="F436" s="6">
        <v>7.5300000000000006E-2</v>
      </c>
      <c r="H436" s="1">
        <v>23.916666666666668</v>
      </c>
      <c r="I436">
        <v>3.2000000000000001E-2</v>
      </c>
      <c r="J436">
        <v>2.7562644177997102</v>
      </c>
      <c r="K436">
        <v>18.613704979990398</v>
      </c>
      <c r="L436">
        <v>12.1891951904593</v>
      </c>
      <c r="M436">
        <v>37.324332411735803</v>
      </c>
      <c r="N436">
        <v>8.0172838920481002</v>
      </c>
      <c r="O436">
        <v>19.821145199647599</v>
      </c>
      <c r="P436">
        <v>0</v>
      </c>
    </row>
    <row r="437" spans="1:16" ht="14.5" x14ac:dyDescent="0.3">
      <c r="A437" s="1" t="s">
        <v>588</v>
      </c>
      <c r="B437" s="1" t="s">
        <v>1034</v>
      </c>
      <c r="C437" s="6">
        <v>5</v>
      </c>
      <c r="D437" s="6">
        <v>1</v>
      </c>
      <c r="E437" s="6" t="s">
        <v>1108</v>
      </c>
      <c r="F437" s="6">
        <v>6.9800000000000001E-2</v>
      </c>
      <c r="H437" s="1">
        <v>23.916666666666668</v>
      </c>
      <c r="I437">
        <v>3.2000000000000001E-2</v>
      </c>
      <c r="J437">
        <v>2.1505048551772901</v>
      </c>
      <c r="K437">
        <v>18.9356225630439</v>
      </c>
      <c r="L437">
        <v>9.1112247996052904</v>
      </c>
      <c r="M437">
        <v>23.7328401350394</v>
      </c>
      <c r="N437">
        <v>9.4672116356551399</v>
      </c>
      <c r="O437">
        <v>34.521833130490997</v>
      </c>
      <c r="P437">
        <v>0</v>
      </c>
    </row>
    <row r="438" spans="1:16" ht="14.5" x14ac:dyDescent="0.3">
      <c r="A438" s="1" t="s">
        <v>589</v>
      </c>
      <c r="B438" s="1" t="s">
        <v>1034</v>
      </c>
      <c r="C438" s="6">
        <v>5</v>
      </c>
      <c r="D438" s="6">
        <v>2</v>
      </c>
      <c r="E438" s="6" t="s">
        <v>1108</v>
      </c>
      <c r="F438" s="6">
        <v>9.7799999999999998E-2</v>
      </c>
      <c r="H438" s="1">
        <v>24</v>
      </c>
      <c r="I438">
        <v>3.2000000000000001E-2</v>
      </c>
      <c r="J438">
        <v>2.0718256091370999</v>
      </c>
      <c r="K438">
        <v>15.7294475899257</v>
      </c>
      <c r="L438">
        <v>16.448176699195599</v>
      </c>
      <c r="M438">
        <v>35.180836077275004</v>
      </c>
      <c r="N438">
        <v>7.9933896541040301</v>
      </c>
      <c r="O438">
        <v>20.668592708759899</v>
      </c>
      <c r="P438">
        <v>0</v>
      </c>
    </row>
    <row r="439" spans="1:16" ht="14.5" x14ac:dyDescent="0.3">
      <c r="A439" s="1" t="s">
        <v>590</v>
      </c>
      <c r="B439" s="1" t="s">
        <v>1034</v>
      </c>
      <c r="C439" s="6">
        <v>5</v>
      </c>
      <c r="D439" s="6">
        <v>2</v>
      </c>
      <c r="E439" s="6" t="s">
        <v>1108</v>
      </c>
      <c r="F439" s="6">
        <v>9.3100000000000002E-2</v>
      </c>
      <c r="H439" s="1">
        <v>24</v>
      </c>
      <c r="I439">
        <v>3.2000000000000001E-2</v>
      </c>
      <c r="J439">
        <v>2.9601915903662701</v>
      </c>
      <c r="K439">
        <v>27.386970180216501</v>
      </c>
      <c r="L439">
        <v>14.1003752334114</v>
      </c>
      <c r="M439">
        <v>50.037018223962598</v>
      </c>
      <c r="N439">
        <v>23.385594004804901</v>
      </c>
      <c r="O439">
        <v>46.354967220914197</v>
      </c>
      <c r="P439">
        <v>0</v>
      </c>
    </row>
    <row r="440" spans="1:16" ht="14.5" x14ac:dyDescent="0.3">
      <c r="A440" s="1" t="s">
        <v>591</v>
      </c>
      <c r="B440" s="1" t="s">
        <v>1034</v>
      </c>
      <c r="C440" s="6">
        <v>5</v>
      </c>
      <c r="D440" s="6">
        <v>2</v>
      </c>
      <c r="E440" s="6" t="s">
        <v>1108</v>
      </c>
      <c r="F440" s="6">
        <v>7.9500000000000001E-2</v>
      </c>
      <c r="H440" s="1">
        <v>24</v>
      </c>
      <c r="I440">
        <v>3.2000000000000001E-2</v>
      </c>
      <c r="J440">
        <v>2.41174995708205</v>
      </c>
      <c r="K440">
        <v>18.460238357098898</v>
      </c>
      <c r="L440">
        <v>11.531162292932001</v>
      </c>
      <c r="M440">
        <v>27.420380610298398</v>
      </c>
      <c r="N440">
        <v>12.0172735764568</v>
      </c>
      <c r="O440">
        <v>28.4678321954555</v>
      </c>
      <c r="P440">
        <v>0</v>
      </c>
    </row>
    <row r="441" spans="1:16" ht="14.5" x14ac:dyDescent="0.3">
      <c r="A441" s="1" t="s">
        <v>592</v>
      </c>
      <c r="B441" s="1" t="s">
        <v>1034</v>
      </c>
      <c r="C441" s="6">
        <v>5</v>
      </c>
      <c r="D441" s="6">
        <v>3</v>
      </c>
      <c r="E441" s="6" t="s">
        <v>1108</v>
      </c>
      <c r="F441" s="6">
        <v>8.3599999999999994E-2</v>
      </c>
      <c r="H441" s="1">
        <v>24.033333333333335</v>
      </c>
      <c r="I441">
        <v>3.2000000000000001E-2</v>
      </c>
      <c r="J441">
        <v>1.8680817222750401</v>
      </c>
      <c r="K441">
        <v>15.0911146582296</v>
      </c>
      <c r="L441">
        <v>10.775567598856499</v>
      </c>
      <c r="M441">
        <v>25.3878335487925</v>
      </c>
      <c r="N441">
        <v>12.8179940106339</v>
      </c>
      <c r="O441">
        <v>29.1512415334442</v>
      </c>
      <c r="P441">
        <v>0</v>
      </c>
    </row>
    <row r="442" spans="1:16" ht="14.5" x14ac:dyDescent="0.3">
      <c r="A442" s="1" t="s">
        <v>593</v>
      </c>
      <c r="B442" s="1" t="s">
        <v>1034</v>
      </c>
      <c r="C442" s="6">
        <v>5</v>
      </c>
      <c r="D442" s="6">
        <v>3</v>
      </c>
      <c r="E442" s="6" t="s">
        <v>1108</v>
      </c>
      <c r="F442" s="6">
        <v>0.114</v>
      </c>
      <c r="H442" s="1">
        <v>24.033333333333335</v>
      </c>
      <c r="I442">
        <v>0.04</v>
      </c>
      <c r="J442">
        <v>2.4274491515277599</v>
      </c>
      <c r="K442">
        <v>15.868177188270399</v>
      </c>
      <c r="L442">
        <v>12.0941029268728</v>
      </c>
      <c r="M442">
        <v>30.267054439197</v>
      </c>
      <c r="N442">
        <v>7.0016384685314099</v>
      </c>
      <c r="O442">
        <v>14.9976052196885</v>
      </c>
      <c r="P442">
        <v>0</v>
      </c>
    </row>
    <row r="443" spans="1:16" ht="14.5" x14ac:dyDescent="0.3">
      <c r="A443" s="1" t="s">
        <v>594</v>
      </c>
      <c r="B443" s="1" t="s">
        <v>1034</v>
      </c>
      <c r="C443" s="6">
        <v>5</v>
      </c>
      <c r="D443" s="6">
        <v>3</v>
      </c>
      <c r="E443" s="6" t="s">
        <v>1108</v>
      </c>
      <c r="F443" s="6">
        <v>0.06</v>
      </c>
      <c r="H443" s="1">
        <v>24.033333333333335</v>
      </c>
      <c r="I443">
        <v>3.2000000000000001E-2</v>
      </c>
      <c r="J443">
        <v>1.6999170322106001</v>
      </c>
      <c r="K443">
        <v>12.6761375069397</v>
      </c>
      <c r="L443">
        <v>10.7294865632857</v>
      </c>
      <c r="M443">
        <v>35.151933726007897</v>
      </c>
      <c r="N443">
        <v>5.5077066974020896</v>
      </c>
      <c r="O443">
        <v>22.7316010422219</v>
      </c>
      <c r="P443">
        <v>0</v>
      </c>
    </row>
    <row r="444" spans="1:16" ht="14.5" x14ac:dyDescent="0.3">
      <c r="A444" s="1" t="s">
        <v>595</v>
      </c>
      <c r="B444" s="1" t="s">
        <v>1034</v>
      </c>
      <c r="C444" s="6">
        <v>5</v>
      </c>
      <c r="D444" s="6">
        <v>4</v>
      </c>
      <c r="E444" s="6" t="s">
        <v>1108</v>
      </c>
      <c r="F444" s="6">
        <v>8.7499999999999994E-2</v>
      </c>
      <c r="H444" s="1">
        <v>24</v>
      </c>
      <c r="I444">
        <v>3.2000000000000001E-2</v>
      </c>
      <c r="J444">
        <v>2.1878571620826399</v>
      </c>
      <c r="K444">
        <v>12.6786963487649</v>
      </c>
      <c r="L444">
        <v>10.8238901894342</v>
      </c>
      <c r="M444">
        <v>30.000033441724501</v>
      </c>
      <c r="N444">
        <v>25.9209724761355</v>
      </c>
      <c r="O444">
        <v>35.148735265184698</v>
      </c>
      <c r="P444">
        <v>0</v>
      </c>
    </row>
    <row r="445" spans="1:16" ht="14.5" x14ac:dyDescent="0.3">
      <c r="A445" s="1" t="s">
        <v>596</v>
      </c>
      <c r="B445" s="1" t="s">
        <v>1034</v>
      </c>
      <c r="C445" s="6">
        <v>5</v>
      </c>
      <c r="D445" s="6">
        <v>4</v>
      </c>
      <c r="E445" s="6" t="s">
        <v>1108</v>
      </c>
      <c r="F445" s="6">
        <v>0.10440000000000001</v>
      </c>
      <c r="H445" s="1">
        <v>24</v>
      </c>
      <c r="I445">
        <v>3.2000000000000001E-2</v>
      </c>
      <c r="J445">
        <v>2.4555282186791398</v>
      </c>
      <c r="K445">
        <v>18.667896757004598</v>
      </c>
      <c r="L445">
        <v>14.9539929215263</v>
      </c>
      <c r="M445">
        <v>39.354452255160801</v>
      </c>
      <c r="N445">
        <v>10.6213404039819</v>
      </c>
      <c r="O445">
        <v>33.251888595512298</v>
      </c>
      <c r="P445">
        <v>0</v>
      </c>
    </row>
    <row r="446" spans="1:16" ht="14.5" x14ac:dyDescent="0.3">
      <c r="A446" s="1" t="s">
        <v>597</v>
      </c>
      <c r="B446" s="1" t="s">
        <v>1034</v>
      </c>
      <c r="C446" s="6">
        <v>5</v>
      </c>
      <c r="D446" s="6">
        <v>4</v>
      </c>
      <c r="E446" s="6" t="s">
        <v>1108</v>
      </c>
      <c r="F446" s="6">
        <v>6.8500000000000005E-2</v>
      </c>
      <c r="H446" s="1">
        <v>24</v>
      </c>
      <c r="I446">
        <v>3.2000000000000001E-2</v>
      </c>
      <c r="J446">
        <v>1.0076904262592501</v>
      </c>
      <c r="K446">
        <v>12.2944363365903</v>
      </c>
      <c r="L446">
        <v>9.7096408040459998</v>
      </c>
      <c r="M446">
        <v>29.382190366237602</v>
      </c>
      <c r="N446">
        <v>13.805717157794099</v>
      </c>
      <c r="O446">
        <v>30.926881075802299</v>
      </c>
      <c r="P446">
        <v>0</v>
      </c>
    </row>
    <row r="447" spans="1:16" ht="14.5" hidden="1" x14ac:dyDescent="0.3">
      <c r="A447" s="1" t="s">
        <v>598</v>
      </c>
      <c r="B447" s="1" t="s">
        <v>1033</v>
      </c>
      <c r="C447" s="6">
        <v>5</v>
      </c>
      <c r="D447" s="6">
        <v>1</v>
      </c>
      <c r="E447" s="6" t="s">
        <v>1109</v>
      </c>
      <c r="F447" s="1">
        <v>6.3600000000000004E-2</v>
      </c>
      <c r="I447">
        <v>3.2000000000000001E-2</v>
      </c>
      <c r="J447">
        <v>1.9754742862926</v>
      </c>
      <c r="K447">
        <v>20.7832042540348</v>
      </c>
      <c r="L447">
        <v>8.36764463337928</v>
      </c>
      <c r="M447">
        <v>27.070691790933001</v>
      </c>
      <c r="N447">
        <v>5.0912165833415104</v>
      </c>
      <c r="O447">
        <v>24.425444952347</v>
      </c>
      <c r="P447">
        <v>0</v>
      </c>
    </row>
    <row r="448" spans="1:16" ht="14.5" hidden="1" x14ac:dyDescent="0.3">
      <c r="A448" s="1" t="s">
        <v>599</v>
      </c>
      <c r="B448" s="1" t="s">
        <v>1033</v>
      </c>
      <c r="C448" s="6">
        <v>5</v>
      </c>
      <c r="D448" s="6">
        <v>1</v>
      </c>
      <c r="E448" s="6" t="s">
        <v>1109</v>
      </c>
      <c r="F448" s="1">
        <v>7.6899999999999996E-2</v>
      </c>
      <c r="I448">
        <v>3.2000000000000001E-2</v>
      </c>
      <c r="J448">
        <v>1.58161443316165</v>
      </c>
      <c r="K448">
        <v>13.6729960525858</v>
      </c>
      <c r="L448">
        <v>9.1487960957786498</v>
      </c>
      <c r="M448">
        <v>19.907586706104901</v>
      </c>
      <c r="N448">
        <v>5.8178714221046004</v>
      </c>
      <c r="O448">
        <v>15.808667834023201</v>
      </c>
      <c r="P448">
        <v>0</v>
      </c>
    </row>
    <row r="449" spans="1:16" ht="14.5" hidden="1" x14ac:dyDescent="0.3">
      <c r="A449" s="1" t="s">
        <v>600</v>
      </c>
      <c r="B449" s="1" t="s">
        <v>1033</v>
      </c>
      <c r="C449" s="6">
        <v>5</v>
      </c>
      <c r="D449" s="6">
        <v>1</v>
      </c>
      <c r="E449" s="6" t="s">
        <v>1109</v>
      </c>
      <c r="F449" s="1">
        <v>7.0099999999999996E-2</v>
      </c>
      <c r="I449">
        <v>3.2000000000000001E-2</v>
      </c>
      <c r="J449">
        <v>1.9051456972310601</v>
      </c>
      <c r="K449">
        <v>10.8147360690994</v>
      </c>
      <c r="L449">
        <v>8.8357018706120396</v>
      </c>
      <c r="M449">
        <v>16.284998227595899</v>
      </c>
      <c r="N449">
        <v>3.05959118387202</v>
      </c>
      <c r="O449">
        <v>10.7594536375946</v>
      </c>
      <c r="P449">
        <v>0</v>
      </c>
    </row>
    <row r="450" spans="1:16" ht="14.5" hidden="1" x14ac:dyDescent="0.3">
      <c r="A450" s="1" t="s">
        <v>601</v>
      </c>
      <c r="B450" s="1" t="s">
        <v>1033</v>
      </c>
      <c r="C450" s="6">
        <v>5</v>
      </c>
      <c r="D450" s="6">
        <v>2</v>
      </c>
      <c r="E450" s="6" t="s">
        <v>1109</v>
      </c>
      <c r="F450" s="1">
        <v>6.3500000000000001E-2</v>
      </c>
      <c r="I450">
        <v>3.2000000000000001E-2</v>
      </c>
      <c r="J450">
        <v>2.06370293137384</v>
      </c>
      <c r="K450">
        <v>15.9290358321611</v>
      </c>
      <c r="L450">
        <v>11.2246131929246</v>
      </c>
      <c r="M450">
        <v>28.3168156150819</v>
      </c>
      <c r="N450">
        <v>8.6345312907357794</v>
      </c>
      <c r="O450">
        <v>20.4837563182301</v>
      </c>
      <c r="P450">
        <v>0</v>
      </c>
    </row>
    <row r="451" spans="1:16" ht="14.5" hidden="1" x14ac:dyDescent="0.3">
      <c r="A451" s="1" t="s">
        <v>602</v>
      </c>
      <c r="B451" s="1" t="s">
        <v>1033</v>
      </c>
      <c r="C451" s="6">
        <v>5</v>
      </c>
      <c r="D451" s="6">
        <v>2</v>
      </c>
      <c r="E451" s="6" t="s">
        <v>1109</v>
      </c>
      <c r="F451" s="1">
        <v>7.1300000000000002E-2</v>
      </c>
      <c r="I451">
        <v>3.2000000000000001E-2</v>
      </c>
      <c r="J451">
        <v>2.7691377436205098</v>
      </c>
      <c r="K451">
        <v>16.42938433986</v>
      </c>
      <c r="L451">
        <v>11.377508022825101</v>
      </c>
      <c r="M451">
        <v>29.5581364936669</v>
      </c>
      <c r="N451">
        <v>6.15156091412147</v>
      </c>
      <c r="O451">
        <v>16.94387345626</v>
      </c>
      <c r="P451">
        <v>0</v>
      </c>
    </row>
    <row r="452" spans="1:16" ht="14.5" hidden="1" x14ac:dyDescent="0.3">
      <c r="A452" s="1" t="s">
        <v>603</v>
      </c>
      <c r="B452" s="1" t="s">
        <v>1033</v>
      </c>
      <c r="C452" s="6">
        <v>5</v>
      </c>
      <c r="D452" s="6">
        <v>2</v>
      </c>
      <c r="E452" s="6" t="s">
        <v>1109</v>
      </c>
      <c r="F452" s="1">
        <v>8.0399999999999999E-2</v>
      </c>
      <c r="I452">
        <v>3.2000000000000001E-2</v>
      </c>
      <c r="J452">
        <v>2.2590729307246802</v>
      </c>
      <c r="K452">
        <v>20.710270482773499</v>
      </c>
      <c r="L452">
        <v>11.3587942235509</v>
      </c>
      <c r="M452">
        <v>32.716779253028299</v>
      </c>
      <c r="N452">
        <v>8.2027690048621498</v>
      </c>
      <c r="O452">
        <v>35.300757429009302</v>
      </c>
      <c r="P452">
        <v>0</v>
      </c>
    </row>
    <row r="453" spans="1:16" ht="14.5" hidden="1" x14ac:dyDescent="0.3">
      <c r="A453" s="1" t="s">
        <v>604</v>
      </c>
      <c r="B453" s="1" t="s">
        <v>1033</v>
      </c>
      <c r="C453" s="6">
        <v>5</v>
      </c>
      <c r="D453" s="6">
        <v>3</v>
      </c>
      <c r="E453" s="6" t="s">
        <v>1109</v>
      </c>
      <c r="F453" s="1">
        <v>6.3799999999999996E-2</v>
      </c>
      <c r="I453">
        <v>3.2000000000000001E-2</v>
      </c>
      <c r="J453">
        <v>1.7279631453263999</v>
      </c>
      <c r="K453">
        <v>13.1401809405821</v>
      </c>
      <c r="L453">
        <v>9.6387905516891408</v>
      </c>
      <c r="M453">
        <v>22.7147064870029</v>
      </c>
      <c r="N453">
        <v>9.2382918888895595</v>
      </c>
      <c r="O453">
        <v>22.142250660152801</v>
      </c>
      <c r="P453">
        <v>0</v>
      </c>
    </row>
    <row r="454" spans="1:16" ht="14.5" hidden="1" x14ac:dyDescent="0.3">
      <c r="A454" s="1" t="s">
        <v>605</v>
      </c>
      <c r="B454" s="1" t="s">
        <v>1033</v>
      </c>
      <c r="C454" s="6">
        <v>5</v>
      </c>
      <c r="D454" s="6">
        <v>3</v>
      </c>
      <c r="E454" s="6" t="s">
        <v>1109</v>
      </c>
      <c r="F454" s="1">
        <v>5.8599999999999999E-2</v>
      </c>
      <c r="I454">
        <v>3.2000000000000001E-2</v>
      </c>
      <c r="J454">
        <v>2.120347767692</v>
      </c>
      <c r="K454">
        <v>15.5289448041231</v>
      </c>
      <c r="L454">
        <v>7.44687069315966</v>
      </c>
      <c r="M454">
        <v>26.249275919382502</v>
      </c>
      <c r="N454">
        <v>5.0858772492437501</v>
      </c>
      <c r="O454">
        <v>22.919231226933899</v>
      </c>
      <c r="P454">
        <v>0</v>
      </c>
    </row>
    <row r="455" spans="1:16" ht="14.5" hidden="1" x14ac:dyDescent="0.3">
      <c r="A455" s="1" t="s">
        <v>606</v>
      </c>
      <c r="B455" s="1" t="s">
        <v>1033</v>
      </c>
      <c r="C455" s="6">
        <v>5</v>
      </c>
      <c r="D455" s="6">
        <v>3</v>
      </c>
      <c r="E455" s="6" t="s">
        <v>1109</v>
      </c>
      <c r="F455" s="1">
        <v>6.08E-2</v>
      </c>
      <c r="I455">
        <v>3.2000000000000001E-2</v>
      </c>
      <c r="J455">
        <v>1.6414486926115699</v>
      </c>
      <c r="K455">
        <v>12.8419356091162</v>
      </c>
      <c r="L455">
        <v>8.3013459331429509</v>
      </c>
      <c r="M455">
        <v>19.0785226698031</v>
      </c>
      <c r="N455">
        <v>4.1547096542891602</v>
      </c>
      <c r="O455">
        <v>17.898894594665698</v>
      </c>
      <c r="P455">
        <v>0</v>
      </c>
    </row>
    <row r="456" spans="1:16" ht="14.5" x14ac:dyDescent="0.3">
      <c r="A456" s="1" t="s">
        <v>607</v>
      </c>
      <c r="B456" s="1" t="s">
        <v>1034</v>
      </c>
      <c r="C456" s="6">
        <v>5</v>
      </c>
      <c r="D456" s="6">
        <v>1</v>
      </c>
      <c r="E456" s="6" t="s">
        <v>1109</v>
      </c>
      <c r="F456" s="1">
        <v>7.3499999999999996E-2</v>
      </c>
      <c r="H456" s="1">
        <v>71.966666666666669</v>
      </c>
      <c r="I456">
        <v>3.2000000000000001E-2</v>
      </c>
      <c r="J456">
        <v>1.86981197367339</v>
      </c>
      <c r="K456">
        <v>17.074080917851699</v>
      </c>
      <c r="L456">
        <v>11.7690390816662</v>
      </c>
      <c r="M456">
        <v>32.494937728744098</v>
      </c>
      <c r="N456">
        <v>21.608486475953601</v>
      </c>
      <c r="O456">
        <v>40.199596785712302</v>
      </c>
      <c r="P456">
        <v>0</v>
      </c>
    </row>
    <row r="457" spans="1:16" ht="14.5" x14ac:dyDescent="0.3">
      <c r="A457" s="1" t="s">
        <v>608</v>
      </c>
      <c r="B457" s="1" t="s">
        <v>1034</v>
      </c>
      <c r="C457" s="6">
        <v>5</v>
      </c>
      <c r="D457" s="6">
        <v>1</v>
      </c>
      <c r="E457" s="6" t="s">
        <v>1109</v>
      </c>
      <c r="F457" s="1">
        <v>7.2599999999999998E-2</v>
      </c>
      <c r="H457" s="1">
        <v>71.966666666666669</v>
      </c>
      <c r="I457">
        <v>3.2000000000000001E-2</v>
      </c>
      <c r="J457">
        <v>2.2486919257540898</v>
      </c>
      <c r="K457">
        <v>17.826019733947899</v>
      </c>
      <c r="L457">
        <v>8.76128658175905</v>
      </c>
      <c r="M457">
        <v>25.0305914647446</v>
      </c>
      <c r="N457">
        <v>16.196485565394799</v>
      </c>
      <c r="O457">
        <v>29.2539468945496</v>
      </c>
      <c r="P457">
        <v>0</v>
      </c>
    </row>
    <row r="458" spans="1:16" ht="14.5" x14ac:dyDescent="0.3">
      <c r="A458" s="1" t="s">
        <v>609</v>
      </c>
      <c r="B458" s="1" t="s">
        <v>1034</v>
      </c>
      <c r="C458" s="6">
        <v>5</v>
      </c>
      <c r="D458" s="6">
        <v>1</v>
      </c>
      <c r="E458" s="6" t="s">
        <v>1109</v>
      </c>
      <c r="F458" s="1">
        <v>6.4100000000000004E-2</v>
      </c>
      <c r="H458" s="1">
        <v>71.966666666666669</v>
      </c>
      <c r="I458">
        <v>3.2000000000000001E-2</v>
      </c>
      <c r="J458">
        <v>1.75244850385297</v>
      </c>
      <c r="K458">
        <v>15.4387328452194</v>
      </c>
      <c r="L458">
        <v>8.4421318268587093</v>
      </c>
      <c r="M458">
        <v>23.633717500315999</v>
      </c>
      <c r="N458">
        <v>14.796240813154601</v>
      </c>
      <c r="O458">
        <v>30.2062712866529</v>
      </c>
      <c r="P458">
        <v>0</v>
      </c>
    </row>
    <row r="459" spans="1:16" ht="14.5" x14ac:dyDescent="0.3">
      <c r="A459" s="1" t="s">
        <v>610</v>
      </c>
      <c r="B459" s="1" t="s">
        <v>1034</v>
      </c>
      <c r="C459" s="6">
        <v>5</v>
      </c>
      <c r="D459" s="6">
        <v>1</v>
      </c>
      <c r="E459" s="6" t="s">
        <v>1109</v>
      </c>
      <c r="F459" s="1">
        <v>8.0799999999999997E-2</v>
      </c>
      <c r="H459" s="1">
        <v>71.966666666666669</v>
      </c>
      <c r="I459">
        <v>3.2000000000000001E-2</v>
      </c>
      <c r="J459">
        <v>1.9414499517808299</v>
      </c>
      <c r="K459">
        <v>15.1262903388005</v>
      </c>
      <c r="L459">
        <v>12.8388611345617</v>
      </c>
      <c r="M459">
        <v>26.1626918402775</v>
      </c>
      <c r="N459">
        <v>22.582268742111498</v>
      </c>
      <c r="O459">
        <v>34.215643703221502</v>
      </c>
      <c r="P459">
        <v>0</v>
      </c>
    </row>
    <row r="460" spans="1:16" ht="14.5" x14ac:dyDescent="0.3">
      <c r="A460" s="1" t="s">
        <v>611</v>
      </c>
      <c r="B460" s="1" t="s">
        <v>1034</v>
      </c>
      <c r="C460" s="6">
        <v>5</v>
      </c>
      <c r="D460" s="6">
        <v>2</v>
      </c>
      <c r="E460" s="6" t="s">
        <v>1109</v>
      </c>
      <c r="F460" s="1">
        <v>0.1077</v>
      </c>
      <c r="H460" s="1">
        <v>72.05</v>
      </c>
      <c r="I460">
        <v>3.2000000000000001E-2</v>
      </c>
      <c r="J460">
        <v>3.5526580855144898</v>
      </c>
      <c r="K460">
        <v>20.415699815023899</v>
      </c>
      <c r="L460">
        <v>14.623396430241501</v>
      </c>
      <c r="M460">
        <v>29.843189370626099</v>
      </c>
      <c r="N460">
        <v>20.0741600536006</v>
      </c>
      <c r="O460">
        <v>35.878769898895897</v>
      </c>
      <c r="P460">
        <v>0</v>
      </c>
    </row>
    <row r="461" spans="1:16" ht="14.5" x14ac:dyDescent="0.3">
      <c r="A461" s="1" t="s">
        <v>612</v>
      </c>
      <c r="B461" s="1" t="s">
        <v>1034</v>
      </c>
      <c r="C461" s="6">
        <v>5</v>
      </c>
      <c r="D461" s="6">
        <v>2</v>
      </c>
      <c r="E461" s="6" t="s">
        <v>1109</v>
      </c>
      <c r="F461" s="1">
        <v>0.1019</v>
      </c>
      <c r="H461" s="1">
        <v>72.05</v>
      </c>
      <c r="I461">
        <v>3.2000000000000001E-2</v>
      </c>
      <c r="J461">
        <v>2.59367612009423</v>
      </c>
      <c r="K461">
        <v>18.0669179340995</v>
      </c>
      <c r="L461">
        <v>11.455692454651899</v>
      </c>
      <c r="M461">
        <v>27.118697670552901</v>
      </c>
      <c r="N461">
        <v>30.391379623886401</v>
      </c>
      <c r="O461">
        <v>39.0795085678335</v>
      </c>
      <c r="P461">
        <v>0</v>
      </c>
    </row>
    <row r="462" spans="1:16" ht="14.5" x14ac:dyDescent="0.3">
      <c r="A462" s="1" t="s">
        <v>613</v>
      </c>
      <c r="B462" s="1" t="s">
        <v>1034</v>
      </c>
      <c r="C462" s="6">
        <v>5</v>
      </c>
      <c r="D462" s="6">
        <v>2</v>
      </c>
      <c r="E462" s="6" t="s">
        <v>1109</v>
      </c>
      <c r="F462" s="1">
        <v>5.8799999999999998E-2</v>
      </c>
      <c r="H462" s="1">
        <v>72.05</v>
      </c>
      <c r="I462">
        <v>3.2000000000000001E-2</v>
      </c>
      <c r="J462">
        <v>1.4123037746210101</v>
      </c>
      <c r="K462">
        <v>11.4384402890971</v>
      </c>
      <c r="L462">
        <v>8.3953754497939492</v>
      </c>
      <c r="M462">
        <v>20.802852019623799</v>
      </c>
      <c r="N462">
        <v>20.876935334355402</v>
      </c>
      <c r="O462">
        <v>31.771278092941401</v>
      </c>
      <c r="P462">
        <v>0</v>
      </c>
    </row>
    <row r="463" spans="1:16" ht="14.5" x14ac:dyDescent="0.3">
      <c r="A463" s="1" t="s">
        <v>614</v>
      </c>
      <c r="B463" s="1" t="s">
        <v>1034</v>
      </c>
      <c r="C463" s="6">
        <v>5</v>
      </c>
      <c r="D463" s="6">
        <v>2</v>
      </c>
      <c r="E463" s="6" t="s">
        <v>1109</v>
      </c>
      <c r="F463" s="1">
        <v>7.0000000000000007E-2</v>
      </c>
      <c r="H463" s="1">
        <v>72.05</v>
      </c>
      <c r="I463">
        <v>3.2000000000000001E-2</v>
      </c>
      <c r="J463">
        <v>1.75530866891967</v>
      </c>
      <c r="K463">
        <v>16.978574653050099</v>
      </c>
      <c r="L463">
        <v>8.8380248578581</v>
      </c>
      <c r="M463">
        <v>17.940846546569599</v>
      </c>
      <c r="N463">
        <v>27.742711295393299</v>
      </c>
      <c r="O463">
        <v>42.551531469378403</v>
      </c>
      <c r="P463">
        <v>0</v>
      </c>
    </row>
    <row r="464" spans="1:16" ht="14.5" x14ac:dyDescent="0.3">
      <c r="A464" s="1" t="s">
        <v>615</v>
      </c>
      <c r="B464" s="1" t="s">
        <v>1034</v>
      </c>
      <c r="C464" s="6">
        <v>5</v>
      </c>
      <c r="D464" s="6">
        <v>3</v>
      </c>
      <c r="E464" s="6" t="s">
        <v>1109</v>
      </c>
      <c r="F464" s="1">
        <v>8.2799999999999999E-2</v>
      </c>
      <c r="H464" s="1">
        <v>71.983333333333334</v>
      </c>
      <c r="I464">
        <v>3.2000000000000001E-2</v>
      </c>
      <c r="J464">
        <v>1.78422710452529</v>
      </c>
      <c r="K464">
        <v>11.1461370491864</v>
      </c>
      <c r="L464">
        <v>10.840410166471999</v>
      </c>
      <c r="M464">
        <v>23.571270151255199</v>
      </c>
      <c r="N464">
        <v>11.9826172094018</v>
      </c>
      <c r="O464">
        <v>21.2420935855218</v>
      </c>
      <c r="P464">
        <v>0</v>
      </c>
    </row>
    <row r="465" spans="1:16" ht="14.5" x14ac:dyDescent="0.3">
      <c r="A465" s="1" t="s">
        <v>616</v>
      </c>
      <c r="B465" s="1" t="s">
        <v>1034</v>
      </c>
      <c r="C465" s="6">
        <v>5</v>
      </c>
      <c r="D465" s="6">
        <v>3</v>
      </c>
      <c r="E465" s="6" t="s">
        <v>1109</v>
      </c>
      <c r="F465" s="1">
        <v>7.9799999999999996E-2</v>
      </c>
      <c r="H465" s="1">
        <v>71.983333333333334</v>
      </c>
      <c r="I465">
        <v>0.04</v>
      </c>
      <c r="J465">
        <v>1.55069784632893</v>
      </c>
      <c r="K465">
        <v>14.772337234934</v>
      </c>
      <c r="L465">
        <v>8.6372899706362407</v>
      </c>
      <c r="M465">
        <v>20.5811502874487</v>
      </c>
      <c r="N465">
        <v>13.3017399911824</v>
      </c>
      <c r="O465">
        <v>29.667866342326501</v>
      </c>
      <c r="P465">
        <v>0</v>
      </c>
    </row>
    <row r="466" spans="1:16" ht="14.5" x14ac:dyDescent="0.3">
      <c r="A466" s="1" t="s">
        <v>617</v>
      </c>
      <c r="B466" s="1" t="s">
        <v>1034</v>
      </c>
      <c r="C466" s="6">
        <v>5</v>
      </c>
      <c r="D466" s="6">
        <v>3</v>
      </c>
      <c r="E466" s="6" t="s">
        <v>1109</v>
      </c>
      <c r="F466" s="1">
        <v>7.9200000000000007E-2</v>
      </c>
      <c r="H466" s="1">
        <v>71.983333333333334</v>
      </c>
      <c r="I466">
        <v>3.2000000000000001E-2</v>
      </c>
      <c r="J466">
        <v>2.4146185749873301</v>
      </c>
      <c r="K466">
        <v>21.4410307662713</v>
      </c>
      <c r="L466">
        <v>11.546180244139499</v>
      </c>
      <c r="M466">
        <v>34.890165304152298</v>
      </c>
      <c r="N466">
        <v>11.1579331706105</v>
      </c>
      <c r="O466">
        <v>30.420462189966798</v>
      </c>
      <c r="P466">
        <v>0</v>
      </c>
    </row>
    <row r="467" spans="1:16" ht="14.5" x14ac:dyDescent="0.3">
      <c r="A467" s="1" t="s">
        <v>618</v>
      </c>
      <c r="B467" s="1" t="s">
        <v>1034</v>
      </c>
      <c r="C467" s="6">
        <v>5</v>
      </c>
      <c r="D467" s="6">
        <v>3</v>
      </c>
      <c r="E467" s="6" t="s">
        <v>1109</v>
      </c>
      <c r="F467" s="1">
        <v>8.3299999999999999E-2</v>
      </c>
      <c r="H467" s="1">
        <v>71.983333333333334</v>
      </c>
      <c r="I467">
        <v>3.2000000000000001E-2</v>
      </c>
      <c r="J467">
        <v>2.3915920867204301</v>
      </c>
      <c r="K467">
        <v>20.999566030138901</v>
      </c>
      <c r="L467">
        <v>12.893485757583299</v>
      </c>
      <c r="M467">
        <v>26.226152263132299</v>
      </c>
      <c r="N467">
        <v>39.108956014916203</v>
      </c>
      <c r="O467">
        <v>62.807998995632097</v>
      </c>
      <c r="P467">
        <v>0</v>
      </c>
    </row>
    <row r="468" spans="1:16" ht="14.5" x14ac:dyDescent="0.3">
      <c r="A468" s="1" t="s">
        <v>619</v>
      </c>
      <c r="B468" s="1" t="s">
        <v>1034</v>
      </c>
      <c r="C468" s="6">
        <v>5</v>
      </c>
      <c r="D468" s="6">
        <v>4</v>
      </c>
      <c r="E468" s="6" t="s">
        <v>1109</v>
      </c>
      <c r="F468" s="1">
        <v>7.6799999999999993E-2</v>
      </c>
      <c r="H468" s="1">
        <v>71.900000000000006</v>
      </c>
      <c r="I468">
        <v>3.2000000000000001E-2</v>
      </c>
      <c r="J468">
        <v>2.6654879134146698</v>
      </c>
      <c r="K468">
        <v>17.216450180319502</v>
      </c>
      <c r="L468">
        <v>12.3132581714531</v>
      </c>
      <c r="M468">
        <v>29.939394147838001</v>
      </c>
      <c r="N468">
        <v>21.525680353124301</v>
      </c>
      <c r="O468">
        <v>37.289724341139397</v>
      </c>
      <c r="P468">
        <v>0</v>
      </c>
    </row>
    <row r="469" spans="1:16" ht="14.5" x14ac:dyDescent="0.3">
      <c r="A469" s="1" t="s">
        <v>620</v>
      </c>
      <c r="B469" s="1" t="s">
        <v>1034</v>
      </c>
      <c r="C469" s="6">
        <v>5</v>
      </c>
      <c r="D469" s="6">
        <v>4</v>
      </c>
      <c r="E469" s="6" t="s">
        <v>1109</v>
      </c>
      <c r="F469" s="1">
        <v>8.7499999999999994E-2</v>
      </c>
      <c r="H469" s="1">
        <v>71.900000000000006</v>
      </c>
      <c r="I469">
        <v>3.2000000000000001E-2</v>
      </c>
      <c r="J469">
        <v>2.5883072044483901</v>
      </c>
      <c r="K469">
        <v>16.486403950826102</v>
      </c>
      <c r="L469">
        <v>12.1760725373281</v>
      </c>
      <c r="M469">
        <v>25.4678981772791</v>
      </c>
      <c r="N469">
        <v>16.006239954055399</v>
      </c>
      <c r="O469">
        <v>23.907725061240701</v>
      </c>
      <c r="P469">
        <v>0</v>
      </c>
    </row>
    <row r="470" spans="1:16" ht="14.5" x14ac:dyDescent="0.3">
      <c r="A470" s="1" t="s">
        <v>621</v>
      </c>
      <c r="B470" s="1" t="s">
        <v>1034</v>
      </c>
      <c r="C470" s="6">
        <v>5</v>
      </c>
      <c r="D470" s="6">
        <v>4</v>
      </c>
      <c r="E470" s="6" t="s">
        <v>1109</v>
      </c>
      <c r="F470" s="1">
        <v>8.72E-2</v>
      </c>
      <c r="H470" s="1">
        <v>71.900000000000006</v>
      </c>
      <c r="I470">
        <v>3.2000000000000001E-2</v>
      </c>
      <c r="J470">
        <v>3.9195253629184799</v>
      </c>
      <c r="K470">
        <v>25.3669476914013</v>
      </c>
      <c r="L470">
        <v>12.2305560766172</v>
      </c>
      <c r="M470">
        <v>30.886756249067599</v>
      </c>
      <c r="N470">
        <v>16.227094706725001</v>
      </c>
      <c r="O470">
        <v>30.3143718407409</v>
      </c>
      <c r="P470">
        <v>0</v>
      </c>
    </row>
    <row r="471" spans="1:16" ht="14.5" x14ac:dyDescent="0.3">
      <c r="A471" s="1" t="s">
        <v>622</v>
      </c>
      <c r="B471" s="1" t="s">
        <v>1034</v>
      </c>
      <c r="C471" s="6">
        <v>5</v>
      </c>
      <c r="D471" s="6">
        <v>4</v>
      </c>
      <c r="E471" s="6" t="s">
        <v>1109</v>
      </c>
      <c r="F471" s="1">
        <v>8.7400000000000005E-2</v>
      </c>
      <c r="H471" s="1">
        <v>71.900000000000006</v>
      </c>
      <c r="I471">
        <v>3.2000000000000001E-2</v>
      </c>
      <c r="J471">
        <v>2.3700568800150599</v>
      </c>
      <c r="K471">
        <v>15.6029537344775</v>
      </c>
      <c r="L471">
        <v>12.5949869386372</v>
      </c>
      <c r="M471">
        <v>27.679583144871899</v>
      </c>
      <c r="N471">
        <v>18.0115571265246</v>
      </c>
      <c r="O471">
        <v>27.7731425985356</v>
      </c>
      <c r="P471">
        <v>0</v>
      </c>
    </row>
    <row r="472" spans="1:16" ht="14.5" hidden="1" x14ac:dyDescent="0.3">
      <c r="A472" s="1" t="s">
        <v>623</v>
      </c>
      <c r="B472" s="1" t="s">
        <v>1032</v>
      </c>
      <c r="C472" s="6">
        <v>6</v>
      </c>
      <c r="D472" s="6">
        <v>1</v>
      </c>
      <c r="E472" s="6">
        <v>14</v>
      </c>
      <c r="F472" s="1">
        <v>0.1125</v>
      </c>
      <c r="I472">
        <v>0.04</v>
      </c>
      <c r="J472">
        <v>1.8069805494878</v>
      </c>
      <c r="K472">
        <v>10.8257846049168</v>
      </c>
      <c r="L472">
        <v>11.678832441849201</v>
      </c>
      <c r="M472">
        <v>28.560151250855899</v>
      </c>
      <c r="N472">
        <v>8.7889429448103407</v>
      </c>
      <c r="O472">
        <v>20.5133726277843</v>
      </c>
      <c r="P472">
        <v>0</v>
      </c>
    </row>
    <row r="473" spans="1:16" ht="14.5" hidden="1" x14ac:dyDescent="0.3">
      <c r="A473" s="1" t="s">
        <v>624</v>
      </c>
      <c r="B473" s="1" t="s">
        <v>1032</v>
      </c>
      <c r="C473" s="6">
        <v>6</v>
      </c>
      <c r="D473" s="6">
        <v>2</v>
      </c>
      <c r="E473" s="6">
        <v>14</v>
      </c>
      <c r="F473" s="1">
        <v>6.7500000000000004E-2</v>
      </c>
      <c r="I473">
        <v>3.2000000000000001E-2</v>
      </c>
      <c r="J473">
        <v>2.0375489262292201</v>
      </c>
      <c r="K473">
        <v>14.171294710124901</v>
      </c>
      <c r="L473">
        <v>12.1708185209365</v>
      </c>
      <c r="M473">
        <v>42.962328973920698</v>
      </c>
      <c r="N473">
        <v>4.8589764973142904</v>
      </c>
      <c r="O473">
        <v>22.3415669170363</v>
      </c>
      <c r="P473">
        <v>0</v>
      </c>
    </row>
    <row r="474" spans="1:16" ht="14.5" hidden="1" x14ac:dyDescent="0.3">
      <c r="A474" s="1" t="s">
        <v>625</v>
      </c>
      <c r="B474" s="1" t="s">
        <v>1032</v>
      </c>
      <c r="C474" s="6">
        <v>6</v>
      </c>
      <c r="D474" s="6">
        <v>3</v>
      </c>
      <c r="E474" s="6">
        <v>14</v>
      </c>
      <c r="F474" s="1">
        <v>6.0499999999999998E-2</v>
      </c>
      <c r="I474">
        <v>3.2000000000000001E-2</v>
      </c>
      <c r="J474">
        <v>1.6595538422460301</v>
      </c>
      <c r="K474">
        <v>11.335482509683899</v>
      </c>
      <c r="L474">
        <v>10.77648730502</v>
      </c>
      <c r="M474">
        <v>26.8049638327353</v>
      </c>
      <c r="N474">
        <v>1.43745771380332</v>
      </c>
      <c r="O474">
        <v>9.39336318304772</v>
      </c>
      <c r="P474">
        <v>0</v>
      </c>
    </row>
    <row r="475" spans="1:16" ht="14.5" hidden="1" x14ac:dyDescent="0.3">
      <c r="A475" s="1" t="s">
        <v>626</v>
      </c>
      <c r="B475" s="1" t="s">
        <v>1032</v>
      </c>
      <c r="C475" s="6">
        <v>6</v>
      </c>
      <c r="D475" s="6">
        <v>4</v>
      </c>
      <c r="E475" s="6">
        <v>14</v>
      </c>
      <c r="F475" s="1">
        <v>5.5599999999999997E-2</v>
      </c>
      <c r="I475">
        <v>3.2000000000000001E-2</v>
      </c>
      <c r="J475">
        <v>1.7686456755432001</v>
      </c>
      <c r="K475">
        <v>13.727176879247899</v>
      </c>
      <c r="L475">
        <v>7.8657194672035402</v>
      </c>
      <c r="M475">
        <v>25.227002921354899</v>
      </c>
      <c r="N475">
        <v>2.7001513138643198</v>
      </c>
      <c r="O475">
        <v>14.4215771383048</v>
      </c>
      <c r="P475">
        <v>0</v>
      </c>
    </row>
    <row r="476" spans="1:16" ht="14.5" hidden="1" x14ac:dyDescent="0.3">
      <c r="A476" s="1" t="s">
        <v>627</v>
      </c>
      <c r="B476" s="1" t="s">
        <v>1032</v>
      </c>
      <c r="C476" s="6">
        <v>6</v>
      </c>
      <c r="D476" s="6">
        <v>5</v>
      </c>
      <c r="E476" s="6">
        <v>14</v>
      </c>
      <c r="F476" s="1">
        <v>4.5699999999999998E-2</v>
      </c>
      <c r="I476">
        <v>3.2000000000000001E-2</v>
      </c>
      <c r="J476">
        <v>1.25159058091761</v>
      </c>
      <c r="K476">
        <v>10.7106872509758</v>
      </c>
      <c r="L476">
        <v>8.8884956093604206</v>
      </c>
      <c r="M476">
        <v>32.193794765548901</v>
      </c>
      <c r="N476">
        <v>1.9094315950018499</v>
      </c>
      <c r="O476">
        <v>19.025765058036601</v>
      </c>
      <c r="P476">
        <v>0</v>
      </c>
    </row>
    <row r="477" spans="1:16" ht="14.5" hidden="1" x14ac:dyDescent="0.3">
      <c r="A477" s="1" t="s">
        <v>628</v>
      </c>
      <c r="B477" s="1" t="s">
        <v>1032</v>
      </c>
      <c r="C477" s="6">
        <v>6</v>
      </c>
      <c r="D477" s="6">
        <v>6</v>
      </c>
      <c r="E477" s="6">
        <v>14</v>
      </c>
      <c r="F477" s="1">
        <v>6.0100000000000001E-2</v>
      </c>
      <c r="I477">
        <v>3.2000000000000001E-2</v>
      </c>
      <c r="J477">
        <v>2.0397933457508</v>
      </c>
      <c r="K477">
        <v>10.018837060952499</v>
      </c>
      <c r="L477">
        <v>7.96069454982106</v>
      </c>
      <c r="M477">
        <v>23.9319513916695</v>
      </c>
      <c r="N477">
        <v>1.5703538903974401</v>
      </c>
      <c r="O477">
        <v>9.3406292820710206</v>
      </c>
      <c r="P477">
        <v>0</v>
      </c>
    </row>
    <row r="478" spans="1:16" ht="14.5" hidden="1" x14ac:dyDescent="0.3">
      <c r="A478" s="1" t="s">
        <v>629</v>
      </c>
      <c r="B478" s="1" t="s">
        <v>1032</v>
      </c>
      <c r="C478" s="6">
        <v>6</v>
      </c>
      <c r="D478" s="6">
        <v>7</v>
      </c>
      <c r="E478" s="6">
        <v>14</v>
      </c>
      <c r="F478" s="1">
        <v>8.6999999999999994E-2</v>
      </c>
      <c r="I478">
        <v>3.2000000000000001E-2</v>
      </c>
      <c r="J478">
        <v>1.54023870043366</v>
      </c>
      <c r="K478">
        <v>11.8901131270669</v>
      </c>
      <c r="L478">
        <v>14.284448554783999</v>
      </c>
      <c r="M478">
        <v>41.823214608239603</v>
      </c>
      <c r="N478">
        <v>5.7040488964692004</v>
      </c>
      <c r="O478">
        <v>23.590554066434599</v>
      </c>
      <c r="P478">
        <v>0</v>
      </c>
    </row>
    <row r="479" spans="1:16" ht="14.5" hidden="1" x14ac:dyDescent="0.3">
      <c r="A479" s="1" t="s">
        <v>630</v>
      </c>
      <c r="B479" s="1" t="s">
        <v>1032</v>
      </c>
      <c r="C479" s="6">
        <v>6</v>
      </c>
      <c r="D479" s="6">
        <v>8</v>
      </c>
      <c r="E479" s="6">
        <v>14</v>
      </c>
      <c r="F479" s="1">
        <v>5.74E-2</v>
      </c>
      <c r="I479">
        <v>3.2000000000000001E-2</v>
      </c>
      <c r="J479">
        <v>2.2209314015355899</v>
      </c>
      <c r="K479">
        <v>20.346318238676901</v>
      </c>
      <c r="L479">
        <v>11.661947911811</v>
      </c>
      <c r="M479">
        <v>53.2637122679157</v>
      </c>
      <c r="N479">
        <v>3.66275978326818</v>
      </c>
      <c r="O479">
        <v>27.7391524958852</v>
      </c>
      <c r="P479">
        <v>0</v>
      </c>
    </row>
    <row r="480" spans="1:16" ht="14.5" hidden="1" x14ac:dyDescent="0.3">
      <c r="A480" s="1" t="s">
        <v>631</v>
      </c>
      <c r="B480" s="1" t="s">
        <v>1032</v>
      </c>
      <c r="C480" s="6">
        <v>6</v>
      </c>
      <c r="D480" s="6">
        <v>9</v>
      </c>
      <c r="E480" s="6">
        <v>14</v>
      </c>
      <c r="F480" s="1">
        <v>3.8899999999999997E-2</v>
      </c>
      <c r="I480">
        <v>3.2000000000000001E-2</v>
      </c>
      <c r="J480">
        <v>2.0175229484516501</v>
      </c>
      <c r="K480">
        <v>14.5926282161901</v>
      </c>
      <c r="L480">
        <v>8.1049475415192092</v>
      </c>
      <c r="M480">
        <v>33.956714270043697</v>
      </c>
      <c r="N480">
        <v>1.8369373072227599</v>
      </c>
      <c r="O480">
        <v>12.9293086154692</v>
      </c>
      <c r="P480">
        <v>0</v>
      </c>
    </row>
    <row r="481" spans="1:16" ht="14.5" hidden="1" x14ac:dyDescent="0.3">
      <c r="A481" s="1" t="s">
        <v>632</v>
      </c>
      <c r="B481" s="1" t="s">
        <v>1032</v>
      </c>
      <c r="C481" s="6">
        <v>6</v>
      </c>
      <c r="D481" s="6">
        <v>10</v>
      </c>
      <c r="E481" s="6">
        <v>14</v>
      </c>
      <c r="F481" s="1">
        <v>5.9700000000000003E-2</v>
      </c>
      <c r="I481">
        <v>3.2000000000000001E-2</v>
      </c>
      <c r="J481">
        <v>1.1234330856297701</v>
      </c>
      <c r="K481">
        <v>7.6802058929887096</v>
      </c>
      <c r="L481">
        <v>7.5903874852368798</v>
      </c>
      <c r="M481">
        <v>21.5075235043143</v>
      </c>
      <c r="N481">
        <v>2.5241466708093201</v>
      </c>
      <c r="O481">
        <v>10.471782283741801</v>
      </c>
      <c r="P481">
        <v>0</v>
      </c>
    </row>
    <row r="482" spans="1:16" ht="14.5" hidden="1" x14ac:dyDescent="0.3">
      <c r="A482" s="1" t="s">
        <v>633</v>
      </c>
      <c r="B482" s="1" t="s">
        <v>1033</v>
      </c>
      <c r="C482" s="6">
        <v>6</v>
      </c>
      <c r="D482" s="6">
        <v>1</v>
      </c>
      <c r="E482" s="6" t="s">
        <v>1107</v>
      </c>
      <c r="F482" s="1">
        <v>0.1</v>
      </c>
      <c r="I482">
        <v>3.2000000000000001E-2</v>
      </c>
      <c r="J482">
        <v>2.0795318385550101</v>
      </c>
      <c r="K482">
        <v>8.1509997431883807</v>
      </c>
      <c r="L482">
        <v>16.180618761725</v>
      </c>
      <c r="M482">
        <v>32.4518297625416</v>
      </c>
      <c r="N482">
        <v>5.5853966822854098</v>
      </c>
      <c r="O482">
        <v>15.107718344129699</v>
      </c>
      <c r="P482">
        <v>0</v>
      </c>
    </row>
    <row r="483" spans="1:16" ht="14.5" hidden="1" x14ac:dyDescent="0.3">
      <c r="A483" s="1" t="s">
        <v>634</v>
      </c>
      <c r="B483" s="1" t="s">
        <v>1033</v>
      </c>
      <c r="C483" s="6">
        <v>6</v>
      </c>
      <c r="D483" s="6">
        <v>1</v>
      </c>
      <c r="E483" s="6" t="s">
        <v>1107</v>
      </c>
      <c r="F483" s="1">
        <v>6.08E-2</v>
      </c>
      <c r="I483">
        <v>3.2000000000000001E-2</v>
      </c>
      <c r="J483">
        <v>1.64962484083868</v>
      </c>
      <c r="K483">
        <v>13.301770344632899</v>
      </c>
      <c r="L483">
        <v>12.152205116722101</v>
      </c>
      <c r="M483">
        <v>40.6409061156495</v>
      </c>
      <c r="N483">
        <v>3.7969910490779499</v>
      </c>
      <c r="O483">
        <v>22.414772105636199</v>
      </c>
      <c r="P483">
        <v>0</v>
      </c>
    </row>
    <row r="484" spans="1:16" ht="14.5" hidden="1" x14ac:dyDescent="0.3">
      <c r="A484" s="1" t="s">
        <v>635</v>
      </c>
      <c r="B484" s="1" t="s">
        <v>1033</v>
      </c>
      <c r="C484" s="6">
        <v>6</v>
      </c>
      <c r="D484" s="6">
        <v>2</v>
      </c>
      <c r="E484" s="6" t="s">
        <v>1107</v>
      </c>
      <c r="F484" s="1">
        <v>7.7100000000000002E-2</v>
      </c>
      <c r="I484">
        <v>3.2000000000000001E-2</v>
      </c>
      <c r="J484">
        <v>2.3413662293897999</v>
      </c>
      <c r="K484">
        <v>13.890448014576901</v>
      </c>
      <c r="L484">
        <v>11.205839310744601</v>
      </c>
      <c r="M484">
        <v>32.358421391439599</v>
      </c>
      <c r="N484">
        <v>5.8178457732108999</v>
      </c>
      <c r="O484">
        <v>20.026897416402999</v>
      </c>
      <c r="P484">
        <v>0</v>
      </c>
    </row>
    <row r="485" spans="1:16" ht="14.5" hidden="1" x14ac:dyDescent="0.3">
      <c r="A485" s="1" t="s">
        <v>636</v>
      </c>
      <c r="B485" s="1" t="s">
        <v>1033</v>
      </c>
      <c r="C485" s="6">
        <v>6</v>
      </c>
      <c r="D485" s="6">
        <v>2</v>
      </c>
      <c r="E485" s="6" t="s">
        <v>1107</v>
      </c>
      <c r="F485" s="1">
        <v>7.3200000000000001E-2</v>
      </c>
      <c r="I485">
        <v>3.2000000000000001E-2</v>
      </c>
      <c r="J485">
        <v>2.0908323699559399</v>
      </c>
      <c r="K485">
        <v>10.405855144787701</v>
      </c>
      <c r="L485">
        <v>9.2565410862909303</v>
      </c>
      <c r="M485">
        <v>25.918525842800499</v>
      </c>
      <c r="N485">
        <v>4.2929234433658596</v>
      </c>
      <c r="O485">
        <v>13.2201289569572</v>
      </c>
      <c r="P485">
        <v>0</v>
      </c>
    </row>
    <row r="486" spans="1:16" ht="14.5" hidden="1" x14ac:dyDescent="0.3">
      <c r="A486" s="1" t="s">
        <v>637</v>
      </c>
      <c r="B486" s="1" t="s">
        <v>1033</v>
      </c>
      <c r="C486" s="6">
        <v>6</v>
      </c>
      <c r="D486" s="6">
        <v>2</v>
      </c>
      <c r="E486" s="6" t="s">
        <v>1107</v>
      </c>
      <c r="F486" s="1">
        <v>5.7200000000000001E-2</v>
      </c>
      <c r="I486">
        <v>3.2000000000000001E-2</v>
      </c>
      <c r="J486">
        <v>2.2890838671217</v>
      </c>
      <c r="K486">
        <v>13.1347245000249</v>
      </c>
      <c r="L486">
        <v>10.653110489644501</v>
      </c>
      <c r="M486">
        <v>25.373255679540499</v>
      </c>
      <c r="N486">
        <v>4.0780700938258496</v>
      </c>
      <c r="O486">
        <v>17.812254971170301</v>
      </c>
      <c r="P486">
        <v>0</v>
      </c>
    </row>
    <row r="487" spans="1:16" ht="14.5" hidden="1" x14ac:dyDescent="0.3">
      <c r="A487" s="1" t="s">
        <v>638</v>
      </c>
      <c r="B487" s="1" t="s">
        <v>1033</v>
      </c>
      <c r="C487" s="6">
        <v>6</v>
      </c>
      <c r="D487" s="6">
        <v>3</v>
      </c>
      <c r="E487" s="6" t="s">
        <v>1107</v>
      </c>
      <c r="F487" s="1">
        <v>7.1800000000000003E-2</v>
      </c>
      <c r="I487">
        <v>3.2000000000000001E-2</v>
      </c>
      <c r="J487">
        <v>2.3967824360266001</v>
      </c>
      <c r="K487">
        <v>11.5982731382948</v>
      </c>
      <c r="L487">
        <v>9.9614619825090998</v>
      </c>
      <c r="M487">
        <v>25.196895448216001</v>
      </c>
      <c r="N487">
        <v>5.1992292659854904</v>
      </c>
      <c r="O487">
        <v>12.005899426838701</v>
      </c>
      <c r="P487">
        <v>0</v>
      </c>
    </row>
    <row r="488" spans="1:16" ht="14.5" hidden="1" x14ac:dyDescent="0.3">
      <c r="A488" s="1" t="s">
        <v>639</v>
      </c>
      <c r="B488" s="1" t="s">
        <v>1033</v>
      </c>
      <c r="C488" s="6">
        <v>6</v>
      </c>
      <c r="D488" s="6">
        <v>3</v>
      </c>
      <c r="E488" s="6" t="s">
        <v>1107</v>
      </c>
      <c r="F488" s="1">
        <v>8.3000000000000004E-2</v>
      </c>
      <c r="I488">
        <v>3.2000000000000001E-2</v>
      </c>
      <c r="J488">
        <v>2.77987194344517</v>
      </c>
      <c r="K488">
        <v>17.297187044078601</v>
      </c>
      <c r="L488">
        <v>10.3135735185347</v>
      </c>
      <c r="M488">
        <v>28.6726952124421</v>
      </c>
      <c r="N488">
        <v>4.4104010001232403</v>
      </c>
      <c r="O488">
        <v>15.210647596460101</v>
      </c>
      <c r="P488">
        <v>0</v>
      </c>
    </row>
    <row r="489" spans="1:16" ht="14.5" hidden="1" x14ac:dyDescent="0.3">
      <c r="A489" s="1" t="s">
        <v>640</v>
      </c>
      <c r="B489" s="1" t="s">
        <v>1033</v>
      </c>
      <c r="C489" s="6">
        <v>6</v>
      </c>
      <c r="D489" s="6">
        <v>3</v>
      </c>
      <c r="E489" s="6" t="s">
        <v>1107</v>
      </c>
      <c r="F489" s="1">
        <v>5.5599999999999997E-2</v>
      </c>
      <c r="I489">
        <v>3.2000000000000001E-2</v>
      </c>
      <c r="J489">
        <v>1.43513588789415</v>
      </c>
      <c r="K489">
        <v>16.120680138886701</v>
      </c>
      <c r="L489">
        <v>7.6659344907178699</v>
      </c>
      <c r="M489">
        <v>25.771871657253399</v>
      </c>
      <c r="N489">
        <v>2.92183979856408</v>
      </c>
      <c r="O489">
        <v>22.327763834102701</v>
      </c>
      <c r="P489">
        <v>0</v>
      </c>
    </row>
    <row r="490" spans="1:16" ht="14.5" x14ac:dyDescent="0.3">
      <c r="A490" s="1" t="s">
        <v>641</v>
      </c>
      <c r="B490" s="1" t="s">
        <v>1034</v>
      </c>
      <c r="C490" s="6">
        <v>6</v>
      </c>
      <c r="D490" s="6">
        <v>1</v>
      </c>
      <c r="E490" s="6" t="s">
        <v>1107</v>
      </c>
      <c r="F490" s="1">
        <v>5.7799999999999997E-2</v>
      </c>
      <c r="H490" s="1">
        <v>6</v>
      </c>
      <c r="I490">
        <v>3.2000000000000001E-2</v>
      </c>
      <c r="J490">
        <v>1.3876951852475901</v>
      </c>
      <c r="K490">
        <v>10.2649226760962</v>
      </c>
      <c r="L490">
        <v>9.6168989711762993</v>
      </c>
      <c r="M490">
        <v>30.5718531045258</v>
      </c>
      <c r="N490">
        <v>5.8837920758064302</v>
      </c>
      <c r="O490">
        <v>21.780758066686001</v>
      </c>
      <c r="P490">
        <v>0</v>
      </c>
    </row>
    <row r="491" spans="1:16" ht="14.5" x14ac:dyDescent="0.3">
      <c r="A491" s="1" t="s">
        <v>642</v>
      </c>
      <c r="B491" s="1" t="s">
        <v>1034</v>
      </c>
      <c r="C491" s="6">
        <v>6</v>
      </c>
      <c r="D491" s="6">
        <v>1</v>
      </c>
      <c r="E491" s="6" t="s">
        <v>1107</v>
      </c>
      <c r="F491" s="1">
        <v>7.9899999999999999E-2</v>
      </c>
      <c r="H491" s="1">
        <v>6</v>
      </c>
      <c r="I491">
        <v>3.2000000000000001E-2</v>
      </c>
      <c r="J491">
        <v>2.3802498051972401</v>
      </c>
      <c r="K491">
        <v>14.1501055088636</v>
      </c>
      <c r="L491">
        <v>9.9716807069822497</v>
      </c>
      <c r="M491">
        <v>25.951505680170701</v>
      </c>
      <c r="N491">
        <v>5.3276751334629902</v>
      </c>
      <c r="O491">
        <v>15.484001221494401</v>
      </c>
      <c r="P491">
        <v>0</v>
      </c>
    </row>
    <row r="492" spans="1:16" ht="14.5" x14ac:dyDescent="0.3">
      <c r="A492" s="1" t="s">
        <v>643</v>
      </c>
      <c r="B492" s="1" t="s">
        <v>1034</v>
      </c>
      <c r="C492" s="6">
        <v>6</v>
      </c>
      <c r="D492" s="6">
        <v>1</v>
      </c>
      <c r="E492" s="6" t="s">
        <v>1107</v>
      </c>
      <c r="F492" s="1">
        <v>5.5399999999999998E-2</v>
      </c>
      <c r="H492" s="1">
        <v>6</v>
      </c>
      <c r="I492">
        <v>3.2000000000000001E-2</v>
      </c>
      <c r="J492">
        <v>1.30548973178429</v>
      </c>
      <c r="K492">
        <v>11.194765407307701</v>
      </c>
      <c r="L492">
        <v>9.3449681337339907</v>
      </c>
      <c r="M492">
        <v>31.7269720641677</v>
      </c>
      <c r="N492">
        <v>3.7751196166434702</v>
      </c>
      <c r="O492">
        <v>16.311260395430502</v>
      </c>
      <c r="P492">
        <v>0</v>
      </c>
    </row>
    <row r="493" spans="1:16" ht="14.5" x14ac:dyDescent="0.3">
      <c r="A493" s="1" t="s">
        <v>644</v>
      </c>
      <c r="B493" s="1" t="s">
        <v>1034</v>
      </c>
      <c r="C493" s="6">
        <v>6</v>
      </c>
      <c r="D493" s="6">
        <v>2</v>
      </c>
      <c r="E493" s="6" t="s">
        <v>1107</v>
      </c>
      <c r="F493" s="1">
        <v>0.11849999999999999</v>
      </c>
      <c r="H493" s="1">
        <v>5.9666666666666668</v>
      </c>
      <c r="I493">
        <v>0.04</v>
      </c>
      <c r="J493">
        <v>2.74572719032779</v>
      </c>
      <c r="K493">
        <v>13.365934632405001</v>
      </c>
      <c r="L493">
        <v>13.454733075361</v>
      </c>
      <c r="M493">
        <v>38.792555347285997</v>
      </c>
      <c r="N493">
        <v>9.0964929908078798</v>
      </c>
      <c r="O493">
        <v>24.064405660335499</v>
      </c>
      <c r="P493">
        <v>0</v>
      </c>
    </row>
    <row r="494" spans="1:16" ht="14.5" x14ac:dyDescent="0.3">
      <c r="A494" s="1" t="s">
        <v>645</v>
      </c>
      <c r="B494" s="1" t="s">
        <v>1034</v>
      </c>
      <c r="C494" s="6">
        <v>6</v>
      </c>
      <c r="D494" s="6">
        <v>2</v>
      </c>
      <c r="E494" s="6" t="s">
        <v>1107</v>
      </c>
      <c r="F494" s="1">
        <v>5.6599999999999998E-2</v>
      </c>
      <c r="H494" s="1">
        <v>5.9666666666666668</v>
      </c>
      <c r="I494">
        <v>3.2000000000000001E-2</v>
      </c>
      <c r="J494">
        <v>2.3384620264499101</v>
      </c>
      <c r="K494">
        <v>14.386185535348201</v>
      </c>
      <c r="L494">
        <v>9.1838107708994094</v>
      </c>
      <c r="M494">
        <v>33.5090792290545</v>
      </c>
      <c r="N494">
        <v>6.82811141125657</v>
      </c>
      <c r="O494">
        <v>22.100584283073701</v>
      </c>
      <c r="P494">
        <v>0</v>
      </c>
    </row>
    <row r="495" spans="1:16" ht="14.5" x14ac:dyDescent="0.3">
      <c r="A495" s="1" t="s">
        <v>646</v>
      </c>
      <c r="B495" s="1" t="s">
        <v>1034</v>
      </c>
      <c r="C495" s="6">
        <v>6</v>
      </c>
      <c r="D495" s="6">
        <v>2</v>
      </c>
      <c r="E495" s="6" t="s">
        <v>1107</v>
      </c>
      <c r="F495" s="1">
        <v>7.5300000000000006E-2</v>
      </c>
      <c r="H495" s="1">
        <v>5.9666666666666668</v>
      </c>
      <c r="I495">
        <v>3.2000000000000001E-2</v>
      </c>
      <c r="J495">
        <v>2.0008151858763701</v>
      </c>
      <c r="K495">
        <v>10.0630735171107</v>
      </c>
      <c r="L495">
        <v>9.6316329415575606</v>
      </c>
      <c r="M495">
        <v>22.626605400449101</v>
      </c>
      <c r="N495">
        <v>4.9187242370694602</v>
      </c>
      <c r="O495">
        <v>15.195663457098</v>
      </c>
      <c r="P495">
        <v>0</v>
      </c>
    </row>
    <row r="496" spans="1:16" ht="14.5" x14ac:dyDescent="0.3">
      <c r="A496" s="1" t="s">
        <v>647</v>
      </c>
      <c r="B496" s="1" t="s">
        <v>1034</v>
      </c>
      <c r="C496" s="6">
        <v>6</v>
      </c>
      <c r="D496" s="6">
        <v>3</v>
      </c>
      <c r="E496" s="6" t="s">
        <v>1107</v>
      </c>
      <c r="F496" s="1">
        <v>9.0200000000000002E-2</v>
      </c>
      <c r="H496" s="1">
        <v>5.9833333333333334</v>
      </c>
      <c r="I496">
        <v>3.2000000000000001E-2</v>
      </c>
      <c r="J496">
        <v>2.10515552082239</v>
      </c>
      <c r="K496">
        <v>13.4093083582907</v>
      </c>
      <c r="L496">
        <v>10.1341379637099</v>
      </c>
      <c r="M496">
        <v>27.403009461305501</v>
      </c>
      <c r="N496">
        <v>8.6106757151536097</v>
      </c>
      <c r="O496">
        <v>22.732282699321701</v>
      </c>
      <c r="P496">
        <v>0</v>
      </c>
    </row>
    <row r="497" spans="1:16" ht="14.5" x14ac:dyDescent="0.3">
      <c r="A497" s="1" t="s">
        <v>648</v>
      </c>
      <c r="B497" s="1" t="s">
        <v>1034</v>
      </c>
      <c r="C497" s="6">
        <v>6</v>
      </c>
      <c r="D497" s="6">
        <v>3</v>
      </c>
      <c r="E497" s="6" t="s">
        <v>1107</v>
      </c>
      <c r="F497" s="1">
        <v>7.9399999999999998E-2</v>
      </c>
      <c r="H497" s="1">
        <v>5.9833333333333334</v>
      </c>
      <c r="I497">
        <v>3.2000000000000001E-2</v>
      </c>
      <c r="J497">
        <v>2.1478799177627201</v>
      </c>
      <c r="K497">
        <v>11.0465796254514</v>
      </c>
      <c r="L497">
        <v>9.72601730660074</v>
      </c>
      <c r="M497">
        <v>22.387348002089901</v>
      </c>
      <c r="N497">
        <v>4.4928164089114597</v>
      </c>
      <c r="O497">
        <v>13.069011231061999</v>
      </c>
      <c r="P497">
        <v>0</v>
      </c>
    </row>
    <row r="498" spans="1:16" ht="14.5" x14ac:dyDescent="0.3">
      <c r="A498" s="1" t="s">
        <v>649</v>
      </c>
      <c r="B498" s="1" t="s">
        <v>1034</v>
      </c>
      <c r="C498" s="6">
        <v>6</v>
      </c>
      <c r="D498" s="6">
        <v>3</v>
      </c>
      <c r="E498" s="6" t="s">
        <v>1107</v>
      </c>
      <c r="F498" s="1">
        <v>8.7900000000000006E-2</v>
      </c>
      <c r="H498" s="1">
        <v>5.9833333333333334</v>
      </c>
      <c r="I498">
        <v>3.2000000000000001E-2</v>
      </c>
      <c r="J498">
        <v>2.8134146081617901</v>
      </c>
      <c r="K498">
        <v>13.733201368673299</v>
      </c>
      <c r="L498">
        <v>11.7146497893233</v>
      </c>
      <c r="M498">
        <v>29.288853109485501</v>
      </c>
      <c r="N498">
        <v>4.7616943203589202</v>
      </c>
      <c r="O498">
        <v>13.636996310359599</v>
      </c>
      <c r="P498">
        <v>0</v>
      </c>
    </row>
    <row r="499" spans="1:16" ht="14.5" x14ac:dyDescent="0.3">
      <c r="A499" s="1" t="s">
        <v>650</v>
      </c>
      <c r="B499" s="1" t="s">
        <v>1034</v>
      </c>
      <c r="C499" s="6">
        <v>6</v>
      </c>
      <c r="D499" s="6">
        <v>4</v>
      </c>
      <c r="E499" s="6" t="s">
        <v>1107</v>
      </c>
      <c r="F499" s="1">
        <v>8.8999999999999996E-2</v>
      </c>
      <c r="H499" s="1">
        <v>6</v>
      </c>
      <c r="I499">
        <v>3.2000000000000001E-2</v>
      </c>
      <c r="J499">
        <v>2.7465095953418301</v>
      </c>
      <c r="K499">
        <v>18.7595210799748</v>
      </c>
      <c r="L499">
        <v>12.554845996700699</v>
      </c>
      <c r="M499">
        <v>36.072933144612797</v>
      </c>
      <c r="N499">
        <v>6.4187426736564399</v>
      </c>
      <c r="O499">
        <v>18.380593526012799</v>
      </c>
      <c r="P499">
        <v>0</v>
      </c>
    </row>
    <row r="500" spans="1:16" ht="14.5" x14ac:dyDescent="0.3">
      <c r="A500" s="1" t="s">
        <v>651</v>
      </c>
      <c r="B500" s="1" t="s">
        <v>1034</v>
      </c>
      <c r="C500" s="6">
        <v>6</v>
      </c>
      <c r="D500" s="6">
        <v>4</v>
      </c>
      <c r="E500" s="6" t="s">
        <v>1107</v>
      </c>
      <c r="F500" s="1">
        <v>7.4700000000000003E-2</v>
      </c>
      <c r="H500" s="1">
        <v>6</v>
      </c>
      <c r="I500">
        <v>3.2000000000000001E-2</v>
      </c>
      <c r="J500">
        <v>3.09595577124073</v>
      </c>
      <c r="K500">
        <v>20.086187718063002</v>
      </c>
      <c r="L500">
        <v>9.0410474695949095</v>
      </c>
      <c r="M500">
        <v>26.680707946950101</v>
      </c>
      <c r="N500">
        <v>6.9754656642283903</v>
      </c>
      <c r="O500">
        <v>26.5339033255967</v>
      </c>
      <c r="P500">
        <v>0</v>
      </c>
    </row>
    <row r="501" spans="1:16" ht="14.5" x14ac:dyDescent="0.3">
      <c r="A501" s="1" t="s">
        <v>652</v>
      </c>
      <c r="B501" s="1" t="s">
        <v>1034</v>
      </c>
      <c r="C501" s="6">
        <v>6</v>
      </c>
      <c r="D501" s="6">
        <v>4</v>
      </c>
      <c r="E501" s="6" t="s">
        <v>1107</v>
      </c>
      <c r="F501" s="1">
        <v>7.9799999999999996E-2</v>
      </c>
      <c r="H501" s="1">
        <v>6</v>
      </c>
      <c r="I501">
        <v>3.2000000000000001E-2</v>
      </c>
      <c r="J501">
        <v>2.0810130501858999</v>
      </c>
      <c r="K501">
        <v>13.2252670566213</v>
      </c>
      <c r="L501">
        <v>12.9169900497686</v>
      </c>
      <c r="M501">
        <v>38.116937585201498</v>
      </c>
      <c r="N501">
        <v>8.9719087802652506</v>
      </c>
      <c r="O501">
        <v>19.6395059967004</v>
      </c>
      <c r="P501">
        <v>0</v>
      </c>
    </row>
    <row r="502" spans="1:16" ht="14.5" hidden="1" x14ac:dyDescent="0.3">
      <c r="A502" s="1" t="s">
        <v>653</v>
      </c>
      <c r="B502" s="1" t="s">
        <v>1033</v>
      </c>
      <c r="C502" s="6">
        <v>6</v>
      </c>
      <c r="D502" s="6">
        <v>1</v>
      </c>
      <c r="E502" s="6" t="s">
        <v>1108</v>
      </c>
      <c r="F502" s="1">
        <v>8.9700000000000002E-2</v>
      </c>
      <c r="I502">
        <v>0.04</v>
      </c>
      <c r="J502">
        <v>1.9474943178575099</v>
      </c>
      <c r="K502">
        <v>11.458444131283199</v>
      </c>
      <c r="L502">
        <v>8.1260538703484393</v>
      </c>
      <c r="M502">
        <v>19.006749920821498</v>
      </c>
      <c r="N502">
        <v>2.8351577875262501</v>
      </c>
      <c r="O502">
        <v>13.2598161380955</v>
      </c>
      <c r="P502">
        <v>0</v>
      </c>
    </row>
    <row r="503" spans="1:16" ht="14.5" hidden="1" x14ac:dyDescent="0.3">
      <c r="A503" s="1" t="s">
        <v>654</v>
      </c>
      <c r="B503" s="1" t="s">
        <v>1033</v>
      </c>
      <c r="C503" s="6">
        <v>6</v>
      </c>
      <c r="D503" s="6">
        <v>1</v>
      </c>
      <c r="E503" s="6" t="s">
        <v>1108</v>
      </c>
      <c r="F503" s="1">
        <v>5.3699999999999998E-2</v>
      </c>
      <c r="I503">
        <v>0.04</v>
      </c>
      <c r="J503">
        <v>2.1577958731137299</v>
      </c>
      <c r="K503">
        <v>24.250304130342698</v>
      </c>
      <c r="L503">
        <v>10.248861310531501</v>
      </c>
      <c r="M503">
        <v>31.3116136454416</v>
      </c>
      <c r="N503">
        <v>1.11158802484644</v>
      </c>
      <c r="O503">
        <v>19.0281971580464</v>
      </c>
      <c r="P503">
        <v>0</v>
      </c>
    </row>
    <row r="504" spans="1:16" ht="14.5" hidden="1" x14ac:dyDescent="0.3">
      <c r="A504" s="1" t="s">
        <v>655</v>
      </c>
      <c r="B504" s="1" t="s">
        <v>1033</v>
      </c>
      <c r="C504" s="6">
        <v>6</v>
      </c>
      <c r="D504" s="6">
        <v>2</v>
      </c>
      <c r="E504" s="6" t="s">
        <v>1108</v>
      </c>
      <c r="F504" s="1">
        <v>7.1099999999999997E-2</v>
      </c>
      <c r="I504">
        <v>3.2000000000000001E-2</v>
      </c>
      <c r="J504">
        <v>2.9640820242044899</v>
      </c>
      <c r="K504">
        <v>21.335719490327101</v>
      </c>
      <c r="L504">
        <v>9.8955787023863397</v>
      </c>
      <c r="M504">
        <v>27.032540721380499</v>
      </c>
      <c r="N504">
        <v>3.2566505807481301</v>
      </c>
      <c r="O504">
        <v>16.734629327756299</v>
      </c>
      <c r="P504">
        <v>0</v>
      </c>
    </row>
    <row r="505" spans="1:16" ht="14.5" hidden="1" x14ac:dyDescent="0.3">
      <c r="A505" s="1" t="s">
        <v>656</v>
      </c>
      <c r="B505" s="1" t="s">
        <v>1033</v>
      </c>
      <c r="C505" s="6">
        <v>6</v>
      </c>
      <c r="D505" s="6">
        <v>2</v>
      </c>
      <c r="E505" s="6" t="s">
        <v>1108</v>
      </c>
      <c r="F505" s="1">
        <v>5.5399999999999998E-2</v>
      </c>
      <c r="I505">
        <v>3.2000000000000001E-2</v>
      </c>
      <c r="J505">
        <v>1.67586261654852</v>
      </c>
      <c r="K505">
        <v>11.1496650361911</v>
      </c>
      <c r="L505">
        <v>7.6847137380140502</v>
      </c>
      <c r="M505">
        <v>19.393424076053002</v>
      </c>
      <c r="N505">
        <v>3.113782117985</v>
      </c>
      <c r="O505">
        <v>12.268672131187101</v>
      </c>
      <c r="P505">
        <v>0</v>
      </c>
    </row>
    <row r="506" spans="1:16" ht="14.5" hidden="1" x14ac:dyDescent="0.3">
      <c r="A506" s="1" t="s">
        <v>657</v>
      </c>
      <c r="B506" s="1" t="s">
        <v>1033</v>
      </c>
      <c r="C506" s="6">
        <v>6</v>
      </c>
      <c r="D506" s="6">
        <v>2</v>
      </c>
      <c r="E506" s="6" t="s">
        <v>1108</v>
      </c>
      <c r="F506" s="1">
        <v>6.7699999999999996E-2</v>
      </c>
      <c r="I506">
        <v>3.2000000000000001E-2</v>
      </c>
      <c r="J506">
        <v>1.9272834843331901</v>
      </c>
      <c r="K506">
        <v>13.404416248198901</v>
      </c>
      <c r="L506">
        <v>10.870277771847199</v>
      </c>
      <c r="M506">
        <v>25.9955279238835</v>
      </c>
      <c r="N506">
        <v>3.4458428458533299</v>
      </c>
      <c r="O506">
        <v>21.531291747266501</v>
      </c>
      <c r="P506">
        <v>0</v>
      </c>
    </row>
    <row r="507" spans="1:16" ht="14.5" hidden="1" x14ac:dyDescent="0.3">
      <c r="A507" s="1" t="s">
        <v>658</v>
      </c>
      <c r="B507" s="1" t="s">
        <v>1033</v>
      </c>
      <c r="C507" s="6">
        <v>6</v>
      </c>
      <c r="D507" s="6">
        <v>3</v>
      </c>
      <c r="E507" s="6" t="s">
        <v>1108</v>
      </c>
      <c r="F507" s="1">
        <v>7.1800000000000003E-2</v>
      </c>
      <c r="I507">
        <v>3.2000000000000001E-2</v>
      </c>
      <c r="J507">
        <v>1.94721472116045</v>
      </c>
      <c r="K507">
        <v>15.735859678846101</v>
      </c>
      <c r="L507">
        <v>11.3288399386353</v>
      </c>
      <c r="M507">
        <v>34.119162936821297</v>
      </c>
      <c r="N507">
        <v>3.2467355344642699</v>
      </c>
      <c r="O507">
        <v>20.528689354461001</v>
      </c>
      <c r="P507">
        <v>0</v>
      </c>
    </row>
    <row r="508" spans="1:16" ht="14.5" hidden="1" x14ac:dyDescent="0.3">
      <c r="A508" s="1" t="s">
        <v>659</v>
      </c>
      <c r="B508" s="1" t="s">
        <v>1033</v>
      </c>
      <c r="C508" s="6">
        <v>6</v>
      </c>
      <c r="D508" s="6">
        <v>3</v>
      </c>
      <c r="E508" s="6" t="s">
        <v>1108</v>
      </c>
      <c r="F508" s="1">
        <v>6.59E-2</v>
      </c>
      <c r="I508">
        <v>3.2000000000000001E-2</v>
      </c>
      <c r="J508">
        <v>2.3051631968248998</v>
      </c>
      <c r="K508">
        <v>12.465137774255901</v>
      </c>
      <c r="L508">
        <v>8.8711854894149607</v>
      </c>
      <c r="M508">
        <v>22.6438923239328</v>
      </c>
      <c r="N508">
        <v>2.6607012074601002</v>
      </c>
      <c r="O508">
        <v>9.4568934737563097</v>
      </c>
      <c r="P508">
        <v>0</v>
      </c>
    </row>
    <row r="509" spans="1:16" ht="14.5" hidden="1" x14ac:dyDescent="0.3">
      <c r="A509" s="1" t="s">
        <v>660</v>
      </c>
      <c r="B509" s="1" t="s">
        <v>1035</v>
      </c>
      <c r="C509" s="6">
        <v>6</v>
      </c>
      <c r="D509" s="6">
        <v>1</v>
      </c>
      <c r="E509" s="6" t="s">
        <v>1108</v>
      </c>
      <c r="F509" s="1">
        <v>9.2299999999999993E-2</v>
      </c>
      <c r="H509" s="1">
        <v>23.416666666666668</v>
      </c>
      <c r="I509">
        <v>3.2000000000000001E-2</v>
      </c>
      <c r="J509">
        <v>3.09355447506407</v>
      </c>
      <c r="K509">
        <v>12.199949318257</v>
      </c>
      <c r="L509">
        <v>12.3621750544292</v>
      </c>
      <c r="M509">
        <v>26.903365898222301</v>
      </c>
      <c r="N509">
        <v>5.1372312602023698</v>
      </c>
      <c r="O509">
        <v>17.547698804367201</v>
      </c>
      <c r="P509">
        <v>0</v>
      </c>
    </row>
    <row r="510" spans="1:16" ht="14.5" hidden="1" x14ac:dyDescent="0.3">
      <c r="A510" s="1" t="s">
        <v>661</v>
      </c>
      <c r="B510" s="1" t="s">
        <v>1035</v>
      </c>
      <c r="C510" s="6">
        <v>6</v>
      </c>
      <c r="D510" s="6">
        <v>1</v>
      </c>
      <c r="E510" s="6" t="s">
        <v>1108</v>
      </c>
      <c r="F510" s="1">
        <v>9.5799999999999996E-2</v>
      </c>
      <c r="H510" s="1">
        <v>23.416666666666668</v>
      </c>
      <c r="I510">
        <v>3.2000000000000001E-2</v>
      </c>
      <c r="J510">
        <v>2.57548474030924</v>
      </c>
      <c r="K510">
        <v>18.449406647749999</v>
      </c>
      <c r="L510">
        <v>14.7791995034056</v>
      </c>
      <c r="M510">
        <v>37.390856235725003</v>
      </c>
      <c r="N510">
        <v>9.2326131919454806</v>
      </c>
      <c r="O510">
        <v>29.898589366596202</v>
      </c>
      <c r="P510">
        <v>0</v>
      </c>
    </row>
    <row r="511" spans="1:16" ht="14.5" hidden="1" x14ac:dyDescent="0.3">
      <c r="A511" s="1" t="s">
        <v>662</v>
      </c>
      <c r="B511" s="1" t="s">
        <v>1035</v>
      </c>
      <c r="C511" s="6">
        <v>6</v>
      </c>
      <c r="D511" s="6">
        <v>1</v>
      </c>
      <c r="E511" s="6" t="s">
        <v>1108</v>
      </c>
      <c r="F511" s="1">
        <v>0.08</v>
      </c>
      <c r="H511" s="1">
        <v>23.416666666666668</v>
      </c>
      <c r="I511">
        <v>3.2000000000000001E-2</v>
      </c>
      <c r="J511">
        <v>2.4651761068218501</v>
      </c>
      <c r="K511">
        <v>29.0470331925662</v>
      </c>
      <c r="L511">
        <v>11.5154114881216</v>
      </c>
      <c r="M511">
        <v>32.796555359529499</v>
      </c>
      <c r="N511">
        <v>7.4797842525235199</v>
      </c>
      <c r="O511">
        <v>33.974053341159298</v>
      </c>
      <c r="P511">
        <v>0</v>
      </c>
    </row>
    <row r="512" spans="1:16" ht="14.5" hidden="1" x14ac:dyDescent="0.3">
      <c r="A512" s="1" t="s">
        <v>663</v>
      </c>
      <c r="B512" s="1" t="s">
        <v>1035</v>
      </c>
      <c r="C512" s="6">
        <v>6</v>
      </c>
      <c r="D512" s="6">
        <v>1</v>
      </c>
      <c r="E512" s="6" t="s">
        <v>1108</v>
      </c>
      <c r="F512" s="1">
        <v>8.77E-2</v>
      </c>
      <c r="H512" s="1">
        <v>23.416666666666668</v>
      </c>
      <c r="I512">
        <v>3.2000000000000001E-2</v>
      </c>
      <c r="J512">
        <v>2.4452898195780701</v>
      </c>
      <c r="K512">
        <v>15.786249920792001</v>
      </c>
      <c r="L512">
        <v>10.238415557708599</v>
      </c>
      <c r="M512">
        <v>21.918835128321899</v>
      </c>
      <c r="N512">
        <v>3.6969455160781499</v>
      </c>
      <c r="O512">
        <v>16.294822035110599</v>
      </c>
      <c r="P512">
        <v>0</v>
      </c>
    </row>
    <row r="513" spans="1:16" ht="14.5" hidden="1" x14ac:dyDescent="0.3">
      <c r="A513" s="1" t="s">
        <v>664</v>
      </c>
      <c r="B513" s="1" t="s">
        <v>1035</v>
      </c>
      <c r="C513" s="6">
        <v>6</v>
      </c>
      <c r="D513" s="6">
        <v>2</v>
      </c>
      <c r="E513" s="6" t="s">
        <v>1108</v>
      </c>
      <c r="F513" s="1">
        <v>6.93E-2</v>
      </c>
      <c r="H513" s="1">
        <v>23.533333333333335</v>
      </c>
      <c r="I513">
        <v>3.2000000000000001E-2</v>
      </c>
      <c r="J513">
        <v>2.7314396881191798</v>
      </c>
      <c r="K513">
        <v>19.702187480850501</v>
      </c>
      <c r="L513">
        <v>10.9622161427246</v>
      </c>
      <c r="M513">
        <v>29.4987856927509</v>
      </c>
      <c r="N513">
        <v>5.8649812699865498</v>
      </c>
      <c r="O513">
        <v>16.567791039078799</v>
      </c>
      <c r="P513">
        <v>0</v>
      </c>
    </row>
    <row r="514" spans="1:16" ht="14.5" hidden="1" x14ac:dyDescent="0.3">
      <c r="A514" s="1" t="s">
        <v>665</v>
      </c>
      <c r="B514" s="1" t="s">
        <v>1035</v>
      </c>
      <c r="C514" s="6">
        <v>6</v>
      </c>
      <c r="D514" s="6">
        <v>2</v>
      </c>
      <c r="E514" s="6" t="s">
        <v>1108</v>
      </c>
      <c r="F514" s="1">
        <v>0.1082</v>
      </c>
      <c r="H514" s="1">
        <v>23.533333333333335</v>
      </c>
      <c r="I514">
        <v>3.2000000000000001E-2</v>
      </c>
      <c r="J514">
        <v>4.0632780572803204</v>
      </c>
      <c r="K514">
        <v>27.498117197289801</v>
      </c>
      <c r="L514">
        <v>17.910370697904099</v>
      </c>
      <c r="M514">
        <v>40.732439018936901</v>
      </c>
      <c r="N514">
        <v>7.6898420325416303</v>
      </c>
      <c r="O514">
        <v>26.472130584462899</v>
      </c>
      <c r="P514">
        <v>0</v>
      </c>
    </row>
    <row r="515" spans="1:16" ht="14.5" hidden="1" x14ac:dyDescent="0.3">
      <c r="A515" s="1" t="s">
        <v>666</v>
      </c>
      <c r="B515" s="1" t="s">
        <v>1035</v>
      </c>
      <c r="C515" s="6">
        <v>6</v>
      </c>
      <c r="D515" s="6">
        <v>2</v>
      </c>
      <c r="E515" s="6" t="s">
        <v>1108</v>
      </c>
      <c r="F515" s="1">
        <v>7.7700000000000005E-2</v>
      </c>
      <c r="H515" s="1">
        <v>23.533333333333335</v>
      </c>
      <c r="I515">
        <v>3.2000000000000001E-2</v>
      </c>
      <c r="J515">
        <v>2.0848298496949802</v>
      </c>
      <c r="K515">
        <v>10.3762421294854</v>
      </c>
      <c r="L515">
        <v>10.9383410054403</v>
      </c>
      <c r="M515">
        <v>25.561707273599598</v>
      </c>
      <c r="N515">
        <v>8.1151475351360904</v>
      </c>
      <c r="O515">
        <v>14.9351881420186</v>
      </c>
      <c r="P515">
        <v>0</v>
      </c>
    </row>
    <row r="516" spans="1:16" ht="14.5" hidden="1" x14ac:dyDescent="0.3">
      <c r="A516" s="1" t="s">
        <v>667</v>
      </c>
      <c r="B516" s="1" t="s">
        <v>1035</v>
      </c>
      <c r="C516" s="6">
        <v>6</v>
      </c>
      <c r="D516" s="6">
        <v>2</v>
      </c>
      <c r="E516" s="6" t="s">
        <v>1108</v>
      </c>
      <c r="F516" s="1">
        <v>7.9399999999999998E-2</v>
      </c>
      <c r="H516" s="1">
        <v>23.533333333333335</v>
      </c>
      <c r="I516">
        <v>3.2000000000000001E-2</v>
      </c>
      <c r="J516">
        <v>2.2276353631665899</v>
      </c>
      <c r="K516">
        <v>12.9631673601108</v>
      </c>
      <c r="L516">
        <v>9.3723846768877408</v>
      </c>
      <c r="M516">
        <v>19.476883810161699</v>
      </c>
      <c r="N516">
        <v>6.6803468746095698</v>
      </c>
      <c r="O516">
        <v>13.203641589181499</v>
      </c>
      <c r="P516">
        <v>0</v>
      </c>
    </row>
    <row r="517" spans="1:16" ht="14.5" hidden="1" x14ac:dyDescent="0.3">
      <c r="A517" s="1" t="s">
        <v>668</v>
      </c>
      <c r="B517" s="1" t="s">
        <v>1035</v>
      </c>
      <c r="C517" s="6">
        <v>6</v>
      </c>
      <c r="D517" s="6">
        <v>3</v>
      </c>
      <c r="E517" s="6" t="s">
        <v>1108</v>
      </c>
      <c r="F517" s="1">
        <v>9.5500000000000002E-2</v>
      </c>
      <c r="H517" s="1">
        <v>23.55</v>
      </c>
      <c r="I517">
        <v>3.2000000000000001E-2</v>
      </c>
      <c r="J517">
        <v>2.2076930329534399</v>
      </c>
      <c r="K517">
        <v>23.258950942347301</v>
      </c>
      <c r="L517">
        <v>15.799319728380301</v>
      </c>
      <c r="M517">
        <v>54.030256754642899</v>
      </c>
      <c r="N517">
        <v>8.87121722779324</v>
      </c>
      <c r="O517">
        <v>39.824001100494698</v>
      </c>
      <c r="P517">
        <v>0</v>
      </c>
    </row>
    <row r="518" spans="1:16" ht="14.5" hidden="1" x14ac:dyDescent="0.3">
      <c r="A518" s="1" t="s">
        <v>669</v>
      </c>
      <c r="B518" s="1" t="s">
        <v>1035</v>
      </c>
      <c r="C518" s="6">
        <v>6</v>
      </c>
      <c r="D518" s="6">
        <v>3</v>
      </c>
      <c r="E518" s="6" t="s">
        <v>1108</v>
      </c>
      <c r="F518" s="1">
        <v>9.9900000000000003E-2</v>
      </c>
      <c r="H518" s="1">
        <v>23.55</v>
      </c>
      <c r="I518">
        <v>3.2000000000000001E-2</v>
      </c>
      <c r="J518">
        <v>3.3590978740450699</v>
      </c>
      <c r="K518">
        <v>21.352694786172702</v>
      </c>
      <c r="L518">
        <v>14.6588708547326</v>
      </c>
      <c r="M518">
        <v>39.650334748584399</v>
      </c>
      <c r="N518">
        <v>5.9633125930975899</v>
      </c>
      <c r="O518">
        <v>21.566752775340699</v>
      </c>
      <c r="P518">
        <v>0</v>
      </c>
    </row>
    <row r="519" spans="1:16" ht="14.5" hidden="1" x14ac:dyDescent="0.3">
      <c r="A519" s="1" t="s">
        <v>670</v>
      </c>
      <c r="B519" s="1" t="s">
        <v>1035</v>
      </c>
      <c r="C519" s="6">
        <v>6</v>
      </c>
      <c r="D519" s="6">
        <v>3</v>
      </c>
      <c r="E519" s="6" t="s">
        <v>1108</v>
      </c>
      <c r="F519" s="1">
        <v>9.1499999999999998E-2</v>
      </c>
      <c r="H519" s="1">
        <v>23.55</v>
      </c>
      <c r="I519">
        <v>3.2000000000000001E-2</v>
      </c>
      <c r="J519">
        <v>2.3130532053814798</v>
      </c>
      <c r="K519">
        <v>17.058875182161501</v>
      </c>
      <c r="L519">
        <v>11.340708465972201</v>
      </c>
      <c r="M519">
        <v>33.3283355258122</v>
      </c>
      <c r="N519">
        <v>7.1844416188577203</v>
      </c>
      <c r="O519">
        <v>22.8666809578739</v>
      </c>
      <c r="P519">
        <v>0</v>
      </c>
    </row>
    <row r="520" spans="1:16" ht="14.5" hidden="1" x14ac:dyDescent="0.3">
      <c r="A520" s="1" t="s">
        <v>671</v>
      </c>
      <c r="B520" s="1" t="s">
        <v>1035</v>
      </c>
      <c r="C520" s="6">
        <v>6</v>
      </c>
      <c r="D520" s="6">
        <v>3</v>
      </c>
      <c r="E520" s="6" t="s">
        <v>1108</v>
      </c>
      <c r="F520" s="1">
        <v>6.2899999999999998E-2</v>
      </c>
      <c r="H520" s="1">
        <v>23.55</v>
      </c>
      <c r="I520">
        <v>3.2000000000000001E-2</v>
      </c>
      <c r="J520">
        <v>2.6628353514462999</v>
      </c>
      <c r="K520">
        <v>32.030229532059799</v>
      </c>
      <c r="L520">
        <v>9.5550146855209501</v>
      </c>
      <c r="M520">
        <v>25.500459178146802</v>
      </c>
      <c r="N520">
        <v>3.2407796308290302</v>
      </c>
      <c r="O520">
        <v>23.661759158098199</v>
      </c>
      <c r="P520">
        <v>0</v>
      </c>
    </row>
    <row r="521" spans="1:16" ht="14.5" hidden="1" x14ac:dyDescent="0.3">
      <c r="A521" s="1" t="s">
        <v>672</v>
      </c>
      <c r="B521" s="1" t="s">
        <v>1035</v>
      </c>
      <c r="C521" s="6">
        <v>6</v>
      </c>
      <c r="D521" s="6">
        <v>4</v>
      </c>
      <c r="E521" s="6" t="s">
        <v>1108</v>
      </c>
      <c r="F521" s="1">
        <v>0.104</v>
      </c>
      <c r="H521" s="1">
        <v>23.65</v>
      </c>
      <c r="I521">
        <v>3.2000000000000001E-2</v>
      </c>
      <c r="J521">
        <v>3.90293604653059</v>
      </c>
      <c r="K521">
        <v>25.5610735162883</v>
      </c>
      <c r="L521">
        <v>12.8937594456079</v>
      </c>
      <c r="M521">
        <v>30.820579251203799</v>
      </c>
      <c r="N521">
        <v>5.7315604105230697</v>
      </c>
      <c r="O521">
        <v>25.8449294292238</v>
      </c>
      <c r="P521">
        <v>0</v>
      </c>
    </row>
    <row r="522" spans="1:16" ht="14.5" hidden="1" x14ac:dyDescent="0.3">
      <c r="A522" s="1" t="s">
        <v>673</v>
      </c>
      <c r="B522" s="1" t="s">
        <v>1035</v>
      </c>
      <c r="C522" s="6">
        <v>6</v>
      </c>
      <c r="D522" s="6">
        <v>4</v>
      </c>
      <c r="E522" s="6" t="s">
        <v>1108</v>
      </c>
      <c r="F522" s="1">
        <v>0.11890000000000001</v>
      </c>
      <c r="H522" s="1">
        <v>23.65</v>
      </c>
      <c r="I522">
        <v>0.04</v>
      </c>
      <c r="J522">
        <v>2.90437784891536</v>
      </c>
      <c r="K522">
        <v>14.373066531971499</v>
      </c>
      <c r="L522">
        <v>12.118391417098101</v>
      </c>
      <c r="M522">
        <v>24.973255645114001</v>
      </c>
      <c r="N522">
        <v>8.8713789016410995</v>
      </c>
      <c r="O522">
        <v>22.334305476071901</v>
      </c>
      <c r="P522">
        <v>0</v>
      </c>
    </row>
    <row r="523" spans="1:16" ht="14.5" hidden="1" x14ac:dyDescent="0.3">
      <c r="A523" s="1" t="s">
        <v>674</v>
      </c>
      <c r="B523" s="1" t="s">
        <v>1035</v>
      </c>
      <c r="C523" s="6">
        <v>6</v>
      </c>
      <c r="D523" s="6">
        <v>4</v>
      </c>
      <c r="E523" s="6" t="s">
        <v>1108</v>
      </c>
      <c r="F523" s="1">
        <v>0.10340000000000001</v>
      </c>
      <c r="H523" s="1">
        <v>23.65</v>
      </c>
      <c r="I523">
        <v>3.2000000000000001E-2</v>
      </c>
      <c r="J523">
        <v>3.1593631012255399</v>
      </c>
      <c r="K523">
        <v>18.587813930587402</v>
      </c>
      <c r="L523">
        <v>16.831034361677201</v>
      </c>
      <c r="M523">
        <v>28.7991500093231</v>
      </c>
      <c r="N523">
        <v>8.5322003780277207</v>
      </c>
      <c r="O523">
        <v>21.401437839214701</v>
      </c>
      <c r="P523">
        <v>0</v>
      </c>
    </row>
    <row r="524" spans="1:16" ht="14.5" x14ac:dyDescent="0.3">
      <c r="A524" s="1" t="s">
        <v>675</v>
      </c>
      <c r="B524" s="1" t="s">
        <v>1034</v>
      </c>
      <c r="C524" s="6">
        <v>6</v>
      </c>
      <c r="D524" s="6">
        <v>1</v>
      </c>
      <c r="E524" s="6" t="s">
        <v>1108</v>
      </c>
      <c r="F524" s="1">
        <v>7.6200000000000004E-2</v>
      </c>
      <c r="H524" s="1">
        <v>23.666666666666668</v>
      </c>
      <c r="I524">
        <v>3.2000000000000001E-2</v>
      </c>
      <c r="J524">
        <v>2.3858343855209201</v>
      </c>
      <c r="K524">
        <v>13.9950326438238</v>
      </c>
      <c r="L524">
        <v>13.3684858603746</v>
      </c>
      <c r="M524">
        <v>39.078245428020402</v>
      </c>
      <c r="N524">
        <v>8.9649988679375401</v>
      </c>
      <c r="O524">
        <v>20.537539163140501</v>
      </c>
      <c r="P524">
        <v>0</v>
      </c>
    </row>
    <row r="525" spans="1:16" ht="14.5" x14ac:dyDescent="0.3">
      <c r="A525" s="1" t="s">
        <v>676</v>
      </c>
      <c r="B525" s="1" t="s">
        <v>1034</v>
      </c>
      <c r="C525" s="6">
        <v>6</v>
      </c>
      <c r="D525" s="6">
        <v>1</v>
      </c>
      <c r="E525" s="6" t="s">
        <v>1108</v>
      </c>
      <c r="F525" s="1">
        <v>0.1071</v>
      </c>
      <c r="H525" s="1">
        <v>23.666666666666668</v>
      </c>
      <c r="I525">
        <v>3.2000000000000001E-2</v>
      </c>
      <c r="J525">
        <v>2.3650662945785701</v>
      </c>
      <c r="K525">
        <v>19.480001566344502</v>
      </c>
      <c r="L525">
        <v>17.067024256849301</v>
      </c>
      <c r="M525">
        <v>53.457238547551903</v>
      </c>
      <c r="N525">
        <v>14.910097072166</v>
      </c>
      <c r="O525">
        <v>39.469694317093499</v>
      </c>
      <c r="P525">
        <v>0</v>
      </c>
    </row>
    <row r="526" spans="1:16" ht="14.5" x14ac:dyDescent="0.3">
      <c r="A526" s="1" t="s">
        <v>677</v>
      </c>
      <c r="B526" s="1" t="s">
        <v>1034</v>
      </c>
      <c r="C526" s="6">
        <v>6</v>
      </c>
      <c r="D526" s="6">
        <v>1</v>
      </c>
      <c r="E526" s="6" t="s">
        <v>1108</v>
      </c>
      <c r="F526" s="1">
        <v>7.0900000000000005E-2</v>
      </c>
      <c r="H526" s="1">
        <v>23.666666666666668</v>
      </c>
      <c r="I526">
        <v>3.2000000000000001E-2</v>
      </c>
      <c r="J526">
        <v>1.9481585528420999</v>
      </c>
      <c r="K526">
        <v>14.664865896853099</v>
      </c>
      <c r="L526">
        <v>11.7014150722213</v>
      </c>
      <c r="M526">
        <v>31.178150339162102</v>
      </c>
      <c r="N526">
        <v>12.7928225776435</v>
      </c>
      <c r="O526">
        <v>28.241229686820699</v>
      </c>
      <c r="P526">
        <v>0</v>
      </c>
    </row>
    <row r="527" spans="1:16" ht="14.5" x14ac:dyDescent="0.3">
      <c r="A527" s="1" t="s">
        <v>678</v>
      </c>
      <c r="B527" s="1" t="s">
        <v>1034</v>
      </c>
      <c r="C527" s="6">
        <v>6</v>
      </c>
      <c r="D527" s="6">
        <v>2</v>
      </c>
      <c r="E527" s="6" t="s">
        <v>1108</v>
      </c>
      <c r="F527" s="1">
        <v>0.10879999999999999</v>
      </c>
      <c r="H527" s="1">
        <v>23.683333333333334</v>
      </c>
      <c r="I527">
        <v>3.2000000000000001E-2</v>
      </c>
      <c r="J527">
        <v>2.9047073690348499</v>
      </c>
      <c r="K527">
        <v>21.521103689739</v>
      </c>
      <c r="L527">
        <v>13.3221330065002</v>
      </c>
      <c r="M527">
        <v>33.446538329522603</v>
      </c>
      <c r="N527">
        <v>14.195742445114901</v>
      </c>
      <c r="O527">
        <v>27.704600966214901</v>
      </c>
      <c r="P527">
        <v>0</v>
      </c>
    </row>
    <row r="528" spans="1:16" ht="14.5" x14ac:dyDescent="0.3">
      <c r="A528" s="1" t="s">
        <v>679</v>
      </c>
      <c r="B528" s="1" t="s">
        <v>1034</v>
      </c>
      <c r="C528" s="6">
        <v>6</v>
      </c>
      <c r="D528" s="6">
        <v>2</v>
      </c>
      <c r="E528" s="6" t="s">
        <v>1108</v>
      </c>
      <c r="F528" s="1">
        <v>7.8700000000000006E-2</v>
      </c>
      <c r="H528" s="1">
        <v>23.683333333333334</v>
      </c>
      <c r="I528">
        <v>3.2000000000000001E-2</v>
      </c>
      <c r="J528">
        <v>3.1725281538736998</v>
      </c>
      <c r="K528">
        <v>17.314514991079399</v>
      </c>
      <c r="L528">
        <v>11.8010428604002</v>
      </c>
      <c r="M528">
        <v>31.975787865073499</v>
      </c>
      <c r="N528">
        <v>9.5793241625007397</v>
      </c>
      <c r="O528">
        <v>23.030720670704699</v>
      </c>
      <c r="P528">
        <v>0</v>
      </c>
    </row>
    <row r="529" spans="1:16" ht="14.5" x14ac:dyDescent="0.3">
      <c r="A529" s="1" t="s">
        <v>680</v>
      </c>
      <c r="B529" s="1" t="s">
        <v>1034</v>
      </c>
      <c r="C529" s="6">
        <v>6</v>
      </c>
      <c r="D529" s="6">
        <v>2</v>
      </c>
      <c r="E529" s="6" t="s">
        <v>1108</v>
      </c>
      <c r="F529" s="1">
        <v>7.3899999999999993E-2</v>
      </c>
      <c r="H529" s="1">
        <v>23.683333333333334</v>
      </c>
      <c r="I529">
        <v>3.2000000000000001E-2</v>
      </c>
      <c r="J529">
        <v>2.4454986573960902</v>
      </c>
      <c r="K529">
        <v>16.218459503929299</v>
      </c>
      <c r="L529">
        <v>11.048060086268899</v>
      </c>
      <c r="M529">
        <v>27.269105834350501</v>
      </c>
      <c r="N529">
        <v>4.0083865257594899</v>
      </c>
      <c r="O529">
        <v>14.4108561596755</v>
      </c>
      <c r="P529">
        <v>0</v>
      </c>
    </row>
    <row r="530" spans="1:16" ht="14.5" x14ac:dyDescent="0.3">
      <c r="A530" s="1" t="s">
        <v>681</v>
      </c>
      <c r="B530" s="1" t="s">
        <v>1034</v>
      </c>
      <c r="C530" s="6">
        <v>6</v>
      </c>
      <c r="D530" s="6">
        <v>3</v>
      </c>
      <c r="E530" s="6" t="s">
        <v>1108</v>
      </c>
      <c r="F530" s="1">
        <v>9.7699999999999995E-2</v>
      </c>
      <c r="H530" s="1">
        <v>23.666666666666668</v>
      </c>
      <c r="I530">
        <v>3.2000000000000001E-2</v>
      </c>
      <c r="J530">
        <v>1.7682671228535001</v>
      </c>
      <c r="K530">
        <v>14.0441123842593</v>
      </c>
      <c r="L530">
        <v>12.493251159512401</v>
      </c>
      <c r="M530">
        <v>28.142278458352202</v>
      </c>
      <c r="N530">
        <v>12.9341700086863</v>
      </c>
      <c r="O530">
        <v>26.1872513922015</v>
      </c>
      <c r="P530">
        <v>0</v>
      </c>
    </row>
    <row r="531" spans="1:16" ht="14.5" x14ac:dyDescent="0.3">
      <c r="A531" s="1" t="s">
        <v>682</v>
      </c>
      <c r="B531" s="1" t="s">
        <v>1034</v>
      </c>
      <c r="C531" s="6">
        <v>6</v>
      </c>
      <c r="D531" s="6">
        <v>3</v>
      </c>
      <c r="E531" s="6" t="s">
        <v>1108</v>
      </c>
      <c r="F531" s="1">
        <v>7.2499999999999995E-2</v>
      </c>
      <c r="H531" s="1">
        <v>23.666666666666668</v>
      </c>
      <c r="I531">
        <v>3.2000000000000001E-2</v>
      </c>
      <c r="J531">
        <v>1.63160300482681</v>
      </c>
      <c r="K531">
        <v>15.690931022479599</v>
      </c>
      <c r="L531">
        <v>13.2811508688042</v>
      </c>
      <c r="M531">
        <v>46.565175557265199</v>
      </c>
      <c r="N531">
        <v>5.9528471985386702</v>
      </c>
      <c r="O531">
        <v>27.169237591107699</v>
      </c>
      <c r="P531">
        <v>0</v>
      </c>
    </row>
    <row r="532" spans="1:16" ht="14.5" x14ac:dyDescent="0.3">
      <c r="A532" s="1" t="s">
        <v>683</v>
      </c>
      <c r="B532" s="1" t="s">
        <v>1034</v>
      </c>
      <c r="C532" s="6">
        <v>6</v>
      </c>
      <c r="D532" s="6">
        <v>3</v>
      </c>
      <c r="E532" s="6" t="s">
        <v>1108</v>
      </c>
      <c r="F532" s="1">
        <v>7.6700000000000004E-2</v>
      </c>
      <c r="H532" s="1">
        <v>23.666666666666668</v>
      </c>
      <c r="I532">
        <v>3.2000000000000001E-2</v>
      </c>
      <c r="J532">
        <v>2.48081034932531</v>
      </c>
      <c r="K532">
        <v>16.800122750356302</v>
      </c>
      <c r="L532">
        <v>14.1853090012231</v>
      </c>
      <c r="M532">
        <v>34.904626444475397</v>
      </c>
      <c r="N532">
        <v>9.6731523266019206</v>
      </c>
      <c r="O532">
        <v>23.063087902597999</v>
      </c>
      <c r="P532">
        <v>0</v>
      </c>
    </row>
    <row r="533" spans="1:16" ht="14.5" x14ac:dyDescent="0.3">
      <c r="A533" s="1" t="s">
        <v>684</v>
      </c>
      <c r="B533" s="1" t="s">
        <v>1034</v>
      </c>
      <c r="C533" s="6">
        <v>6</v>
      </c>
      <c r="D533" s="6">
        <v>4</v>
      </c>
      <c r="E533" s="6" t="s">
        <v>1108</v>
      </c>
      <c r="F533" s="1">
        <v>7.7100000000000002E-2</v>
      </c>
      <c r="H533" s="1">
        <v>23.65</v>
      </c>
      <c r="I533">
        <v>3.2000000000000001E-2</v>
      </c>
      <c r="J533">
        <v>2.0777786907496498</v>
      </c>
      <c r="K533">
        <v>10.2909006453564</v>
      </c>
      <c r="L533">
        <v>11.3301671988631</v>
      </c>
      <c r="M533">
        <v>21.9748126587554</v>
      </c>
      <c r="N533">
        <v>8.3356794740350502</v>
      </c>
      <c r="O533">
        <v>17.035802533210099</v>
      </c>
      <c r="P533">
        <v>0</v>
      </c>
    </row>
    <row r="534" spans="1:16" ht="14.5" x14ac:dyDescent="0.3">
      <c r="A534" s="1" t="s">
        <v>685</v>
      </c>
      <c r="B534" s="1" t="s">
        <v>1034</v>
      </c>
      <c r="C534" s="6">
        <v>6</v>
      </c>
      <c r="D534" s="6">
        <v>4</v>
      </c>
      <c r="E534" s="6" t="s">
        <v>1108</v>
      </c>
      <c r="F534" s="1">
        <v>8.2299999999999998E-2</v>
      </c>
      <c r="H534" s="1">
        <v>23.65</v>
      </c>
      <c r="I534">
        <v>3.2000000000000001E-2</v>
      </c>
      <c r="J534">
        <v>2.6188776415452399</v>
      </c>
      <c r="K534">
        <v>14.3151081130659</v>
      </c>
      <c r="L534">
        <v>9.2002220585720593</v>
      </c>
      <c r="M534">
        <v>18.377384239722499</v>
      </c>
      <c r="N534">
        <v>8.7514758075115608</v>
      </c>
      <c r="O534">
        <v>17.373186803295201</v>
      </c>
      <c r="P534">
        <v>0</v>
      </c>
    </row>
    <row r="535" spans="1:16" ht="14.5" x14ac:dyDescent="0.3">
      <c r="A535" s="1" t="s">
        <v>686</v>
      </c>
      <c r="B535" s="1" t="s">
        <v>1034</v>
      </c>
      <c r="C535" s="6">
        <v>6</v>
      </c>
      <c r="D535" s="6">
        <v>4</v>
      </c>
      <c r="E535" s="6" t="s">
        <v>1108</v>
      </c>
      <c r="F535" s="1">
        <v>6.9199999999999998E-2</v>
      </c>
      <c r="H535" s="1">
        <v>23.65</v>
      </c>
      <c r="I535">
        <v>3.2000000000000001E-2</v>
      </c>
      <c r="J535">
        <v>2.2842433436432401</v>
      </c>
      <c r="K535">
        <v>13.5726628039424</v>
      </c>
      <c r="L535">
        <v>11.142152494618401</v>
      </c>
      <c r="M535">
        <v>28.377110038015601</v>
      </c>
      <c r="N535">
        <v>7.6306970730399497</v>
      </c>
      <c r="O535">
        <v>19.59022953154</v>
      </c>
      <c r="P535">
        <v>0</v>
      </c>
    </row>
    <row r="536" spans="1:16" ht="14.5" hidden="1" x14ac:dyDescent="0.3">
      <c r="A536" s="1" t="s">
        <v>687</v>
      </c>
      <c r="B536" s="1" t="s">
        <v>1033</v>
      </c>
      <c r="C536" s="6">
        <v>6</v>
      </c>
      <c r="D536" s="6">
        <v>1</v>
      </c>
      <c r="E536" s="6" t="s">
        <v>1109</v>
      </c>
      <c r="F536" s="1">
        <v>8.9899999999999994E-2</v>
      </c>
      <c r="I536">
        <v>3.2000000000000001E-2</v>
      </c>
      <c r="J536">
        <v>2.8294627608012002</v>
      </c>
      <c r="K536">
        <v>20.287301373694099</v>
      </c>
      <c r="L536">
        <v>13.6365948209396</v>
      </c>
      <c r="M536">
        <v>35.443402312236103</v>
      </c>
      <c r="N536">
        <v>5.23340781110553</v>
      </c>
      <c r="O536">
        <v>23.927205626004</v>
      </c>
      <c r="P536">
        <v>0</v>
      </c>
    </row>
    <row r="537" spans="1:16" ht="14.5" hidden="1" x14ac:dyDescent="0.3">
      <c r="A537" s="1" t="s">
        <v>688</v>
      </c>
      <c r="B537" s="1" t="s">
        <v>1033</v>
      </c>
      <c r="C537" s="6">
        <v>6</v>
      </c>
      <c r="D537" s="6">
        <v>1</v>
      </c>
      <c r="E537" s="6" t="s">
        <v>1109</v>
      </c>
      <c r="F537" s="1">
        <v>5.9799999999999999E-2</v>
      </c>
      <c r="I537">
        <v>3.2000000000000001E-2</v>
      </c>
      <c r="J537">
        <v>1.7526573396604801</v>
      </c>
      <c r="K537">
        <v>11.823709186024301</v>
      </c>
      <c r="L537">
        <v>9.0990399468759708</v>
      </c>
      <c r="M537">
        <v>25.742709120578699</v>
      </c>
      <c r="N537">
        <v>2.24218159734008</v>
      </c>
      <c r="O537">
        <v>9.7659602036410593</v>
      </c>
      <c r="P537">
        <v>0</v>
      </c>
    </row>
    <row r="538" spans="1:16" ht="14.5" hidden="1" x14ac:dyDescent="0.3">
      <c r="A538" s="1" t="s">
        <v>689</v>
      </c>
      <c r="B538" s="1" t="s">
        <v>1033</v>
      </c>
      <c r="C538" s="6">
        <v>6</v>
      </c>
      <c r="D538" s="6">
        <v>1</v>
      </c>
      <c r="E538" s="6" t="s">
        <v>1109</v>
      </c>
      <c r="F538" s="1">
        <v>6.1699999999999998E-2</v>
      </c>
      <c r="I538">
        <v>3.2000000000000001E-2</v>
      </c>
      <c r="J538">
        <v>1.40383149100699</v>
      </c>
      <c r="K538">
        <v>11.5368907739515</v>
      </c>
      <c r="L538">
        <v>7.24953686250032</v>
      </c>
      <c r="M538">
        <v>19.6523255061506</v>
      </c>
      <c r="N538">
        <v>2.8019549435020998</v>
      </c>
      <c r="O538">
        <v>14.006747863640699</v>
      </c>
      <c r="P538">
        <v>0</v>
      </c>
    </row>
    <row r="539" spans="1:16" ht="14.5" hidden="1" x14ac:dyDescent="0.3">
      <c r="A539" s="1" t="s">
        <v>690</v>
      </c>
      <c r="B539" s="1" t="s">
        <v>1033</v>
      </c>
      <c r="C539" s="6">
        <v>6</v>
      </c>
      <c r="D539" s="6">
        <v>2</v>
      </c>
      <c r="E539" s="6" t="s">
        <v>1109</v>
      </c>
      <c r="F539" s="1">
        <v>6.7199999999999996E-2</v>
      </c>
      <c r="I539">
        <v>3.2000000000000001E-2</v>
      </c>
      <c r="J539">
        <v>2.6624016310808698</v>
      </c>
      <c r="K539">
        <v>17.8424998279229</v>
      </c>
      <c r="L539">
        <v>9.5223389650050798</v>
      </c>
      <c r="M539">
        <v>21.0082166379913</v>
      </c>
      <c r="N539">
        <v>3.09522105856523</v>
      </c>
      <c r="O539">
        <v>13.791986239282499</v>
      </c>
      <c r="P539">
        <v>0</v>
      </c>
    </row>
    <row r="540" spans="1:16" ht="14.5" hidden="1" x14ac:dyDescent="0.3">
      <c r="A540" s="1" t="s">
        <v>691</v>
      </c>
      <c r="B540" s="1" t="s">
        <v>1033</v>
      </c>
      <c r="C540" s="6">
        <v>6</v>
      </c>
      <c r="D540" s="6">
        <v>2</v>
      </c>
      <c r="E540" s="6" t="s">
        <v>1109</v>
      </c>
      <c r="F540" s="1">
        <v>4.8599999999999997E-2</v>
      </c>
      <c r="I540">
        <v>3.2000000000000001E-2</v>
      </c>
      <c r="J540">
        <v>1.68346032661814</v>
      </c>
      <c r="K540">
        <v>10.400375464801</v>
      </c>
      <c r="L540">
        <v>6.9062814008943203</v>
      </c>
      <c r="M540">
        <v>14.2187806013167</v>
      </c>
      <c r="N540">
        <v>4.04176858892549</v>
      </c>
      <c r="O540">
        <v>12.011225724726</v>
      </c>
      <c r="P540">
        <v>0</v>
      </c>
    </row>
    <row r="541" spans="1:16" ht="14.5" hidden="1" x14ac:dyDescent="0.3">
      <c r="A541" s="1" t="s">
        <v>692</v>
      </c>
      <c r="B541" s="1" t="s">
        <v>1033</v>
      </c>
      <c r="C541" s="6">
        <v>6</v>
      </c>
      <c r="D541" s="6">
        <v>2</v>
      </c>
      <c r="E541" s="6" t="s">
        <v>1109</v>
      </c>
      <c r="F541" s="1">
        <v>7.3800000000000004E-2</v>
      </c>
      <c r="I541">
        <v>3.2000000000000001E-2</v>
      </c>
      <c r="J541">
        <v>3.0418730790154802</v>
      </c>
      <c r="K541">
        <v>15.3134383069298</v>
      </c>
      <c r="L541">
        <v>10.4646829523015</v>
      </c>
      <c r="M541">
        <v>23.305233850302098</v>
      </c>
      <c r="N541">
        <v>6.6545880794990504</v>
      </c>
      <c r="O541">
        <v>21.130977895977601</v>
      </c>
      <c r="P541">
        <v>0</v>
      </c>
    </row>
    <row r="542" spans="1:16" ht="14.5" hidden="1" x14ac:dyDescent="0.3">
      <c r="A542" s="1" t="s">
        <v>693</v>
      </c>
      <c r="B542" s="1" t="s">
        <v>1033</v>
      </c>
      <c r="C542" s="6">
        <v>6</v>
      </c>
      <c r="D542" s="6">
        <v>3</v>
      </c>
      <c r="E542" s="6" t="s">
        <v>1109</v>
      </c>
      <c r="F542" s="1">
        <v>5.5100000000000003E-2</v>
      </c>
      <c r="I542">
        <v>3.2000000000000001E-2</v>
      </c>
      <c r="J542">
        <v>2.21049638770437</v>
      </c>
      <c r="K542">
        <v>16.795123293314699</v>
      </c>
      <c r="L542">
        <v>8.3221466970710605</v>
      </c>
      <c r="M542">
        <v>31.9417596637565</v>
      </c>
      <c r="N542">
        <v>2.0963608211431302</v>
      </c>
      <c r="O542">
        <v>13.881708030537199</v>
      </c>
      <c r="P542">
        <v>0</v>
      </c>
    </row>
    <row r="543" spans="1:16" ht="14.5" hidden="1" x14ac:dyDescent="0.3">
      <c r="A543" s="1" t="s">
        <v>694</v>
      </c>
      <c r="B543" s="1" t="s">
        <v>1033</v>
      </c>
      <c r="C543" s="6">
        <v>6</v>
      </c>
      <c r="D543" s="6">
        <v>3</v>
      </c>
      <c r="E543" s="6" t="s">
        <v>1109</v>
      </c>
      <c r="F543" s="1">
        <v>5.5E-2</v>
      </c>
      <c r="I543">
        <v>3.2000000000000001E-2</v>
      </c>
      <c r="J543">
        <v>1.5721362839661599</v>
      </c>
      <c r="K543">
        <v>11.5840648441925</v>
      </c>
      <c r="L543">
        <v>8.3015351883079198</v>
      </c>
      <c r="M543">
        <v>25.8086243159233</v>
      </c>
      <c r="N543">
        <v>4.8364300624713099</v>
      </c>
      <c r="O543">
        <v>17.4665961687768</v>
      </c>
      <c r="P543">
        <v>0</v>
      </c>
    </row>
    <row r="544" spans="1:16" ht="14.5" hidden="1" x14ac:dyDescent="0.3">
      <c r="A544" s="1" t="s">
        <v>695</v>
      </c>
      <c r="B544" s="1" t="s">
        <v>1033</v>
      </c>
      <c r="C544" s="6">
        <v>6</v>
      </c>
      <c r="D544" s="6">
        <v>3</v>
      </c>
      <c r="E544" s="6" t="s">
        <v>1109</v>
      </c>
      <c r="F544" s="1">
        <v>4.5999999999999999E-2</v>
      </c>
      <c r="I544">
        <v>3.2000000000000001E-2</v>
      </c>
      <c r="J544">
        <v>1.6175040763636299</v>
      </c>
      <c r="K544">
        <v>11.1582663008181</v>
      </c>
      <c r="L544">
        <v>7.6704329448438404</v>
      </c>
      <c r="M544">
        <v>21.530053052607201</v>
      </c>
      <c r="N544">
        <v>3.3288856690264801</v>
      </c>
      <c r="O544">
        <v>11.742257770031101</v>
      </c>
      <c r="P544">
        <v>0</v>
      </c>
    </row>
    <row r="545" spans="1:16" ht="14.5" x14ac:dyDescent="0.3">
      <c r="A545" s="1" t="s">
        <v>696</v>
      </c>
      <c r="B545" s="1" t="s">
        <v>1034</v>
      </c>
      <c r="C545" s="6">
        <v>6</v>
      </c>
      <c r="D545" s="6">
        <v>1</v>
      </c>
      <c r="E545" s="6" t="s">
        <v>1109</v>
      </c>
      <c r="F545" s="1">
        <v>9.1600000000000001E-2</v>
      </c>
      <c r="H545" s="1">
        <v>71.5</v>
      </c>
      <c r="I545">
        <v>3.2000000000000001E-2</v>
      </c>
      <c r="J545">
        <v>2.0886493275407498</v>
      </c>
      <c r="K545">
        <v>10.611062095254301</v>
      </c>
      <c r="L545">
        <v>14.5978271004227</v>
      </c>
      <c r="M545">
        <v>26.515468058336602</v>
      </c>
      <c r="N545">
        <v>17.1774170605274</v>
      </c>
      <c r="O545">
        <v>22.722560794384801</v>
      </c>
      <c r="P545">
        <v>0</v>
      </c>
    </row>
    <row r="546" spans="1:16" ht="14.5" x14ac:dyDescent="0.3">
      <c r="A546" s="1" t="s">
        <v>697</v>
      </c>
      <c r="B546" s="1" t="s">
        <v>1034</v>
      </c>
      <c r="C546" s="6">
        <v>6</v>
      </c>
      <c r="D546" s="6">
        <v>1</v>
      </c>
      <c r="E546" s="6" t="s">
        <v>1109</v>
      </c>
      <c r="F546" s="1">
        <v>7.1400000000000005E-2</v>
      </c>
      <c r="H546" s="1">
        <v>71.5</v>
      </c>
      <c r="I546">
        <v>3.2000000000000001E-2</v>
      </c>
      <c r="J546">
        <v>2.08392538199098</v>
      </c>
      <c r="K546">
        <v>15.439505382096399</v>
      </c>
      <c r="L546">
        <v>10.284652585362</v>
      </c>
      <c r="M546">
        <v>20.998489406720498</v>
      </c>
      <c r="N546">
        <v>19.717916830583899</v>
      </c>
      <c r="O546">
        <v>32.201096060979403</v>
      </c>
      <c r="P546">
        <v>0</v>
      </c>
    </row>
    <row r="547" spans="1:16" ht="14.5" x14ac:dyDescent="0.3">
      <c r="A547" s="1" t="s">
        <v>698</v>
      </c>
      <c r="B547" s="1" t="s">
        <v>1034</v>
      </c>
      <c r="C547" s="6">
        <v>6</v>
      </c>
      <c r="D547" s="6">
        <v>1</v>
      </c>
      <c r="E547" s="6" t="s">
        <v>1109</v>
      </c>
      <c r="F547" s="1">
        <v>8.0600000000000005E-2</v>
      </c>
      <c r="H547" s="1">
        <v>71.5</v>
      </c>
      <c r="I547">
        <v>3.2000000000000001E-2</v>
      </c>
      <c r="J547">
        <v>2.42034995619542</v>
      </c>
      <c r="K547">
        <v>19.8147473702623</v>
      </c>
      <c r="L547">
        <v>17.379511547466301</v>
      </c>
      <c r="M547">
        <v>62.8039547905395</v>
      </c>
      <c r="N547">
        <v>20.5766183565805</v>
      </c>
      <c r="O547">
        <v>40.613857061787201</v>
      </c>
      <c r="P547">
        <v>0</v>
      </c>
    </row>
    <row r="548" spans="1:16" ht="14.5" x14ac:dyDescent="0.3">
      <c r="A548" s="1" t="s">
        <v>699</v>
      </c>
      <c r="B548" s="1" t="s">
        <v>1034</v>
      </c>
      <c r="C548" s="6">
        <v>6</v>
      </c>
      <c r="D548" s="6">
        <v>1</v>
      </c>
      <c r="E548" s="6" t="s">
        <v>1109</v>
      </c>
      <c r="F548" s="1">
        <v>6.7199999999999996E-2</v>
      </c>
      <c r="H548" s="1">
        <v>71.5</v>
      </c>
      <c r="I548">
        <v>3.2000000000000001E-2</v>
      </c>
      <c r="J548">
        <v>2.0367797491482</v>
      </c>
      <c r="K548">
        <v>12.1806738575167</v>
      </c>
      <c r="L548">
        <v>8.3159805483071807</v>
      </c>
      <c r="M548">
        <v>16.903806011910302</v>
      </c>
      <c r="N548">
        <v>10.4017822049882</v>
      </c>
      <c r="O548">
        <v>16.937132695480202</v>
      </c>
      <c r="P548">
        <v>0</v>
      </c>
    </row>
    <row r="549" spans="1:16" ht="14.5" x14ac:dyDescent="0.3">
      <c r="A549" s="1" t="s">
        <v>700</v>
      </c>
      <c r="B549" s="1" t="s">
        <v>1034</v>
      </c>
      <c r="C549" s="6">
        <v>6</v>
      </c>
      <c r="D549" s="6">
        <v>2</v>
      </c>
      <c r="E549" s="6" t="s">
        <v>1109</v>
      </c>
      <c r="F549" s="1">
        <v>7.9500000000000001E-2</v>
      </c>
      <c r="H549" s="1">
        <v>71.55</v>
      </c>
      <c r="I549">
        <v>3.2000000000000001E-2</v>
      </c>
      <c r="J549">
        <v>2.8927690181699099</v>
      </c>
      <c r="K549">
        <v>15.433949857932999</v>
      </c>
      <c r="L549">
        <v>10.1118789183283</v>
      </c>
      <c r="M549">
        <v>20.780032976806901</v>
      </c>
      <c r="N549">
        <v>12.593338585962099</v>
      </c>
      <c r="O549">
        <v>18.952421292808399</v>
      </c>
      <c r="P549">
        <v>0</v>
      </c>
    </row>
    <row r="550" spans="1:16" ht="14.5" x14ac:dyDescent="0.3">
      <c r="A550" s="1" t="s">
        <v>701</v>
      </c>
      <c r="B550" s="1" t="s">
        <v>1034</v>
      </c>
      <c r="C550" s="6">
        <v>6</v>
      </c>
      <c r="D550" s="6">
        <v>2</v>
      </c>
      <c r="E550" s="6" t="s">
        <v>1109</v>
      </c>
      <c r="F550" s="1">
        <v>7.7700000000000005E-2</v>
      </c>
      <c r="H550" s="1">
        <v>71.55</v>
      </c>
      <c r="I550">
        <v>3.2000000000000001E-2</v>
      </c>
      <c r="J550">
        <v>1.9339020603716399</v>
      </c>
      <c r="K550">
        <v>15.9232508145203</v>
      </c>
      <c r="L550">
        <v>14.524459426857799</v>
      </c>
      <c r="M550">
        <v>41.561517920743498</v>
      </c>
      <c r="N550">
        <v>21.8800910456062</v>
      </c>
      <c r="O550">
        <v>44.863805085400102</v>
      </c>
      <c r="P550">
        <v>0</v>
      </c>
    </row>
    <row r="551" spans="1:16" ht="14.5" x14ac:dyDescent="0.3">
      <c r="A551" s="1" t="s">
        <v>702</v>
      </c>
      <c r="B551" s="1" t="s">
        <v>1034</v>
      </c>
      <c r="C551" s="6">
        <v>6</v>
      </c>
      <c r="D551" s="6">
        <v>2</v>
      </c>
      <c r="E551" s="6" t="s">
        <v>1109</v>
      </c>
      <c r="F551" s="1">
        <v>7.4899999999999994E-2</v>
      </c>
      <c r="H551" s="1">
        <v>71.55</v>
      </c>
      <c r="I551">
        <v>3.2000000000000001E-2</v>
      </c>
      <c r="J551">
        <v>2.3669870726174098</v>
      </c>
      <c r="K551">
        <v>18.174065255574</v>
      </c>
      <c r="L551">
        <v>11.3661219502457</v>
      </c>
      <c r="M551">
        <v>22.0501482590211</v>
      </c>
      <c r="N551">
        <v>48.123524875743101</v>
      </c>
      <c r="O551">
        <v>58.3106574309938</v>
      </c>
      <c r="P551">
        <v>0</v>
      </c>
    </row>
    <row r="552" spans="1:16" ht="14.5" x14ac:dyDescent="0.3">
      <c r="A552" s="1" t="s">
        <v>703</v>
      </c>
      <c r="B552" s="1" t="s">
        <v>1034</v>
      </c>
      <c r="C552" s="6">
        <v>6</v>
      </c>
      <c r="D552" s="6">
        <v>2</v>
      </c>
      <c r="E552" s="6" t="s">
        <v>1109</v>
      </c>
      <c r="F552" s="1">
        <v>8.1699999999999995E-2</v>
      </c>
      <c r="H552" s="1">
        <v>71.55</v>
      </c>
      <c r="I552">
        <v>3.2000000000000001E-2</v>
      </c>
      <c r="J552">
        <v>2.0952711768626999</v>
      </c>
      <c r="K552">
        <v>13.752868041249201</v>
      </c>
      <c r="L552">
        <v>10.4059239631893</v>
      </c>
      <c r="M552">
        <v>20.885720713417602</v>
      </c>
      <c r="N552">
        <v>15.7243025232251</v>
      </c>
      <c r="O552">
        <v>23.750788440865801</v>
      </c>
      <c r="P552">
        <v>0</v>
      </c>
    </row>
    <row r="553" spans="1:16" ht="14.5" x14ac:dyDescent="0.3">
      <c r="A553" s="1" t="s">
        <v>704</v>
      </c>
      <c r="B553" s="1" t="s">
        <v>1034</v>
      </c>
      <c r="C553" s="6">
        <v>6</v>
      </c>
      <c r="D553" s="6">
        <v>2</v>
      </c>
      <c r="E553" s="6" t="s">
        <v>1109</v>
      </c>
      <c r="F553" s="1">
        <v>6.9900000000000004E-2</v>
      </c>
      <c r="G553" s="1" t="s">
        <v>500</v>
      </c>
      <c r="H553" s="1">
        <v>71.55</v>
      </c>
      <c r="I553">
        <v>3.2000000000000001E-2</v>
      </c>
      <c r="J553">
        <v>1.9922766773203999</v>
      </c>
      <c r="K553">
        <v>12.936144692947099</v>
      </c>
      <c r="L553">
        <v>10.6955736197965</v>
      </c>
      <c r="M553">
        <v>21.3883568014774</v>
      </c>
      <c r="N553">
        <v>42.062365020266803</v>
      </c>
      <c r="O553">
        <v>50.068047070503198</v>
      </c>
      <c r="P553">
        <v>0</v>
      </c>
    </row>
    <row r="554" spans="1:16" ht="14.5" x14ac:dyDescent="0.3">
      <c r="A554" s="1" t="s">
        <v>705</v>
      </c>
      <c r="B554" s="1" t="s">
        <v>1034</v>
      </c>
      <c r="C554" s="6">
        <v>6</v>
      </c>
      <c r="D554" s="6">
        <v>3</v>
      </c>
      <c r="E554" s="6" t="s">
        <v>1109</v>
      </c>
      <c r="F554" s="1">
        <v>7.5499999999999998E-2</v>
      </c>
      <c r="H554" s="1">
        <v>71.666666666666671</v>
      </c>
      <c r="I554">
        <v>3.2000000000000001E-2</v>
      </c>
      <c r="J554">
        <v>2.8464038578274198</v>
      </c>
      <c r="K554">
        <v>15.7199287916087</v>
      </c>
      <c r="L554">
        <v>9.3119380918370798</v>
      </c>
      <c r="M554">
        <v>18.527900750191399</v>
      </c>
      <c r="N554">
        <v>16.217887995492301</v>
      </c>
      <c r="O554">
        <v>24.688879941326999</v>
      </c>
      <c r="P554">
        <v>0</v>
      </c>
    </row>
    <row r="555" spans="1:16" ht="14.5" x14ac:dyDescent="0.3">
      <c r="A555" s="1" t="s">
        <v>706</v>
      </c>
      <c r="B555" s="1" t="s">
        <v>1034</v>
      </c>
      <c r="C555" s="6">
        <v>6</v>
      </c>
      <c r="D555" s="6">
        <v>3</v>
      </c>
      <c r="E555" s="6" t="s">
        <v>1109</v>
      </c>
      <c r="F555" s="1">
        <v>8.9099999999999999E-2</v>
      </c>
      <c r="H555" s="1">
        <v>71.666666666666671</v>
      </c>
      <c r="I555">
        <v>3.2000000000000001E-2</v>
      </c>
      <c r="J555">
        <v>2.4149466277707701</v>
      </c>
      <c r="K555">
        <v>17.705566039720299</v>
      </c>
      <c r="L555">
        <v>13.453554896483</v>
      </c>
      <c r="M555">
        <v>31.697638440921001</v>
      </c>
      <c r="N555">
        <v>20.214420411604198</v>
      </c>
      <c r="O555">
        <v>34.012850443220401</v>
      </c>
      <c r="P555">
        <v>0</v>
      </c>
    </row>
    <row r="556" spans="1:16" ht="14.5" x14ac:dyDescent="0.3">
      <c r="A556" s="1" t="s">
        <v>707</v>
      </c>
      <c r="B556" s="1" t="s">
        <v>1034</v>
      </c>
      <c r="C556" s="6">
        <v>6</v>
      </c>
      <c r="D556" s="6">
        <v>3</v>
      </c>
      <c r="E556" s="6" t="s">
        <v>1109</v>
      </c>
      <c r="F556" s="1">
        <v>0.11</v>
      </c>
      <c r="H556" s="1">
        <v>71.666666666666671</v>
      </c>
      <c r="I556">
        <v>0.04</v>
      </c>
      <c r="J556">
        <v>2.1431000374747899</v>
      </c>
      <c r="K556">
        <v>11.0957155151567</v>
      </c>
      <c r="L556">
        <v>13.407245864807701</v>
      </c>
      <c r="M556">
        <v>24.021752870072699</v>
      </c>
      <c r="N556">
        <v>10.4538329253364</v>
      </c>
      <c r="O556">
        <v>14.4446622285035</v>
      </c>
      <c r="P556">
        <v>0</v>
      </c>
    </row>
    <row r="557" spans="1:16" ht="14.5" x14ac:dyDescent="0.3">
      <c r="A557" s="1" t="s">
        <v>708</v>
      </c>
      <c r="B557" s="1" t="s">
        <v>1034</v>
      </c>
      <c r="C557" s="6">
        <v>6</v>
      </c>
      <c r="D557" s="6">
        <v>3</v>
      </c>
      <c r="E557" s="6" t="s">
        <v>1109</v>
      </c>
      <c r="F557" s="1">
        <v>9.2499999999999999E-2</v>
      </c>
      <c r="H557" s="1">
        <v>71.666666666666671</v>
      </c>
      <c r="I557">
        <v>3.2000000000000001E-2</v>
      </c>
      <c r="J557">
        <v>2.1144913710357498</v>
      </c>
      <c r="K557">
        <v>13.173439242553901</v>
      </c>
      <c r="L557">
        <v>11.5660831247929</v>
      </c>
      <c r="M557">
        <v>25.211469498789299</v>
      </c>
      <c r="N557">
        <v>16.788946845562698</v>
      </c>
      <c r="O557">
        <v>27.015953284137499</v>
      </c>
      <c r="P557">
        <v>0</v>
      </c>
    </row>
    <row r="558" spans="1:16" ht="14.5" x14ac:dyDescent="0.3">
      <c r="A558" s="1" t="s">
        <v>709</v>
      </c>
      <c r="B558" s="1" t="s">
        <v>1034</v>
      </c>
      <c r="C558" s="6">
        <v>6</v>
      </c>
      <c r="D558" s="6">
        <v>4</v>
      </c>
      <c r="E558" s="6" t="s">
        <v>1109</v>
      </c>
      <c r="F558" s="1">
        <v>8.8099999999999998E-2</v>
      </c>
      <c r="H558" s="1">
        <v>71.733333333333334</v>
      </c>
      <c r="I558">
        <v>3.2000000000000001E-2</v>
      </c>
      <c r="J558">
        <v>2.6516950973118898</v>
      </c>
      <c r="K558">
        <v>14.696788511291199</v>
      </c>
      <c r="L558">
        <v>10.6630991922123</v>
      </c>
      <c r="M558">
        <v>24.396981832371502</v>
      </c>
      <c r="N558">
        <v>11.2461306856656</v>
      </c>
      <c r="O558">
        <v>19.0446553041924</v>
      </c>
      <c r="P558">
        <v>0</v>
      </c>
    </row>
    <row r="559" spans="1:16" ht="14.5" x14ac:dyDescent="0.3">
      <c r="A559" s="1" t="s">
        <v>710</v>
      </c>
      <c r="B559" s="1" t="s">
        <v>1034</v>
      </c>
      <c r="C559" s="6">
        <v>6</v>
      </c>
      <c r="D559" s="6">
        <v>4</v>
      </c>
      <c r="E559" s="6" t="s">
        <v>1109</v>
      </c>
      <c r="F559" s="1">
        <v>9.1899999999999996E-2</v>
      </c>
      <c r="H559" s="1">
        <v>71.733333333333334</v>
      </c>
      <c r="I559">
        <v>3.2000000000000001E-2</v>
      </c>
      <c r="J559">
        <v>2.8131565388655599</v>
      </c>
      <c r="K559">
        <v>17.581806415333901</v>
      </c>
      <c r="L559">
        <v>12.6206479065797</v>
      </c>
      <c r="M559">
        <v>25.696317289186201</v>
      </c>
      <c r="N559">
        <v>24.021397706167502</v>
      </c>
      <c r="O559">
        <v>30.688366519446902</v>
      </c>
      <c r="P559">
        <v>0</v>
      </c>
    </row>
    <row r="560" spans="1:16" ht="14.5" x14ac:dyDescent="0.3">
      <c r="A560" s="1" t="s">
        <v>711</v>
      </c>
      <c r="B560" s="1" t="s">
        <v>1034</v>
      </c>
      <c r="C560" s="6">
        <v>6</v>
      </c>
      <c r="D560" s="6">
        <v>4</v>
      </c>
      <c r="E560" s="6" t="s">
        <v>1109</v>
      </c>
      <c r="F560" s="1">
        <v>8.1699999999999995E-2</v>
      </c>
      <c r="H560" s="1">
        <v>71.733333333333334</v>
      </c>
      <c r="I560">
        <v>3.2000000000000001E-2</v>
      </c>
      <c r="J560">
        <v>1.9212427630590101</v>
      </c>
      <c r="K560">
        <v>9.3511109375943402</v>
      </c>
      <c r="L560">
        <v>10.073757989871201</v>
      </c>
      <c r="M560">
        <v>20.1519291506233</v>
      </c>
      <c r="N560">
        <v>10.986277773986</v>
      </c>
      <c r="O560">
        <v>17.6678491000714</v>
      </c>
      <c r="P560">
        <v>0</v>
      </c>
    </row>
    <row r="561" spans="1:16" ht="14.5" x14ac:dyDescent="0.3">
      <c r="A561" s="1" t="s">
        <v>712</v>
      </c>
      <c r="B561" s="1" t="s">
        <v>1034</v>
      </c>
      <c r="C561" s="6">
        <v>6</v>
      </c>
      <c r="D561" s="6">
        <v>4</v>
      </c>
      <c r="E561" s="6" t="s">
        <v>1109</v>
      </c>
      <c r="F561" s="1">
        <v>9.6799999999999997E-2</v>
      </c>
      <c r="H561" s="1">
        <v>71.733333333333334</v>
      </c>
      <c r="I561">
        <v>3.2000000000000001E-2</v>
      </c>
      <c r="J561">
        <v>2.0847401405291599</v>
      </c>
      <c r="K561">
        <v>14.310845201597299</v>
      </c>
      <c r="L561">
        <v>12.664607998035899</v>
      </c>
      <c r="M561">
        <v>25.859952962794399</v>
      </c>
      <c r="N561">
        <v>18.9571740219675</v>
      </c>
      <c r="O561">
        <v>30.4436473510961</v>
      </c>
      <c r="P561">
        <v>0</v>
      </c>
    </row>
    <row r="562" spans="1:16" ht="14.5" x14ac:dyDescent="0.3">
      <c r="C562" s="6"/>
      <c r="D562" s="6"/>
      <c r="E562" s="6"/>
    </row>
  </sheetData>
  <autoFilter ref="A1:P561" xr:uid="{0AB30192-78FC-4B02-9D18-FA52C579D2A9}">
    <filterColumn colId="1">
      <filters>
        <filter val="TD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CC31-8E2B-4B1C-8418-3558149625FB}">
  <dimension ref="A1:R101"/>
  <sheetViews>
    <sheetView tabSelected="1" topLeftCell="A41" workbookViewId="0">
      <selection activeCell="E50" sqref="E50"/>
    </sheetView>
  </sheetViews>
  <sheetFormatPr defaultRowHeight="14" x14ac:dyDescent="0.3"/>
  <cols>
    <col min="1" max="1" width="20.58203125" style="1" customWidth="1"/>
    <col min="2" max="2" width="12.33203125" style="1" customWidth="1"/>
    <col min="3" max="3" width="10.83203125" style="1" customWidth="1"/>
    <col min="4" max="5" width="8.6640625" style="1" customWidth="1"/>
    <col min="6" max="11" width="8.6640625" style="1"/>
  </cols>
  <sheetData>
    <row r="1" spans="1:18" ht="30" x14ac:dyDescent="0.3">
      <c r="A1" s="8" t="s">
        <v>0</v>
      </c>
      <c r="B1" s="9" t="s">
        <v>1129</v>
      </c>
      <c r="C1" s="9" t="s">
        <v>159</v>
      </c>
      <c r="D1" s="9" t="s">
        <v>18</v>
      </c>
      <c r="E1" s="9" t="s">
        <v>1031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1111</v>
      </c>
      <c r="L1" t="s">
        <v>1112</v>
      </c>
      <c r="M1" s="10" t="s">
        <v>1094</v>
      </c>
      <c r="N1" s="10" t="s">
        <v>1095</v>
      </c>
      <c r="O1" s="10" t="s">
        <v>1096</v>
      </c>
      <c r="P1" t="s">
        <v>47</v>
      </c>
      <c r="Q1" t="s">
        <v>49</v>
      </c>
      <c r="R1" t="s">
        <v>50</v>
      </c>
    </row>
    <row r="2" spans="1:18" x14ac:dyDescent="0.3">
      <c r="A2" s="2" t="s">
        <v>26</v>
      </c>
      <c r="B2" s="7" t="s">
        <v>1035</v>
      </c>
      <c r="C2" s="7">
        <v>0</v>
      </c>
      <c r="D2" s="7">
        <v>1</v>
      </c>
      <c r="E2" s="7">
        <v>1</v>
      </c>
      <c r="F2" s="1">
        <v>24.19</v>
      </c>
      <c r="G2" s="1">
        <v>16.670000000000002</v>
      </c>
      <c r="H2" s="1">
        <v>10.24</v>
      </c>
      <c r="I2" s="1">
        <v>2.6063999999999998</v>
      </c>
      <c r="J2" s="1">
        <v>0.67749999999999999</v>
      </c>
      <c r="K2" s="1">
        <v>0.1242</v>
      </c>
      <c r="L2">
        <v>0.04</v>
      </c>
      <c r="M2" s="11">
        <v>1.4520677751517499</v>
      </c>
      <c r="N2" s="11">
        <v>20.8928378496215</v>
      </c>
      <c r="O2" s="11">
        <v>5.0380601338764501</v>
      </c>
      <c r="P2">
        <v>0.46765467798768107</v>
      </c>
      <c r="Q2">
        <v>6.728772254306441</v>
      </c>
      <c r="R2">
        <v>1.6225636502017551</v>
      </c>
    </row>
    <row r="3" spans="1:18" x14ac:dyDescent="0.3">
      <c r="A3" s="3" t="s">
        <v>27</v>
      </c>
      <c r="B3" s="7" t="s">
        <v>1035</v>
      </c>
      <c r="C3" s="7">
        <v>0</v>
      </c>
      <c r="D3" s="7">
        <v>1</v>
      </c>
      <c r="E3" s="7">
        <v>2</v>
      </c>
      <c r="F3" s="1">
        <v>22.88</v>
      </c>
      <c r="G3" s="1">
        <v>15.35</v>
      </c>
      <c r="H3" s="1">
        <v>9.81</v>
      </c>
      <c r="I3" s="1">
        <v>2.2374000000000001</v>
      </c>
      <c r="J3" s="1">
        <v>0.56599999999999995</v>
      </c>
      <c r="K3" s="1">
        <v>0.1019</v>
      </c>
      <c r="L3">
        <v>0.04</v>
      </c>
      <c r="M3" s="12">
        <v>1.5946797699836801</v>
      </c>
      <c r="N3" s="12">
        <v>16.6413574642262</v>
      </c>
      <c r="O3" s="12">
        <v>5.2740118828384297</v>
      </c>
      <c r="P3">
        <v>0.62597831991508546</v>
      </c>
      <c r="Q3">
        <v>6.5324268750642585</v>
      </c>
      <c r="R3">
        <v>2.0702696301622883</v>
      </c>
    </row>
    <row r="4" spans="1:18" x14ac:dyDescent="0.3">
      <c r="A4" s="2" t="s">
        <v>28</v>
      </c>
      <c r="B4" s="7" t="s">
        <v>1035</v>
      </c>
      <c r="C4" s="7">
        <v>0</v>
      </c>
      <c r="D4" s="7">
        <v>1</v>
      </c>
      <c r="E4" s="7">
        <v>3</v>
      </c>
      <c r="F4" s="1">
        <v>23.97</v>
      </c>
      <c r="G4" s="1">
        <v>15.63</v>
      </c>
      <c r="H4" s="1">
        <v>10.119999999999999</v>
      </c>
      <c r="I4" s="1">
        <v>2.2801</v>
      </c>
      <c r="J4" s="1">
        <v>0.45629999999999998</v>
      </c>
      <c r="K4" s="1">
        <v>8.1900000000000001E-2</v>
      </c>
      <c r="L4">
        <v>3.2000000000000001E-2</v>
      </c>
      <c r="M4" s="11">
        <v>1.7139447265119601</v>
      </c>
      <c r="N4" s="11">
        <v>15.092102374888199</v>
      </c>
      <c r="O4" s="11">
        <v>4.7267000523280496</v>
      </c>
      <c r="P4">
        <v>0.66967315321590626</v>
      </c>
      <c r="Q4">
        <v>5.8967921367084539</v>
      </c>
      <c r="R4">
        <v>1.8468180912637067</v>
      </c>
    </row>
    <row r="5" spans="1:18" x14ac:dyDescent="0.3">
      <c r="A5" s="3" t="s">
        <v>29</v>
      </c>
      <c r="B5" s="7" t="s">
        <v>1035</v>
      </c>
      <c r="C5" s="7">
        <v>0</v>
      </c>
      <c r="D5" s="7">
        <v>1</v>
      </c>
      <c r="E5" s="7">
        <v>4</v>
      </c>
      <c r="F5" s="1">
        <v>24.78</v>
      </c>
      <c r="G5" s="1">
        <v>16.88</v>
      </c>
      <c r="H5" s="1">
        <v>10.45</v>
      </c>
      <c r="I5" s="1">
        <v>2.6379000000000001</v>
      </c>
      <c r="J5" s="1">
        <v>0.63260000000000005</v>
      </c>
      <c r="K5" s="1">
        <v>0.1113</v>
      </c>
      <c r="L5">
        <v>4.4999999999999998E-2</v>
      </c>
      <c r="M5" s="12">
        <v>2.8640685062002902</v>
      </c>
      <c r="N5" s="12">
        <v>17.366245981122901</v>
      </c>
      <c r="O5" s="12">
        <v>5.4653137516966499</v>
      </c>
      <c r="P5">
        <v>1.1579791804044299</v>
      </c>
      <c r="Q5">
        <v>7.0213932538232751</v>
      </c>
      <c r="R5">
        <v>2.209695586939346</v>
      </c>
    </row>
    <row r="6" spans="1:18" x14ac:dyDescent="0.3">
      <c r="A6" s="2" t="s">
        <v>30</v>
      </c>
      <c r="B6" s="7" t="s">
        <v>1035</v>
      </c>
      <c r="C6" s="7">
        <v>0</v>
      </c>
      <c r="D6" s="7">
        <v>1</v>
      </c>
      <c r="E6" s="7">
        <v>5</v>
      </c>
      <c r="F6" s="1">
        <v>23.13</v>
      </c>
      <c r="G6" s="1">
        <v>17.07</v>
      </c>
      <c r="H6" s="1">
        <v>9.74</v>
      </c>
      <c r="I6" s="1">
        <v>2.4272999999999998</v>
      </c>
      <c r="J6" s="1">
        <v>0.49630000000000002</v>
      </c>
      <c r="K6" s="1">
        <v>9.5500000000000002E-2</v>
      </c>
      <c r="L6">
        <v>3.2000000000000001E-2</v>
      </c>
      <c r="M6" s="11">
        <v>2.5802856775959602</v>
      </c>
      <c r="N6" s="11">
        <v>17.554605348988499</v>
      </c>
      <c r="O6" s="11">
        <v>6.07016786134509</v>
      </c>
      <c r="P6">
        <v>0.86459834223110699</v>
      </c>
      <c r="Q6">
        <v>5.8821714258390783</v>
      </c>
      <c r="R6">
        <v>2.0339829483041139</v>
      </c>
    </row>
    <row r="7" spans="1:18" x14ac:dyDescent="0.3">
      <c r="A7" s="3" t="s">
        <v>31</v>
      </c>
      <c r="B7" s="7" t="s">
        <v>1035</v>
      </c>
      <c r="C7" s="7">
        <v>0</v>
      </c>
      <c r="D7" s="7">
        <v>1</v>
      </c>
      <c r="E7" s="7">
        <v>6</v>
      </c>
      <c r="F7" s="1">
        <v>23.62</v>
      </c>
      <c r="G7" s="1">
        <v>15.56</v>
      </c>
      <c r="H7" s="1">
        <v>9.51</v>
      </c>
      <c r="I7" s="1">
        <v>2.3412999999999999</v>
      </c>
      <c r="J7" s="1">
        <v>0.50009999999999999</v>
      </c>
      <c r="K7" s="1">
        <v>8.8400000000000006E-2</v>
      </c>
      <c r="L7">
        <v>3.2000000000000001E-2</v>
      </c>
      <c r="M7" s="12">
        <v>2.7358117672488902</v>
      </c>
      <c r="N7" s="12">
        <v>22.6747189429903</v>
      </c>
      <c r="O7" s="12">
        <v>8.1180175493211095</v>
      </c>
      <c r="P7">
        <v>0.99033910126656655</v>
      </c>
      <c r="Q7">
        <v>8.2080430562860816</v>
      </c>
      <c r="R7">
        <v>2.9386488866320755</v>
      </c>
    </row>
    <row r="8" spans="1:18" x14ac:dyDescent="0.3">
      <c r="A8" s="2" t="s">
        <v>32</v>
      </c>
      <c r="B8" s="7" t="s">
        <v>1035</v>
      </c>
      <c r="C8" s="7">
        <v>0</v>
      </c>
      <c r="D8" s="7">
        <v>1</v>
      </c>
      <c r="E8" s="7">
        <v>7</v>
      </c>
      <c r="F8" s="1">
        <v>25.12</v>
      </c>
      <c r="G8" s="1">
        <v>18.21</v>
      </c>
      <c r="H8" s="1">
        <v>10.23</v>
      </c>
      <c r="I8" s="1">
        <v>3.0163000000000002</v>
      </c>
      <c r="J8" s="1">
        <v>0.70720000000000005</v>
      </c>
      <c r="K8" s="1">
        <v>0.1303</v>
      </c>
      <c r="L8">
        <v>0.04</v>
      </c>
      <c r="M8" s="11">
        <v>2.6516539349586399</v>
      </c>
      <c r="N8" s="11">
        <v>18.6724862353229</v>
      </c>
      <c r="O8" s="11">
        <v>5.1016986015159</v>
      </c>
      <c r="P8">
        <v>0.81401502224363464</v>
      </c>
      <c r="Q8">
        <v>5.732152336246477</v>
      </c>
      <c r="R8">
        <v>1.5661392483548426</v>
      </c>
    </row>
    <row r="9" spans="1:18" x14ac:dyDescent="0.3">
      <c r="A9" s="3" t="s">
        <v>33</v>
      </c>
      <c r="B9" s="7" t="s">
        <v>1035</v>
      </c>
      <c r="C9" s="7">
        <v>0</v>
      </c>
      <c r="D9" s="7">
        <v>1</v>
      </c>
      <c r="E9" s="7">
        <v>8</v>
      </c>
      <c r="F9" s="1">
        <v>22.57</v>
      </c>
      <c r="G9" s="1">
        <v>16.010000000000002</v>
      </c>
      <c r="H9" s="1">
        <v>9.77</v>
      </c>
      <c r="I9" s="1">
        <v>2.2435</v>
      </c>
      <c r="J9" s="1">
        <v>0.46960000000000002</v>
      </c>
      <c r="K9" s="1">
        <v>8.3299999999999999E-2</v>
      </c>
      <c r="L9">
        <v>3.2000000000000001E-2</v>
      </c>
      <c r="M9" s="12">
        <v>2.61254031315194</v>
      </c>
      <c r="N9" s="12">
        <v>15.6188394759607</v>
      </c>
      <c r="O9" s="12">
        <v>6.5937892441485602</v>
      </c>
      <c r="P9">
        <v>1.0036169270211535</v>
      </c>
      <c r="Q9">
        <v>6.0000343725179164</v>
      </c>
      <c r="R9">
        <v>2.5330282810654734</v>
      </c>
    </row>
    <row r="10" spans="1:18" x14ac:dyDescent="0.3">
      <c r="A10" s="2" t="s">
        <v>34</v>
      </c>
      <c r="B10" s="7" t="s">
        <v>1035</v>
      </c>
      <c r="C10" s="7">
        <v>0</v>
      </c>
      <c r="D10" s="7">
        <v>1</v>
      </c>
      <c r="E10" s="7">
        <v>9</v>
      </c>
      <c r="F10" s="1">
        <v>24.47</v>
      </c>
      <c r="G10" s="1">
        <v>17.100000000000001</v>
      </c>
      <c r="H10" s="1">
        <v>9.68</v>
      </c>
      <c r="I10" s="1">
        <v>2.3934000000000002</v>
      </c>
      <c r="J10" s="1">
        <v>0.58630000000000004</v>
      </c>
      <c r="K10" s="1">
        <v>0.10390000000000001</v>
      </c>
      <c r="L10">
        <v>3.2000000000000001E-2</v>
      </c>
      <c r="M10" s="11">
        <v>2.7722838667951599</v>
      </c>
      <c r="N10" s="11">
        <v>22.193162708772601</v>
      </c>
      <c r="O10" s="11">
        <v>9.5991533027485207</v>
      </c>
      <c r="P10">
        <v>0.85383141229494819</v>
      </c>
      <c r="Q10">
        <v>6.8352377928847279</v>
      </c>
      <c r="R10">
        <v>2.9564283511833751</v>
      </c>
    </row>
    <row r="11" spans="1:18" x14ac:dyDescent="0.3">
      <c r="A11" s="3" t="s">
        <v>35</v>
      </c>
      <c r="B11" s="7" t="s">
        <v>1035</v>
      </c>
      <c r="C11" s="7">
        <v>0</v>
      </c>
      <c r="D11" s="7">
        <v>1</v>
      </c>
      <c r="E11" s="7">
        <v>10</v>
      </c>
      <c r="F11" s="1">
        <v>23.72</v>
      </c>
      <c r="G11" s="1">
        <v>15.38</v>
      </c>
      <c r="H11" s="1">
        <v>9.57</v>
      </c>
      <c r="I11" s="1">
        <v>2.1739000000000002</v>
      </c>
      <c r="J11" s="1">
        <v>0.5413</v>
      </c>
      <c r="K11" s="1">
        <v>9.0700000000000003E-2</v>
      </c>
      <c r="L11">
        <v>3.2000000000000001E-2</v>
      </c>
      <c r="M11" s="12">
        <v>2.5058619914955802</v>
      </c>
      <c r="N11" s="12">
        <v>16.652663249105</v>
      </c>
      <c r="O11" s="12">
        <v>8.5720276496439105</v>
      </c>
      <c r="P11">
        <v>0.88409684374706254</v>
      </c>
      <c r="Q11">
        <v>5.8752505399267925</v>
      </c>
      <c r="R11">
        <v>3.0243096448578295</v>
      </c>
    </row>
    <row r="12" spans="1:18" x14ac:dyDescent="0.3">
      <c r="A12" s="2" t="s">
        <v>713</v>
      </c>
      <c r="B12" s="7" t="s">
        <v>1035</v>
      </c>
      <c r="C12" s="7">
        <v>9</v>
      </c>
      <c r="D12" s="7">
        <v>1</v>
      </c>
      <c r="E12" s="7">
        <v>1</v>
      </c>
      <c r="K12" s="1">
        <v>7.5999999999999998E-2</v>
      </c>
      <c r="L12">
        <v>3.2000000000000001E-2</v>
      </c>
      <c r="M12" s="11">
        <v>2.47200071142227</v>
      </c>
      <c r="N12" s="11">
        <v>13.8141563074769</v>
      </c>
      <c r="O12" s="11">
        <v>10.294018726318001</v>
      </c>
      <c r="P12">
        <v>1.0408424048093767</v>
      </c>
      <c r="Q12">
        <v>5.8164868663060627</v>
      </c>
      <c r="R12">
        <v>4.3343236742391582</v>
      </c>
    </row>
    <row r="13" spans="1:18" x14ac:dyDescent="0.3">
      <c r="A13" s="3" t="s">
        <v>714</v>
      </c>
      <c r="B13" s="7" t="s">
        <v>1035</v>
      </c>
      <c r="C13" s="7">
        <v>9</v>
      </c>
      <c r="D13" s="7">
        <v>1</v>
      </c>
      <c r="E13" s="7">
        <v>2</v>
      </c>
      <c r="K13" s="1">
        <v>9.9199999999999997E-2</v>
      </c>
      <c r="L13">
        <v>3.2000000000000001E-2</v>
      </c>
      <c r="M13" s="12">
        <v>1.6919838392058999</v>
      </c>
      <c r="N13" s="12">
        <v>19.799893271835899</v>
      </c>
      <c r="O13" s="12">
        <v>11.8055246753561</v>
      </c>
      <c r="P13">
        <v>0.54580123845351614</v>
      </c>
      <c r="Q13">
        <v>6.3870623457535167</v>
      </c>
      <c r="R13">
        <v>3.8082337662439034</v>
      </c>
    </row>
    <row r="14" spans="1:18" x14ac:dyDescent="0.3">
      <c r="A14" s="3" t="s">
        <v>715</v>
      </c>
      <c r="B14" s="7" t="s">
        <v>1035</v>
      </c>
      <c r="C14" s="7">
        <v>9</v>
      </c>
      <c r="D14" s="7">
        <v>1</v>
      </c>
      <c r="E14" s="7">
        <v>3</v>
      </c>
      <c r="K14" s="1">
        <v>0.11260000000000001</v>
      </c>
      <c r="L14">
        <v>0.04</v>
      </c>
      <c r="M14" s="12">
        <v>2.9062971110310798</v>
      </c>
      <c r="N14" s="12">
        <v>19.892758550183199</v>
      </c>
      <c r="O14" s="12">
        <v>20.529443561751599</v>
      </c>
      <c r="P14">
        <v>1.0324323662632611</v>
      </c>
      <c r="Q14">
        <v>7.0666993073474949</v>
      </c>
      <c r="R14">
        <v>7.2928751551515445</v>
      </c>
    </row>
    <row r="15" spans="1:18" x14ac:dyDescent="0.3">
      <c r="A15" s="2" t="s">
        <v>716</v>
      </c>
      <c r="B15" s="7" t="s">
        <v>1035</v>
      </c>
      <c r="C15" s="7">
        <v>9</v>
      </c>
      <c r="D15" s="7">
        <v>1</v>
      </c>
      <c r="E15" s="7">
        <v>4</v>
      </c>
      <c r="K15" s="1">
        <v>9.3700000000000006E-2</v>
      </c>
      <c r="L15">
        <v>3.2000000000000001E-2</v>
      </c>
      <c r="M15" s="11">
        <v>2.45308147366972</v>
      </c>
      <c r="N15" s="11">
        <v>17.518431192357099</v>
      </c>
      <c r="O15" s="11">
        <v>12.220390611995899</v>
      </c>
      <c r="P15">
        <v>0.83776528449766308</v>
      </c>
      <c r="Q15">
        <v>5.982815348510429</v>
      </c>
      <c r="R15">
        <v>4.1734525035631673</v>
      </c>
    </row>
    <row r="16" spans="1:18" x14ac:dyDescent="0.3">
      <c r="A16" s="3" t="s">
        <v>717</v>
      </c>
      <c r="B16" s="7" t="s">
        <v>1035</v>
      </c>
      <c r="C16" s="7">
        <v>9</v>
      </c>
      <c r="D16" s="7">
        <v>1</v>
      </c>
      <c r="E16" s="7">
        <v>5</v>
      </c>
      <c r="K16" s="1">
        <v>0.1201</v>
      </c>
      <c r="L16">
        <v>0.04</v>
      </c>
      <c r="M16" s="12">
        <v>2.474615532114</v>
      </c>
      <c r="N16" s="12">
        <v>18.361399169896099</v>
      </c>
      <c r="O16" s="12">
        <v>14.892820702423201</v>
      </c>
      <c r="P16">
        <v>0.82418502318534548</v>
      </c>
      <c r="Q16">
        <v>6.1153702480919572</v>
      </c>
      <c r="R16">
        <v>4.9601401173765867</v>
      </c>
    </row>
    <row r="17" spans="1:18" x14ac:dyDescent="0.3">
      <c r="A17" s="2" t="s">
        <v>718</v>
      </c>
      <c r="B17" s="7" t="s">
        <v>1035</v>
      </c>
      <c r="C17" s="7">
        <v>9</v>
      </c>
      <c r="D17" s="7">
        <v>2</v>
      </c>
      <c r="E17" s="7">
        <v>1</v>
      </c>
      <c r="K17" s="1">
        <v>0.10050000000000001</v>
      </c>
      <c r="L17">
        <v>3.2000000000000001E-2</v>
      </c>
      <c r="M17" s="11">
        <v>1.5490695055589601</v>
      </c>
      <c r="N17" s="11">
        <v>18.1456695682025</v>
      </c>
      <c r="O17" s="11">
        <v>16.490308563047002</v>
      </c>
      <c r="P17">
        <v>0.49323606147150967</v>
      </c>
      <c r="Q17">
        <v>5.7777256336565177</v>
      </c>
      <c r="R17">
        <v>5.2506455126119809</v>
      </c>
    </row>
    <row r="18" spans="1:18" x14ac:dyDescent="0.3">
      <c r="A18" s="3" t="s">
        <v>719</v>
      </c>
      <c r="B18" s="7" t="s">
        <v>1035</v>
      </c>
      <c r="C18" s="7">
        <v>9</v>
      </c>
      <c r="D18" s="7">
        <v>2</v>
      </c>
      <c r="E18" s="7">
        <v>2</v>
      </c>
      <c r="K18" s="1">
        <v>9.7100000000000006E-2</v>
      </c>
      <c r="L18">
        <v>3.2000000000000001E-2</v>
      </c>
      <c r="M18" s="12">
        <v>2.4236570589706101</v>
      </c>
      <c r="N18" s="12">
        <v>16.836652545597801</v>
      </c>
      <c r="O18" s="12">
        <v>15.094008789035501</v>
      </c>
      <c r="P18">
        <v>0.79873353127764701</v>
      </c>
      <c r="Q18">
        <v>5.5486393559127656</v>
      </c>
      <c r="R18">
        <v>4.974338632843831</v>
      </c>
    </row>
    <row r="19" spans="1:18" x14ac:dyDescent="0.3">
      <c r="A19" s="2" t="s">
        <v>720</v>
      </c>
      <c r="B19" s="7" t="s">
        <v>1035</v>
      </c>
      <c r="C19" s="7">
        <v>9</v>
      </c>
      <c r="D19" s="7">
        <v>2</v>
      </c>
      <c r="E19" s="7">
        <v>3</v>
      </c>
      <c r="K19" s="1">
        <v>0.1081</v>
      </c>
      <c r="L19">
        <v>3.2000000000000001E-2</v>
      </c>
      <c r="M19" s="11">
        <v>3.4639832937349802</v>
      </c>
      <c r="N19" s="11">
        <v>33.523325026819997</v>
      </c>
      <c r="O19" s="11">
        <v>14.444648525239501</v>
      </c>
      <c r="P19">
        <v>1.0254159611426399</v>
      </c>
      <c r="Q19">
        <v>9.9236484815748369</v>
      </c>
      <c r="R19">
        <v>4.2759366587202958</v>
      </c>
    </row>
    <row r="20" spans="1:18" x14ac:dyDescent="0.3">
      <c r="A20" s="3" t="s">
        <v>721</v>
      </c>
      <c r="B20" s="7" t="s">
        <v>1035</v>
      </c>
      <c r="C20" s="7">
        <v>9</v>
      </c>
      <c r="D20" s="7">
        <v>2</v>
      </c>
      <c r="E20" s="7">
        <v>4</v>
      </c>
      <c r="K20" s="1">
        <v>0.1069</v>
      </c>
      <c r="L20">
        <v>3.2000000000000001E-2</v>
      </c>
      <c r="M20" s="12">
        <v>3.51991637995055</v>
      </c>
      <c r="N20" s="12">
        <v>18.541134611005099</v>
      </c>
      <c r="O20" s="12">
        <v>14.9844211946203</v>
      </c>
      <c r="P20">
        <v>1.0536700108364603</v>
      </c>
      <c r="Q20">
        <v>5.5501993222840333</v>
      </c>
      <c r="R20">
        <v>4.4855142958638883</v>
      </c>
    </row>
    <row r="21" spans="1:18" x14ac:dyDescent="0.3">
      <c r="A21" s="2" t="s">
        <v>722</v>
      </c>
      <c r="B21" s="7" t="s">
        <v>1035</v>
      </c>
      <c r="C21" s="7">
        <v>9</v>
      </c>
      <c r="D21" s="7">
        <v>3</v>
      </c>
      <c r="E21" s="7">
        <v>1</v>
      </c>
      <c r="K21" s="1">
        <v>8.4000000000000005E-2</v>
      </c>
      <c r="L21">
        <v>3.2000000000000001E-2</v>
      </c>
      <c r="M21" s="11">
        <v>2.4959765433424002</v>
      </c>
      <c r="N21" s="11">
        <v>15.257620922521699</v>
      </c>
      <c r="O21" s="11">
        <v>14.4058559925805</v>
      </c>
      <c r="P21">
        <v>0.95084820698758099</v>
      </c>
      <c r="Q21">
        <v>5.812427018103504</v>
      </c>
      <c r="R21">
        <v>5.4879451400306669</v>
      </c>
    </row>
    <row r="22" spans="1:18" x14ac:dyDescent="0.3">
      <c r="A22" s="3" t="s">
        <v>723</v>
      </c>
      <c r="B22" s="7" t="s">
        <v>1035</v>
      </c>
      <c r="C22" s="7">
        <v>9</v>
      </c>
      <c r="D22" s="7">
        <v>3</v>
      </c>
      <c r="E22" s="7">
        <v>2</v>
      </c>
      <c r="K22" s="1">
        <v>0.1067</v>
      </c>
      <c r="L22">
        <v>3.2000000000000001E-2</v>
      </c>
      <c r="M22" s="12">
        <v>3.1020909893770598</v>
      </c>
      <c r="N22" s="12">
        <v>16.4955595470276</v>
      </c>
      <c r="O22" s="12">
        <v>26.2366497365872</v>
      </c>
      <c r="P22">
        <v>0.93033656663604414</v>
      </c>
      <c r="Q22">
        <v>4.9471218885181178</v>
      </c>
      <c r="R22">
        <v>7.8685360034750742</v>
      </c>
    </row>
    <row r="23" spans="1:18" x14ac:dyDescent="0.3">
      <c r="A23" s="2" t="s">
        <v>724</v>
      </c>
      <c r="B23" s="7" t="s">
        <v>1035</v>
      </c>
      <c r="C23" s="7">
        <v>9</v>
      </c>
      <c r="D23" s="7">
        <v>3</v>
      </c>
      <c r="E23" s="7">
        <v>3</v>
      </c>
      <c r="K23" s="1">
        <v>9.6100000000000005E-2</v>
      </c>
      <c r="L23">
        <v>3.2000000000000001E-2</v>
      </c>
      <c r="M23" s="11">
        <v>3.3606457713089601</v>
      </c>
      <c r="N23" s="11">
        <v>23.722184979506299</v>
      </c>
      <c r="O23" s="11">
        <v>22.3827104443961</v>
      </c>
      <c r="P23">
        <v>1.1190495804566776</v>
      </c>
      <c r="Q23">
        <v>7.8991666945286321</v>
      </c>
      <c r="R23">
        <v>7.4531397941797621</v>
      </c>
    </row>
    <row r="24" spans="1:18" x14ac:dyDescent="0.3">
      <c r="A24" s="3" t="s">
        <v>725</v>
      </c>
      <c r="B24" s="7" t="s">
        <v>1035</v>
      </c>
      <c r="C24" s="7">
        <v>9</v>
      </c>
      <c r="D24" s="7">
        <v>3</v>
      </c>
      <c r="E24" s="7">
        <v>4</v>
      </c>
      <c r="K24" s="1">
        <v>6.59E-2</v>
      </c>
      <c r="L24">
        <v>3.2000000000000001E-2</v>
      </c>
      <c r="M24" s="12">
        <v>2.3145472515106</v>
      </c>
      <c r="N24" s="12">
        <v>13.275324057699301</v>
      </c>
      <c r="O24" s="12">
        <v>12.675916185032801</v>
      </c>
      <c r="P24">
        <v>1.1239076183359515</v>
      </c>
      <c r="Q24">
        <v>6.4462878580633935</v>
      </c>
      <c r="R24">
        <v>6.1552248546441524</v>
      </c>
    </row>
    <row r="25" spans="1:18" x14ac:dyDescent="0.3">
      <c r="A25" s="2" t="s">
        <v>726</v>
      </c>
      <c r="B25" s="7" t="s">
        <v>1035</v>
      </c>
      <c r="C25" s="7">
        <v>9</v>
      </c>
      <c r="D25" s="7">
        <v>3</v>
      </c>
      <c r="E25" s="7">
        <v>5</v>
      </c>
      <c r="K25" s="1">
        <v>0.10780000000000001</v>
      </c>
      <c r="L25">
        <v>3.2000000000000001E-2</v>
      </c>
      <c r="M25" s="11">
        <v>2.9566222748178101</v>
      </c>
      <c r="N25" s="11">
        <v>17.9028174997345</v>
      </c>
      <c r="O25" s="11">
        <v>24.0133862982441</v>
      </c>
      <c r="P25">
        <v>0.87766152870287495</v>
      </c>
      <c r="Q25">
        <v>5.314379962815436</v>
      </c>
      <c r="R25">
        <v>7.1282779363989901</v>
      </c>
    </row>
    <row r="26" spans="1:18" x14ac:dyDescent="0.3">
      <c r="A26" s="3" t="s">
        <v>727</v>
      </c>
      <c r="B26" s="7" t="s">
        <v>1035</v>
      </c>
      <c r="C26" s="7">
        <v>9</v>
      </c>
      <c r="D26" s="7">
        <v>4</v>
      </c>
      <c r="E26" s="7">
        <v>1</v>
      </c>
      <c r="K26" s="1">
        <v>8.6099999999999996E-2</v>
      </c>
      <c r="L26">
        <v>3.2000000000000001E-2</v>
      </c>
      <c r="M26" s="12">
        <v>2.19627680613335</v>
      </c>
      <c r="N26" s="12">
        <v>17.0474415609198</v>
      </c>
      <c r="O26" s="12">
        <v>15.8704212818249</v>
      </c>
      <c r="P26">
        <v>0.81627012539218591</v>
      </c>
      <c r="Q26">
        <v>6.3358667822233867</v>
      </c>
      <c r="R26">
        <v>5.8984144136863739</v>
      </c>
    </row>
    <row r="27" spans="1:18" x14ac:dyDescent="0.3">
      <c r="A27" s="2" t="s">
        <v>728</v>
      </c>
      <c r="B27" s="7" t="s">
        <v>1035</v>
      </c>
      <c r="C27" s="7">
        <v>9</v>
      </c>
      <c r="D27" s="7">
        <v>4</v>
      </c>
      <c r="E27" s="7">
        <v>2</v>
      </c>
      <c r="K27" s="1">
        <v>0.1072</v>
      </c>
      <c r="L27">
        <v>3.2000000000000001E-2</v>
      </c>
      <c r="M27" s="11">
        <v>2.5538643289249401</v>
      </c>
      <c r="N27" s="11">
        <v>22.707122924538201</v>
      </c>
      <c r="O27" s="11">
        <v>17.236575414516398</v>
      </c>
      <c r="P27">
        <v>0.76234756087311639</v>
      </c>
      <c r="Q27">
        <v>6.7782456491158811</v>
      </c>
      <c r="R27">
        <v>5.1452463923929539</v>
      </c>
    </row>
    <row r="28" spans="1:18" x14ac:dyDescent="0.3">
      <c r="A28" s="3" t="s">
        <v>729</v>
      </c>
      <c r="B28" s="7" t="s">
        <v>1035</v>
      </c>
      <c r="C28" s="7">
        <v>9</v>
      </c>
      <c r="D28" s="7">
        <v>4</v>
      </c>
      <c r="E28" s="7">
        <v>3</v>
      </c>
      <c r="K28" s="1">
        <v>0.11119999999999999</v>
      </c>
      <c r="L28">
        <v>0.04</v>
      </c>
      <c r="M28" s="12">
        <v>2.55361554500664</v>
      </c>
      <c r="N28" s="12">
        <v>15.0870501667917</v>
      </c>
      <c r="O28" s="12">
        <v>27.834851776062902</v>
      </c>
      <c r="P28">
        <v>0.91856674280814399</v>
      </c>
      <c r="Q28">
        <v>5.4269964628747136</v>
      </c>
      <c r="R28">
        <v>10.012536610094569</v>
      </c>
    </row>
    <row r="29" spans="1:18" x14ac:dyDescent="0.3">
      <c r="A29" s="2" t="s">
        <v>730</v>
      </c>
      <c r="B29" s="7" t="s">
        <v>1035</v>
      </c>
      <c r="C29" s="7">
        <v>9</v>
      </c>
      <c r="D29" s="7">
        <v>4</v>
      </c>
      <c r="E29" s="7">
        <v>4</v>
      </c>
      <c r="K29" s="1">
        <v>0.12690000000000001</v>
      </c>
      <c r="L29">
        <v>0.04</v>
      </c>
      <c r="M29" s="11">
        <v>1.9113591890580801</v>
      </c>
      <c r="N29" s="11">
        <v>14.345074509021201</v>
      </c>
      <c r="O29" s="11">
        <v>20.6449674083015</v>
      </c>
      <c r="P29">
        <v>0.60247728575510795</v>
      </c>
      <c r="Q29">
        <v>4.5216940926780778</v>
      </c>
      <c r="R29">
        <v>6.5074759364228525</v>
      </c>
    </row>
    <row r="30" spans="1:18" x14ac:dyDescent="0.3">
      <c r="A30" s="3" t="s">
        <v>731</v>
      </c>
      <c r="B30" s="7" t="s">
        <v>1035</v>
      </c>
      <c r="C30" s="7">
        <v>9</v>
      </c>
      <c r="D30" s="7">
        <v>4</v>
      </c>
      <c r="E30" s="7">
        <v>5</v>
      </c>
      <c r="K30" s="1">
        <v>8.9200000000000002E-2</v>
      </c>
      <c r="L30">
        <v>3.2000000000000001E-2</v>
      </c>
      <c r="M30" s="12">
        <v>2.5306437509618598</v>
      </c>
      <c r="N30" s="12">
        <v>15.4192506873054</v>
      </c>
      <c r="O30" s="12">
        <v>12.7371621420904</v>
      </c>
      <c r="P30">
        <v>0.90785426043474793</v>
      </c>
      <c r="Q30">
        <v>5.5315697532934172</v>
      </c>
      <c r="R30">
        <v>4.5693855218261525</v>
      </c>
    </row>
    <row r="31" spans="1:18" x14ac:dyDescent="0.3">
      <c r="A31" s="2" t="s">
        <v>732</v>
      </c>
      <c r="B31" s="7" t="s">
        <v>1035</v>
      </c>
      <c r="C31" s="7">
        <v>18</v>
      </c>
      <c r="D31" s="7">
        <v>1</v>
      </c>
      <c r="E31" s="7">
        <v>1</v>
      </c>
      <c r="K31" s="1">
        <v>8.0500000000000002E-2</v>
      </c>
      <c r="L31">
        <v>3.2000000000000001E-2</v>
      </c>
      <c r="M31" s="11">
        <v>2.46747186426578</v>
      </c>
      <c r="N31" s="11">
        <v>18.511746466326802</v>
      </c>
      <c r="O31" s="11">
        <v>17.9150917868131</v>
      </c>
      <c r="P31">
        <v>0.98085838082614862</v>
      </c>
      <c r="Q31">
        <v>7.358706669844195</v>
      </c>
      <c r="R31">
        <v>7.1215271699132829</v>
      </c>
    </row>
    <row r="32" spans="1:18" x14ac:dyDescent="0.3">
      <c r="A32" s="3" t="s">
        <v>733</v>
      </c>
      <c r="B32" s="7" t="s">
        <v>1035</v>
      </c>
      <c r="C32" s="7">
        <v>18</v>
      </c>
      <c r="D32" s="7">
        <v>1</v>
      </c>
      <c r="E32" s="7">
        <v>2</v>
      </c>
      <c r="K32" s="1">
        <v>7.1900000000000006E-2</v>
      </c>
      <c r="L32">
        <v>3.2000000000000001E-2</v>
      </c>
      <c r="M32" s="12">
        <v>2.3510574471091199</v>
      </c>
      <c r="N32" s="12">
        <v>12.7616289635613</v>
      </c>
      <c r="O32" s="12">
        <v>17.073542281597501</v>
      </c>
      <c r="P32">
        <v>1.0463677094226957</v>
      </c>
      <c r="Q32">
        <v>5.6797235999160165</v>
      </c>
      <c r="R32">
        <v>7.5987948958431142</v>
      </c>
    </row>
    <row r="33" spans="1:18" x14ac:dyDescent="0.3">
      <c r="A33" s="2" t="s">
        <v>734</v>
      </c>
      <c r="B33" s="7" t="s">
        <v>1035</v>
      </c>
      <c r="C33" s="7">
        <v>18</v>
      </c>
      <c r="D33" s="7">
        <v>1</v>
      </c>
      <c r="E33" s="7">
        <v>3</v>
      </c>
      <c r="K33" s="1">
        <v>9.9099999999999994E-2</v>
      </c>
      <c r="L33">
        <v>3.2000000000000001E-2</v>
      </c>
      <c r="M33" s="11">
        <v>2.0383075165990201</v>
      </c>
      <c r="N33" s="11">
        <v>21.005347891470802</v>
      </c>
      <c r="O33" s="11">
        <v>22.3187295091791</v>
      </c>
      <c r="P33">
        <v>0.65818204370503175</v>
      </c>
      <c r="Q33">
        <v>6.7827561304446586</v>
      </c>
      <c r="R33">
        <v>7.2068551391900231</v>
      </c>
    </row>
    <row r="34" spans="1:18" x14ac:dyDescent="0.3">
      <c r="A34" s="3" t="s">
        <v>735</v>
      </c>
      <c r="B34" s="7" t="s">
        <v>1035</v>
      </c>
      <c r="C34" s="7">
        <v>18</v>
      </c>
      <c r="D34" s="7">
        <v>1</v>
      </c>
      <c r="E34" s="7">
        <v>4</v>
      </c>
      <c r="K34" s="1">
        <v>7.7299999999999994E-2</v>
      </c>
      <c r="L34">
        <v>3.2000000000000001E-2</v>
      </c>
      <c r="M34" s="12">
        <v>2.45124892776286</v>
      </c>
      <c r="N34" s="12">
        <v>19.468594638763701</v>
      </c>
      <c r="O34" s="12">
        <v>17.863733031727701</v>
      </c>
      <c r="P34">
        <v>1.0147472922174843</v>
      </c>
      <c r="Q34">
        <v>8.0594440936667322</v>
      </c>
      <c r="R34">
        <v>7.3950770635871468</v>
      </c>
    </row>
    <row r="35" spans="1:18" x14ac:dyDescent="0.3">
      <c r="A35" s="2" t="s">
        <v>736</v>
      </c>
      <c r="B35" s="7" t="s">
        <v>1035</v>
      </c>
      <c r="C35" s="7">
        <v>18</v>
      </c>
      <c r="D35" s="7">
        <v>1</v>
      </c>
      <c r="E35" s="7">
        <v>5</v>
      </c>
      <c r="K35" s="1">
        <v>8.6599999999999996E-2</v>
      </c>
      <c r="L35">
        <v>3.2000000000000001E-2</v>
      </c>
      <c r="M35" s="11">
        <v>2.9240656987737901</v>
      </c>
      <c r="N35" s="11">
        <v>18.104812300059798</v>
      </c>
      <c r="O35" s="11">
        <v>26.797361646314901</v>
      </c>
      <c r="P35">
        <v>1.0804861704475899</v>
      </c>
      <c r="Q35">
        <v>6.6899999261190946</v>
      </c>
      <c r="R35">
        <v>9.902027398176406</v>
      </c>
    </row>
    <row r="36" spans="1:18" x14ac:dyDescent="0.3">
      <c r="A36" s="3" t="s">
        <v>737</v>
      </c>
      <c r="B36" s="7" t="s">
        <v>1035</v>
      </c>
      <c r="C36" s="7">
        <v>18</v>
      </c>
      <c r="D36" s="7">
        <v>2</v>
      </c>
      <c r="E36" s="7">
        <v>1</v>
      </c>
      <c r="K36" s="1">
        <v>7.6600000000000001E-2</v>
      </c>
      <c r="L36">
        <v>3.2000000000000001E-2</v>
      </c>
      <c r="M36" s="12">
        <v>2.35277623891024</v>
      </c>
      <c r="N36" s="12">
        <v>20.127048037408802</v>
      </c>
      <c r="O36" s="12">
        <v>18.927479131301201</v>
      </c>
      <c r="P36">
        <v>0.98288302408782879</v>
      </c>
      <c r="Q36">
        <v>8.4081662819462366</v>
      </c>
      <c r="R36">
        <v>7.9070408903608156</v>
      </c>
    </row>
    <row r="37" spans="1:18" x14ac:dyDescent="0.3">
      <c r="A37" s="2" t="s">
        <v>738</v>
      </c>
      <c r="B37" s="7" t="s">
        <v>1035</v>
      </c>
      <c r="C37" s="7">
        <v>18</v>
      </c>
      <c r="D37" s="7">
        <v>2</v>
      </c>
      <c r="E37" s="7">
        <v>2</v>
      </c>
      <c r="K37" s="1">
        <v>8.7599999999999997E-2</v>
      </c>
      <c r="L37">
        <v>3.2000000000000001E-2</v>
      </c>
      <c r="M37" s="11">
        <v>3.4483369537650201</v>
      </c>
      <c r="N37" s="11">
        <v>19.2054880112678</v>
      </c>
      <c r="O37" s="11">
        <v>28.597506748132101</v>
      </c>
      <c r="P37">
        <v>1.2596664671287745</v>
      </c>
      <c r="Q37">
        <v>7.015703383111525</v>
      </c>
      <c r="R37">
        <v>10.446577807536842</v>
      </c>
    </row>
    <row r="38" spans="1:18" x14ac:dyDescent="0.3">
      <c r="A38" s="3" t="s">
        <v>739</v>
      </c>
      <c r="B38" s="7" t="s">
        <v>1035</v>
      </c>
      <c r="C38" s="7">
        <v>18</v>
      </c>
      <c r="D38" s="7">
        <v>2</v>
      </c>
      <c r="E38" s="7">
        <v>3</v>
      </c>
      <c r="K38" s="1">
        <v>9.9000000000000005E-2</v>
      </c>
      <c r="L38">
        <v>3.2000000000000001E-2</v>
      </c>
      <c r="M38" s="12">
        <v>2.7578123150607401</v>
      </c>
      <c r="N38" s="12">
        <v>18.065985666147299</v>
      </c>
      <c r="O38" s="12">
        <v>12.496751928722601</v>
      </c>
      <c r="P38">
        <v>0.89141408163579472</v>
      </c>
      <c r="Q38">
        <v>5.8395105183506422</v>
      </c>
      <c r="R38">
        <v>4.0393541587790223</v>
      </c>
    </row>
    <row r="39" spans="1:18" x14ac:dyDescent="0.3">
      <c r="A39" s="2" t="s">
        <v>740</v>
      </c>
      <c r="B39" s="7" t="s">
        <v>1035</v>
      </c>
      <c r="C39" s="7">
        <v>18</v>
      </c>
      <c r="D39" s="7">
        <v>2</v>
      </c>
      <c r="E39" s="7">
        <v>4</v>
      </c>
      <c r="K39" s="1">
        <v>0.12089999999999999</v>
      </c>
      <c r="L39">
        <v>0.04</v>
      </c>
      <c r="M39" s="11">
        <v>2.5778197891718699</v>
      </c>
      <c r="N39" s="11">
        <v>20.844016437583399</v>
      </c>
      <c r="O39" s="11">
        <v>20.762739992891301</v>
      </c>
      <c r="P39">
        <v>0.85287668789805471</v>
      </c>
      <c r="Q39">
        <v>6.8962833540391726</v>
      </c>
      <c r="R39">
        <v>6.8693928843312833</v>
      </c>
    </row>
    <row r="40" spans="1:18" x14ac:dyDescent="0.3">
      <c r="A40" s="3" t="s">
        <v>741</v>
      </c>
      <c r="B40" s="7" t="s">
        <v>1035</v>
      </c>
      <c r="C40" s="7">
        <v>18</v>
      </c>
      <c r="D40" s="7">
        <v>2</v>
      </c>
      <c r="E40" s="7">
        <v>5</v>
      </c>
      <c r="K40" s="1">
        <v>0.114</v>
      </c>
      <c r="L40">
        <v>0.04</v>
      </c>
      <c r="M40" s="12">
        <v>2.7162348470299</v>
      </c>
      <c r="N40" s="12">
        <v>14.595837773071199</v>
      </c>
      <c r="O40" s="12">
        <v>19.091137583452699</v>
      </c>
      <c r="P40">
        <v>0.95306485860698242</v>
      </c>
      <c r="Q40">
        <v>5.1213465870425257</v>
      </c>
      <c r="R40">
        <v>6.6986447661237545</v>
      </c>
    </row>
    <row r="41" spans="1:18" x14ac:dyDescent="0.3">
      <c r="A41" s="2" t="s">
        <v>742</v>
      </c>
      <c r="B41" s="7" t="s">
        <v>1035</v>
      </c>
      <c r="C41" s="7">
        <v>18</v>
      </c>
      <c r="D41" s="7">
        <v>3</v>
      </c>
      <c r="E41" s="7">
        <v>1</v>
      </c>
      <c r="K41" s="1">
        <v>0.10680000000000001</v>
      </c>
      <c r="L41">
        <v>3.2000000000000001E-2</v>
      </c>
      <c r="M41" s="11">
        <v>2.5202780358078698</v>
      </c>
      <c r="N41" s="11">
        <v>19.076336967723901</v>
      </c>
      <c r="O41" s="11">
        <v>30.8393267164885</v>
      </c>
      <c r="P41">
        <v>0.75513948638438044</v>
      </c>
      <c r="Q41">
        <v>5.7157563948236403</v>
      </c>
      <c r="R41">
        <v>9.2402477053149052</v>
      </c>
    </row>
    <row r="42" spans="1:18" x14ac:dyDescent="0.3">
      <c r="A42" s="3" t="s">
        <v>743</v>
      </c>
      <c r="B42" s="7" t="s">
        <v>1035</v>
      </c>
      <c r="C42" s="7">
        <v>18</v>
      </c>
      <c r="D42" s="7">
        <v>3</v>
      </c>
      <c r="E42" s="7">
        <v>2</v>
      </c>
      <c r="K42" s="1">
        <v>9.7799999999999998E-2</v>
      </c>
      <c r="L42">
        <v>3.2000000000000001E-2</v>
      </c>
      <c r="M42" s="12">
        <v>3.51759882189282</v>
      </c>
      <c r="N42" s="12">
        <v>23.8990258522633</v>
      </c>
      <c r="O42" s="12">
        <v>33.483610896418597</v>
      </c>
      <c r="P42">
        <v>1.1509525797604319</v>
      </c>
      <c r="Q42">
        <v>7.81972216024975</v>
      </c>
      <c r="R42">
        <v>10.955782706394633</v>
      </c>
    </row>
    <row r="43" spans="1:18" x14ac:dyDescent="0.3">
      <c r="A43" s="2" t="s">
        <v>744</v>
      </c>
      <c r="B43" s="7" t="s">
        <v>1035</v>
      </c>
      <c r="C43" s="7">
        <v>18</v>
      </c>
      <c r="D43" s="7">
        <v>3</v>
      </c>
      <c r="E43" s="7">
        <v>3</v>
      </c>
      <c r="K43" s="1">
        <v>9.98E-2</v>
      </c>
      <c r="L43">
        <v>3.2000000000000001E-2</v>
      </c>
      <c r="M43" s="11">
        <v>2.6486339824108498</v>
      </c>
      <c r="N43" s="11">
        <v>19.3952005905163</v>
      </c>
      <c r="O43" s="11">
        <v>38.938813311045102</v>
      </c>
      <c r="P43">
        <v>0.84926139716580351</v>
      </c>
      <c r="Q43">
        <v>6.2189019929511185</v>
      </c>
      <c r="R43">
        <v>12.485391041617667</v>
      </c>
    </row>
    <row r="44" spans="1:18" x14ac:dyDescent="0.3">
      <c r="A44" s="3" t="s">
        <v>745</v>
      </c>
      <c r="B44" s="7" t="s">
        <v>1035</v>
      </c>
      <c r="C44" s="7">
        <v>18</v>
      </c>
      <c r="D44" s="7">
        <v>3</v>
      </c>
      <c r="E44" s="7">
        <v>4</v>
      </c>
      <c r="K44" s="1">
        <v>8.1000000000000003E-2</v>
      </c>
      <c r="L44">
        <v>3.2000000000000001E-2</v>
      </c>
      <c r="M44" s="12">
        <v>2.7675397547260601</v>
      </c>
      <c r="N44" s="12">
        <v>19.8133379676154</v>
      </c>
      <c r="O44" s="12">
        <v>32.055465383098301</v>
      </c>
      <c r="P44">
        <v>1.0933490389041225</v>
      </c>
      <c r="Q44">
        <v>7.8274915427616394</v>
      </c>
      <c r="R44">
        <v>12.663887558754885</v>
      </c>
    </row>
    <row r="45" spans="1:18" x14ac:dyDescent="0.3">
      <c r="A45" s="2" t="s">
        <v>746</v>
      </c>
      <c r="B45" s="7" t="s">
        <v>1035</v>
      </c>
      <c r="C45" s="7">
        <v>18</v>
      </c>
      <c r="D45" s="7">
        <v>3</v>
      </c>
      <c r="E45" s="7">
        <v>5</v>
      </c>
      <c r="K45" s="1">
        <v>0.10730000000000001</v>
      </c>
      <c r="L45">
        <v>3.2000000000000001E-2</v>
      </c>
      <c r="M45" s="11">
        <v>2.7310176725157498</v>
      </c>
      <c r="N45" s="11">
        <v>19.489990522773301</v>
      </c>
      <c r="O45" s="11">
        <v>20.723436904732299</v>
      </c>
      <c r="P45">
        <v>0.81446938975306604</v>
      </c>
      <c r="Q45">
        <v>5.8124855240330442</v>
      </c>
      <c r="R45">
        <v>6.1803353303954669</v>
      </c>
    </row>
    <row r="46" spans="1:18" x14ac:dyDescent="0.3">
      <c r="A46" s="3" t="s">
        <v>747</v>
      </c>
      <c r="B46" s="7" t="s">
        <v>1035</v>
      </c>
      <c r="C46" s="7">
        <v>18</v>
      </c>
      <c r="D46" s="7">
        <v>4</v>
      </c>
      <c r="E46" s="7">
        <v>1</v>
      </c>
      <c r="K46" s="1">
        <v>8.6800000000000002E-2</v>
      </c>
      <c r="L46">
        <v>3.2000000000000001E-2</v>
      </c>
      <c r="M46" s="12">
        <v>1.7999282119104201</v>
      </c>
      <c r="N46" s="12">
        <v>20.107296245576499</v>
      </c>
      <c r="O46" s="12">
        <v>33.600094539050801</v>
      </c>
      <c r="P46">
        <v>0.66356800439093822</v>
      </c>
      <c r="Q46">
        <v>7.412828108968295</v>
      </c>
      <c r="R46">
        <v>12.387131627299834</v>
      </c>
    </row>
    <row r="47" spans="1:18" x14ac:dyDescent="0.3">
      <c r="A47" s="2" t="s">
        <v>748</v>
      </c>
      <c r="B47" s="7" t="s">
        <v>1035</v>
      </c>
      <c r="C47" s="7">
        <v>18</v>
      </c>
      <c r="D47" s="7">
        <v>4</v>
      </c>
      <c r="E47" s="7">
        <v>2</v>
      </c>
      <c r="K47" s="1">
        <v>0.1159</v>
      </c>
      <c r="L47">
        <v>0.04</v>
      </c>
      <c r="M47" s="11">
        <v>2.43535090513946</v>
      </c>
      <c r="N47" s="11">
        <v>21.460550719278402</v>
      </c>
      <c r="O47" s="11">
        <v>24.324394234769098</v>
      </c>
      <c r="P47">
        <v>0.84050074379273854</v>
      </c>
      <c r="Q47">
        <v>7.4065748815456081</v>
      </c>
      <c r="R47">
        <v>8.3949591836994291</v>
      </c>
    </row>
    <row r="48" spans="1:18" x14ac:dyDescent="0.3">
      <c r="A48" s="3" t="s">
        <v>749</v>
      </c>
      <c r="B48" s="7" t="s">
        <v>1035</v>
      </c>
      <c r="C48" s="7">
        <v>18</v>
      </c>
      <c r="D48" s="7">
        <v>4</v>
      </c>
      <c r="E48" s="7">
        <v>3</v>
      </c>
      <c r="K48" s="1">
        <v>8.1299999999999997E-2</v>
      </c>
      <c r="L48">
        <v>3.2000000000000001E-2</v>
      </c>
      <c r="M48" s="12">
        <v>2.8962953173682799</v>
      </c>
      <c r="N48" s="12">
        <v>15.434064420677201</v>
      </c>
      <c r="O48" s="12">
        <v>27.640873950979898</v>
      </c>
      <c r="P48">
        <v>1.1399932368485237</v>
      </c>
      <c r="Q48">
        <v>6.0749085050635969</v>
      </c>
      <c r="R48">
        <v>10.879556782673514</v>
      </c>
    </row>
    <row r="49" spans="1:18" x14ac:dyDescent="0.3">
      <c r="A49" s="2" t="s">
        <v>750</v>
      </c>
      <c r="B49" s="7" t="s">
        <v>1035</v>
      </c>
      <c r="C49" s="7">
        <v>18</v>
      </c>
      <c r="D49" s="7">
        <v>4</v>
      </c>
      <c r="E49" s="7">
        <v>4</v>
      </c>
      <c r="K49" s="1">
        <v>9.2600000000000002E-2</v>
      </c>
      <c r="L49">
        <v>3.2000000000000001E-2</v>
      </c>
      <c r="M49" s="11">
        <v>2.3314140472670299</v>
      </c>
      <c r="N49" s="11">
        <v>15.3303902360636</v>
      </c>
      <c r="O49" s="11">
        <v>33.962896597380102</v>
      </c>
      <c r="P49">
        <v>0.80567224095620904</v>
      </c>
      <c r="Q49">
        <v>5.2977590448599914</v>
      </c>
      <c r="R49">
        <v>11.736638133003924</v>
      </c>
    </row>
    <row r="50" spans="1:18" x14ac:dyDescent="0.3">
      <c r="A50" s="3" t="s">
        <v>751</v>
      </c>
      <c r="B50" s="7" t="s">
        <v>1035</v>
      </c>
      <c r="C50" s="7">
        <v>18</v>
      </c>
      <c r="D50" s="7">
        <v>4</v>
      </c>
      <c r="E50" s="7">
        <v>5</v>
      </c>
      <c r="K50" s="1">
        <v>8.2199999999999995E-2</v>
      </c>
      <c r="L50">
        <v>3.2000000000000001E-2</v>
      </c>
      <c r="M50" s="12">
        <v>2.9848385277242899</v>
      </c>
      <c r="N50" s="12">
        <v>18.020939871858499</v>
      </c>
      <c r="O50" s="12">
        <v>40.504703541975601</v>
      </c>
      <c r="P50">
        <v>1.1619809353671202</v>
      </c>
      <c r="Q50">
        <v>7.0154510450057419</v>
      </c>
      <c r="R50">
        <v>15.768254420233811</v>
      </c>
    </row>
    <row r="51" spans="1:18" x14ac:dyDescent="0.3">
      <c r="A51" s="2" t="s">
        <v>36</v>
      </c>
      <c r="B51" s="7" t="s">
        <v>1034</v>
      </c>
      <c r="C51" s="7">
        <v>0</v>
      </c>
      <c r="D51" s="7">
        <v>1</v>
      </c>
      <c r="E51" s="7">
        <v>1</v>
      </c>
      <c r="F51" s="1">
        <v>21.12</v>
      </c>
      <c r="G51" s="1">
        <v>13.94</v>
      </c>
      <c r="H51" s="1">
        <v>8.27</v>
      </c>
      <c r="I51" s="1">
        <v>1.5074000000000001</v>
      </c>
      <c r="J51" s="1">
        <v>0.35639999999999999</v>
      </c>
      <c r="K51" s="1">
        <v>6.6799999999999998E-2</v>
      </c>
      <c r="L51">
        <v>3.2000000000000001E-2</v>
      </c>
      <c r="M51" s="11">
        <v>1.5983642818305099</v>
      </c>
      <c r="N51" s="11">
        <v>11.620609048415201</v>
      </c>
      <c r="O51" s="11">
        <v>5.0444916686513102</v>
      </c>
      <c r="P51">
        <v>0.76568348830204069</v>
      </c>
      <c r="Q51">
        <v>5.5667588255881206</v>
      </c>
      <c r="R51">
        <v>2.4165229550425438</v>
      </c>
    </row>
    <row r="52" spans="1:18" x14ac:dyDescent="0.3">
      <c r="A52" s="2" t="s">
        <v>37</v>
      </c>
      <c r="B52" s="7" t="s">
        <v>1034</v>
      </c>
      <c r="C52" s="7">
        <v>0</v>
      </c>
      <c r="D52" s="7">
        <v>1</v>
      </c>
      <c r="E52" s="7">
        <v>2</v>
      </c>
      <c r="F52" s="1">
        <v>20.420000000000002</v>
      </c>
      <c r="G52" s="1">
        <v>15.08</v>
      </c>
      <c r="H52" s="1">
        <v>8.9600000000000009</v>
      </c>
      <c r="I52" s="1">
        <v>1.7133</v>
      </c>
      <c r="J52" s="1">
        <v>0.33090000000000003</v>
      </c>
      <c r="K52" s="1">
        <v>5.57E-2</v>
      </c>
      <c r="L52">
        <v>3.2000000000000001E-2</v>
      </c>
      <c r="M52" s="11">
        <v>2.2734919316922002</v>
      </c>
      <c r="N52" s="11">
        <v>15.445393348676401</v>
      </c>
      <c r="O52" s="11">
        <v>7.6132786210361596</v>
      </c>
      <c r="P52">
        <v>1.3061354006131132</v>
      </c>
      <c r="Q52">
        <v>8.8734755324532291</v>
      </c>
      <c r="R52">
        <v>4.3738764070584759</v>
      </c>
    </row>
    <row r="53" spans="1:18" x14ac:dyDescent="0.3">
      <c r="A53" s="3" t="s">
        <v>38</v>
      </c>
      <c r="B53" s="7" t="s">
        <v>1034</v>
      </c>
      <c r="C53" s="7">
        <v>0</v>
      </c>
      <c r="D53" s="7">
        <v>1</v>
      </c>
      <c r="E53" s="7">
        <v>3</v>
      </c>
      <c r="F53" s="1">
        <v>22.35</v>
      </c>
      <c r="G53" s="1">
        <v>15.99</v>
      </c>
      <c r="H53" s="1">
        <v>8.94</v>
      </c>
      <c r="I53" s="1">
        <v>1.9220999999999999</v>
      </c>
      <c r="J53" s="1">
        <v>0.3881</v>
      </c>
      <c r="K53" s="1">
        <v>6.7500000000000004E-2</v>
      </c>
      <c r="L53">
        <v>3.2000000000000001E-2</v>
      </c>
      <c r="M53" s="12">
        <v>2.04103248217183</v>
      </c>
      <c r="N53" s="12">
        <v>11.692673133943099</v>
      </c>
      <c r="O53" s="12">
        <v>4.2831891080423299</v>
      </c>
      <c r="P53">
        <v>0.96760058414071937</v>
      </c>
      <c r="Q53">
        <v>5.5431931894248772</v>
      </c>
      <c r="R53">
        <v>2.0305489104793266</v>
      </c>
    </row>
    <row r="54" spans="1:18" x14ac:dyDescent="0.3">
      <c r="A54" s="2" t="s">
        <v>39</v>
      </c>
      <c r="B54" s="7" t="s">
        <v>1034</v>
      </c>
      <c r="C54" s="7">
        <v>0</v>
      </c>
      <c r="D54" s="7">
        <v>1</v>
      </c>
      <c r="E54" s="7">
        <v>4</v>
      </c>
      <c r="F54" s="1">
        <v>20.57</v>
      </c>
      <c r="G54" s="1">
        <v>14.47</v>
      </c>
      <c r="H54" s="1">
        <v>8.44</v>
      </c>
      <c r="I54" s="1">
        <v>1.6462000000000001</v>
      </c>
      <c r="J54" s="1">
        <v>0.42220000000000002</v>
      </c>
      <c r="K54" s="1">
        <v>7.6499999999999999E-2</v>
      </c>
      <c r="L54">
        <v>3.2000000000000001E-2</v>
      </c>
      <c r="M54" s="11">
        <v>1.63191731128479</v>
      </c>
      <c r="N54" s="11">
        <v>13.4342343291187</v>
      </c>
      <c r="O54" s="11">
        <v>6.9171286882757999</v>
      </c>
      <c r="P54">
        <v>0.68263207792304947</v>
      </c>
      <c r="Q54">
        <v>5.6195490004156659</v>
      </c>
      <c r="R54">
        <v>2.8934394513049098</v>
      </c>
    </row>
    <row r="55" spans="1:18" x14ac:dyDescent="0.3">
      <c r="A55" s="3" t="s">
        <v>40</v>
      </c>
      <c r="B55" s="7" t="s">
        <v>1034</v>
      </c>
      <c r="C55" s="7">
        <v>0</v>
      </c>
      <c r="D55" s="7">
        <v>1</v>
      </c>
      <c r="E55" s="7">
        <v>5</v>
      </c>
      <c r="F55" s="1">
        <v>22.07</v>
      </c>
      <c r="G55" s="1">
        <v>14.99</v>
      </c>
      <c r="H55" s="1">
        <v>9.09</v>
      </c>
      <c r="I55" s="1">
        <v>1.8597999999999999</v>
      </c>
      <c r="J55" s="1">
        <v>0.44790000000000002</v>
      </c>
      <c r="K55" s="1">
        <v>7.7799999999999994E-2</v>
      </c>
      <c r="L55">
        <v>3.2000000000000001E-2</v>
      </c>
      <c r="M55" s="12">
        <v>2.7670638438616</v>
      </c>
      <c r="N55" s="12">
        <v>19.644477070116999</v>
      </c>
      <c r="O55" s="12">
        <v>10.645850097066299</v>
      </c>
      <c r="P55">
        <v>1.1381239460613266</v>
      </c>
      <c r="Q55">
        <v>8.0799905686856555</v>
      </c>
      <c r="R55">
        <v>4.3787558239861388</v>
      </c>
    </row>
    <row r="56" spans="1:18" x14ac:dyDescent="0.3">
      <c r="A56" s="2" t="s">
        <v>41</v>
      </c>
      <c r="B56" s="7" t="s">
        <v>1034</v>
      </c>
      <c r="C56" s="7">
        <v>0</v>
      </c>
      <c r="D56" s="7">
        <v>1</v>
      </c>
      <c r="E56" s="7">
        <v>6</v>
      </c>
      <c r="F56" s="1">
        <v>21.01</v>
      </c>
      <c r="G56" s="1">
        <v>14.8</v>
      </c>
      <c r="H56" s="1">
        <v>8.6199999999999992</v>
      </c>
      <c r="I56" s="1">
        <v>1.7081</v>
      </c>
      <c r="J56" s="1">
        <v>0.34010000000000001</v>
      </c>
      <c r="K56" s="1">
        <v>5.4399999999999997E-2</v>
      </c>
      <c r="L56">
        <v>3.2000000000000001E-2</v>
      </c>
      <c r="M56" s="11">
        <v>1.88410466602138</v>
      </c>
      <c r="N56" s="11">
        <v>13.875380915584699</v>
      </c>
      <c r="O56" s="11">
        <v>5.4833197717357596</v>
      </c>
      <c r="P56">
        <v>1.1082968623655178</v>
      </c>
      <c r="Q56">
        <v>8.1619887738733539</v>
      </c>
      <c r="R56">
        <v>3.2254822186680943</v>
      </c>
    </row>
    <row r="57" spans="1:18" x14ac:dyDescent="0.3">
      <c r="A57" s="3" t="s">
        <v>42</v>
      </c>
      <c r="B57" s="7" t="s">
        <v>1034</v>
      </c>
      <c r="C57" s="7">
        <v>0</v>
      </c>
      <c r="D57" s="7">
        <v>1</v>
      </c>
      <c r="E57" s="7">
        <v>7</v>
      </c>
      <c r="F57" s="1">
        <v>20.8</v>
      </c>
      <c r="G57" s="1">
        <v>15.04</v>
      </c>
      <c r="H57" s="1">
        <v>8.33</v>
      </c>
      <c r="I57" s="1">
        <v>1.6026</v>
      </c>
      <c r="J57" s="1">
        <v>0.33829999999999999</v>
      </c>
      <c r="K57" s="1">
        <v>6.2100000000000002E-2</v>
      </c>
      <c r="L57">
        <v>3.2000000000000001E-2</v>
      </c>
      <c r="M57" s="12">
        <v>1.6432233756500501</v>
      </c>
      <c r="N57" s="12">
        <v>14.3841585357684</v>
      </c>
      <c r="O57" s="12">
        <v>4.5812326728403701</v>
      </c>
      <c r="P57">
        <v>0.84674956555236069</v>
      </c>
      <c r="Q57">
        <v>7.4121267817164052</v>
      </c>
      <c r="R57">
        <v>2.3606996059724934</v>
      </c>
    </row>
    <row r="58" spans="1:18" x14ac:dyDescent="0.3">
      <c r="A58" s="2" t="s">
        <v>43</v>
      </c>
      <c r="B58" s="7" t="s">
        <v>1034</v>
      </c>
      <c r="C58" s="7">
        <v>0</v>
      </c>
      <c r="D58" s="7">
        <v>1</v>
      </c>
      <c r="E58" s="7">
        <v>8</v>
      </c>
      <c r="F58" s="1">
        <v>21.64</v>
      </c>
      <c r="G58" s="1">
        <v>15.03</v>
      </c>
      <c r="H58" s="1">
        <v>8.9600000000000009</v>
      </c>
      <c r="I58" s="1">
        <v>1.7262</v>
      </c>
      <c r="J58" s="1">
        <v>0.4244</v>
      </c>
      <c r="K58" s="1">
        <v>7.4899999999999994E-2</v>
      </c>
      <c r="L58">
        <v>3.2000000000000001E-2</v>
      </c>
      <c r="M58" s="11">
        <v>2.2289729293866301</v>
      </c>
      <c r="N58" s="11">
        <v>14.668649972003999</v>
      </c>
      <c r="O58" s="11">
        <v>4.9438731472355197</v>
      </c>
      <c r="P58">
        <v>0.9522981807793347</v>
      </c>
      <c r="Q58">
        <v>6.2669799613368227</v>
      </c>
      <c r="R58">
        <v>2.1122021456813971</v>
      </c>
    </row>
    <row r="59" spans="1:18" x14ac:dyDescent="0.3">
      <c r="A59" s="3" t="s">
        <v>44</v>
      </c>
      <c r="B59" s="7" t="s">
        <v>1034</v>
      </c>
      <c r="C59" s="7">
        <v>0</v>
      </c>
      <c r="D59" s="7">
        <v>1</v>
      </c>
      <c r="E59" s="7">
        <v>9</v>
      </c>
      <c r="F59" s="1">
        <v>20.5</v>
      </c>
      <c r="G59" s="1">
        <v>14.2</v>
      </c>
      <c r="H59" s="1">
        <v>9.44</v>
      </c>
      <c r="I59" s="1">
        <v>1.7915000000000001</v>
      </c>
      <c r="J59" s="1">
        <v>0.33150000000000002</v>
      </c>
      <c r="K59" s="1">
        <v>5.7599999999999998E-2</v>
      </c>
      <c r="L59">
        <v>3.2000000000000001E-2</v>
      </c>
      <c r="M59" s="12">
        <v>1.69151702296872</v>
      </c>
      <c r="N59" s="12">
        <v>9.7500594577839408</v>
      </c>
      <c r="O59" s="12">
        <v>5.3386378871520801</v>
      </c>
      <c r="P59">
        <v>0.9397316794270667</v>
      </c>
      <c r="Q59">
        <v>5.4166996987688565</v>
      </c>
      <c r="R59">
        <v>2.9659099373067113</v>
      </c>
    </row>
    <row r="60" spans="1:18" x14ac:dyDescent="0.3">
      <c r="A60" s="4" t="s">
        <v>45</v>
      </c>
      <c r="B60" s="7" t="s">
        <v>1034</v>
      </c>
      <c r="C60" s="7">
        <v>0</v>
      </c>
      <c r="D60" s="7">
        <v>1</v>
      </c>
      <c r="E60" s="7">
        <v>10</v>
      </c>
      <c r="F60" s="1">
        <v>19.52</v>
      </c>
      <c r="G60" s="1">
        <v>14.34</v>
      </c>
      <c r="H60" s="1">
        <v>8.2799999999999994</v>
      </c>
      <c r="I60" s="1">
        <v>1.3878999999999999</v>
      </c>
      <c r="J60" s="1">
        <v>0.2878</v>
      </c>
      <c r="K60" s="1">
        <v>4.7100000000000003E-2</v>
      </c>
      <c r="L60">
        <v>3.2000000000000001E-2</v>
      </c>
      <c r="M60" s="13">
        <v>1.67217486101307</v>
      </c>
      <c r="N60" s="13">
        <v>8.2361751820169093</v>
      </c>
      <c r="O60" s="11">
        <v>1.69293827851367</v>
      </c>
      <c r="P60">
        <v>1.1360848312615337</v>
      </c>
      <c r="Q60">
        <v>5.5957028837482188</v>
      </c>
      <c r="R60">
        <v>1.1501916117290325</v>
      </c>
    </row>
    <row r="61" spans="1:18" x14ac:dyDescent="0.3">
      <c r="A61" s="2" t="s">
        <v>752</v>
      </c>
      <c r="B61" s="7" t="s">
        <v>1034</v>
      </c>
      <c r="C61" s="7">
        <v>18</v>
      </c>
      <c r="D61" s="7">
        <v>1</v>
      </c>
      <c r="E61" s="7">
        <v>1</v>
      </c>
      <c r="K61" s="1">
        <v>7.0900000000000005E-2</v>
      </c>
      <c r="L61">
        <v>3.2000000000000001E-2</v>
      </c>
      <c r="M61" s="11">
        <v>2.20859441469594</v>
      </c>
      <c r="N61" s="11">
        <v>14.451973236651201</v>
      </c>
      <c r="O61" s="11">
        <v>156.17066018938601</v>
      </c>
      <c r="P61">
        <v>0.9968268162238374</v>
      </c>
      <c r="Q61">
        <v>6.5227523776140819</v>
      </c>
      <c r="R61">
        <v>70.486052553742624</v>
      </c>
    </row>
    <row r="62" spans="1:18" x14ac:dyDescent="0.3">
      <c r="A62" s="3" t="s">
        <v>753</v>
      </c>
      <c r="B62" s="7" t="s">
        <v>1034</v>
      </c>
      <c r="C62" s="7">
        <v>18</v>
      </c>
      <c r="D62" s="7">
        <v>1</v>
      </c>
      <c r="E62" s="7">
        <v>2</v>
      </c>
      <c r="K62" s="1">
        <v>7.0400000000000004E-2</v>
      </c>
      <c r="L62">
        <v>3.2000000000000001E-2</v>
      </c>
      <c r="M62" s="12">
        <v>1.71906764055784</v>
      </c>
      <c r="N62" s="12">
        <v>14.319810315039399</v>
      </c>
      <c r="O62" s="12">
        <v>111.06544007733299</v>
      </c>
      <c r="P62">
        <v>0.78139438207174539</v>
      </c>
      <c r="Q62">
        <v>6.5090046886542723</v>
      </c>
      <c r="R62">
        <v>50.484290944242268</v>
      </c>
    </row>
    <row r="63" spans="1:18" x14ac:dyDescent="0.3">
      <c r="A63" s="2" t="s">
        <v>754</v>
      </c>
      <c r="B63" s="7" t="s">
        <v>1034</v>
      </c>
      <c r="C63" s="7">
        <v>18</v>
      </c>
      <c r="D63" s="7">
        <v>1</v>
      </c>
      <c r="E63" s="7">
        <v>3</v>
      </c>
      <c r="K63" s="1">
        <v>6.5699999999999995E-2</v>
      </c>
      <c r="L63">
        <v>3.2000000000000001E-2</v>
      </c>
      <c r="M63" s="11">
        <v>2.3540978434099502</v>
      </c>
      <c r="N63" s="11">
        <v>15.646887235692599</v>
      </c>
      <c r="O63" s="11">
        <v>121.650618769432</v>
      </c>
      <c r="P63">
        <v>1.1465925569120001</v>
      </c>
      <c r="Q63">
        <v>7.6210105257559091</v>
      </c>
      <c r="R63">
        <v>59.251442931839037</v>
      </c>
    </row>
    <row r="64" spans="1:18" x14ac:dyDescent="0.3">
      <c r="A64" s="3" t="s">
        <v>755</v>
      </c>
      <c r="B64" s="7" t="s">
        <v>1034</v>
      </c>
      <c r="C64" s="7">
        <v>18</v>
      </c>
      <c r="D64" s="7">
        <v>1</v>
      </c>
      <c r="E64" s="7">
        <v>4</v>
      </c>
      <c r="K64" s="1">
        <v>7.2400000000000006E-2</v>
      </c>
      <c r="L64">
        <v>3.2000000000000001E-2</v>
      </c>
      <c r="M64" s="12">
        <v>2.1429539724324602</v>
      </c>
      <c r="N64" s="12">
        <v>15.5930598856147</v>
      </c>
      <c r="O64" s="12">
        <v>119.633098722537</v>
      </c>
      <c r="P64">
        <v>0.94716197676572833</v>
      </c>
      <c r="Q64">
        <v>6.8919601704374358</v>
      </c>
      <c r="R64">
        <v>52.876507722668279</v>
      </c>
    </row>
    <row r="65" spans="1:18" x14ac:dyDescent="0.3">
      <c r="A65" s="2" t="s">
        <v>756</v>
      </c>
      <c r="B65" s="7" t="s">
        <v>1034</v>
      </c>
      <c r="C65" s="7">
        <v>18</v>
      </c>
      <c r="D65" s="7">
        <v>1</v>
      </c>
      <c r="E65" s="7">
        <v>5</v>
      </c>
      <c r="K65" s="1">
        <v>5.8099999999999999E-2</v>
      </c>
      <c r="L65">
        <v>3.2000000000000001E-2</v>
      </c>
      <c r="M65" s="11">
        <v>2.1486354979659601</v>
      </c>
      <c r="N65" s="11">
        <v>12.630908666550599</v>
      </c>
      <c r="O65" s="11">
        <v>86.143045027085904</v>
      </c>
      <c r="P65">
        <v>1.1834136993960538</v>
      </c>
      <c r="Q65">
        <v>6.9567827423342372</v>
      </c>
      <c r="R65">
        <v>47.445394851407038</v>
      </c>
    </row>
    <row r="66" spans="1:18" x14ac:dyDescent="0.3">
      <c r="A66" s="3" t="s">
        <v>757</v>
      </c>
      <c r="B66" s="7" t="s">
        <v>1034</v>
      </c>
      <c r="C66" s="7">
        <v>18</v>
      </c>
      <c r="D66" s="7">
        <v>1</v>
      </c>
      <c r="E66" s="7">
        <v>6</v>
      </c>
      <c r="K66" s="1">
        <v>6.7799999999999999E-2</v>
      </c>
      <c r="L66">
        <v>3.2000000000000001E-2</v>
      </c>
      <c r="M66" s="12">
        <v>1.97316305033932</v>
      </c>
      <c r="N66" s="12">
        <v>11.276648332862299</v>
      </c>
      <c r="O66" s="12">
        <v>60.306615264675401</v>
      </c>
      <c r="P66">
        <v>0.93128639544038705</v>
      </c>
      <c r="Q66">
        <v>5.322311897516129</v>
      </c>
      <c r="R66">
        <v>28.46329923996479</v>
      </c>
    </row>
    <row r="67" spans="1:18" x14ac:dyDescent="0.3">
      <c r="A67" s="2" t="s">
        <v>758</v>
      </c>
      <c r="B67" s="7" t="s">
        <v>1034</v>
      </c>
      <c r="C67" s="7">
        <v>18</v>
      </c>
      <c r="D67" s="7">
        <v>1</v>
      </c>
      <c r="E67" s="7">
        <v>7</v>
      </c>
      <c r="K67" s="1">
        <v>4.4400000000000002E-2</v>
      </c>
      <c r="L67">
        <v>3.2000000000000001E-2</v>
      </c>
      <c r="M67" s="11">
        <v>0.90378978441008995</v>
      </c>
      <c r="N67" s="11">
        <v>7.9523365898213001</v>
      </c>
      <c r="O67" s="11">
        <v>66.507050100509403</v>
      </c>
      <c r="P67">
        <v>0.65138002480006485</v>
      </c>
      <c r="Q67">
        <v>5.731413758429766</v>
      </c>
      <c r="R67">
        <v>47.933009081448219</v>
      </c>
    </row>
    <row r="68" spans="1:18" x14ac:dyDescent="0.3">
      <c r="A68" s="3" t="s">
        <v>759</v>
      </c>
      <c r="B68" s="7" t="s">
        <v>1034</v>
      </c>
      <c r="C68" s="7">
        <v>18</v>
      </c>
      <c r="D68" s="7">
        <v>1</v>
      </c>
      <c r="E68" s="7">
        <v>8</v>
      </c>
      <c r="K68" s="1">
        <v>5.1700000000000003E-2</v>
      </c>
      <c r="L68">
        <v>3.2000000000000001E-2</v>
      </c>
      <c r="M68" s="12">
        <v>1.0925465673964001</v>
      </c>
      <c r="N68" s="12">
        <v>11.9375678559554</v>
      </c>
      <c r="O68" s="12">
        <v>133.404447849505</v>
      </c>
      <c r="P68">
        <v>0.67623772063220111</v>
      </c>
      <c r="Q68">
        <v>7.3888234311522778</v>
      </c>
      <c r="R68">
        <v>82.571418398146221</v>
      </c>
    </row>
    <row r="69" spans="1:18" x14ac:dyDescent="0.3">
      <c r="A69" s="2" t="s">
        <v>760</v>
      </c>
      <c r="B69" s="7" t="s">
        <v>1034</v>
      </c>
      <c r="C69" s="7">
        <v>18</v>
      </c>
      <c r="D69" s="7">
        <v>1</v>
      </c>
      <c r="E69" s="7">
        <v>9</v>
      </c>
      <c r="K69" s="1">
        <v>6.1400000000000003E-2</v>
      </c>
      <c r="L69">
        <v>3.2000000000000001E-2</v>
      </c>
      <c r="M69" s="11">
        <v>1.71417269327289</v>
      </c>
      <c r="N69" s="11">
        <v>11.375685441737801</v>
      </c>
      <c r="O69" s="11">
        <v>79.854294731692306</v>
      </c>
      <c r="P69">
        <v>0.89337990528880251</v>
      </c>
      <c r="Q69">
        <v>5.9286959956939675</v>
      </c>
      <c r="R69">
        <v>41.61787347580055</v>
      </c>
    </row>
    <row r="70" spans="1:18" x14ac:dyDescent="0.3">
      <c r="A70" s="3" t="s">
        <v>761</v>
      </c>
      <c r="B70" s="7" t="s">
        <v>1034</v>
      </c>
      <c r="C70" s="7">
        <v>18</v>
      </c>
      <c r="D70" s="7">
        <v>1</v>
      </c>
      <c r="E70" s="7">
        <v>10</v>
      </c>
      <c r="K70" s="1">
        <v>4.2700000000000002E-2</v>
      </c>
      <c r="L70">
        <v>3.2000000000000001E-2</v>
      </c>
      <c r="M70" s="12">
        <v>1.7591126644970501</v>
      </c>
      <c r="N70" s="12">
        <v>9.1826924687467795</v>
      </c>
      <c r="O70" s="12">
        <v>82.861544819186307</v>
      </c>
      <c r="P70">
        <v>1.3183045729251897</v>
      </c>
      <c r="Q70">
        <v>6.8816430679132772</v>
      </c>
      <c r="R70">
        <v>62.097644829366786</v>
      </c>
    </row>
    <row r="71" spans="1:18" x14ac:dyDescent="0.3">
      <c r="A71" s="2" t="s">
        <v>762</v>
      </c>
      <c r="B71" s="7" t="s">
        <v>1034</v>
      </c>
      <c r="C71" s="7">
        <v>18</v>
      </c>
      <c r="D71" s="7">
        <v>2</v>
      </c>
      <c r="E71" s="7">
        <v>1</v>
      </c>
      <c r="K71" s="1">
        <v>6.5699999999999995E-2</v>
      </c>
      <c r="L71">
        <v>3.2000000000000001E-2</v>
      </c>
      <c r="M71" s="11">
        <v>2.0321159397378898</v>
      </c>
      <c r="N71" s="11">
        <v>12.648085378502801</v>
      </c>
      <c r="O71" s="11">
        <v>70.391377795068607</v>
      </c>
      <c r="P71">
        <v>0.98976727658466501</v>
      </c>
      <c r="Q71">
        <v>6.1604068814625519</v>
      </c>
      <c r="R71">
        <v>34.284993751022768</v>
      </c>
    </row>
    <row r="72" spans="1:18" x14ac:dyDescent="0.3">
      <c r="A72" s="3" t="s">
        <v>763</v>
      </c>
      <c r="B72" s="7" t="s">
        <v>1034</v>
      </c>
      <c r="C72" s="7">
        <v>18</v>
      </c>
      <c r="D72" s="7">
        <v>2</v>
      </c>
      <c r="E72" s="7">
        <v>2</v>
      </c>
      <c r="K72" s="1">
        <v>3.5900000000000001E-2</v>
      </c>
      <c r="L72">
        <v>3.2000000000000001E-2</v>
      </c>
      <c r="M72" s="12">
        <v>1.3726913644825101</v>
      </c>
      <c r="N72" s="12">
        <v>8.3654806653561895</v>
      </c>
      <c r="O72" s="12">
        <v>45.552005284748503</v>
      </c>
      <c r="P72">
        <v>1.2235689042741036</v>
      </c>
      <c r="Q72">
        <v>7.4566958576991107</v>
      </c>
      <c r="R72">
        <v>40.603458749636545</v>
      </c>
    </row>
    <row r="73" spans="1:18" x14ac:dyDescent="0.3">
      <c r="A73" s="2" t="s">
        <v>764</v>
      </c>
      <c r="B73" s="7" t="s">
        <v>1034</v>
      </c>
      <c r="C73" s="7">
        <v>18</v>
      </c>
      <c r="D73" s="7">
        <v>2</v>
      </c>
      <c r="E73" s="7">
        <v>3</v>
      </c>
      <c r="K73" s="1">
        <v>5.2400000000000002E-2</v>
      </c>
      <c r="L73">
        <v>3.2000000000000001E-2</v>
      </c>
      <c r="M73" s="11">
        <v>1.18634975744711</v>
      </c>
      <c r="N73" s="11">
        <v>18.600724300063298</v>
      </c>
      <c r="O73" s="11">
        <v>138.087180811596</v>
      </c>
      <c r="P73">
        <v>0.72448840149441829</v>
      </c>
      <c r="Q73">
        <v>11.359220946603541</v>
      </c>
      <c r="R73">
        <v>84.328049350592963</v>
      </c>
    </row>
    <row r="74" spans="1:18" x14ac:dyDescent="0.3">
      <c r="A74" s="3" t="s">
        <v>765</v>
      </c>
      <c r="B74" s="7" t="s">
        <v>1034</v>
      </c>
      <c r="C74" s="7">
        <v>18</v>
      </c>
      <c r="D74" s="7">
        <v>2</v>
      </c>
      <c r="E74" s="7">
        <v>4</v>
      </c>
      <c r="K74" s="1">
        <v>6.6000000000000003E-2</v>
      </c>
      <c r="L74">
        <v>3.2000000000000001E-2</v>
      </c>
      <c r="M74" s="12">
        <v>2.4745475618772201</v>
      </c>
      <c r="N74" s="12">
        <v>15.6212931019463</v>
      </c>
      <c r="O74" s="12">
        <v>158.72925577875199</v>
      </c>
      <c r="P74">
        <v>1.1997806360616825</v>
      </c>
      <c r="Q74">
        <v>7.5739602918527513</v>
      </c>
      <c r="R74">
        <v>76.959639165455513</v>
      </c>
    </row>
    <row r="75" spans="1:18" x14ac:dyDescent="0.3">
      <c r="A75" s="2" t="s">
        <v>766</v>
      </c>
      <c r="B75" s="7" t="s">
        <v>1034</v>
      </c>
      <c r="C75" s="7">
        <v>18</v>
      </c>
      <c r="D75" s="7">
        <v>2</v>
      </c>
      <c r="E75" s="7">
        <v>5</v>
      </c>
      <c r="K75" s="1">
        <v>5.6399999999999999E-2</v>
      </c>
      <c r="L75">
        <v>3.2000000000000001E-2</v>
      </c>
      <c r="M75" s="11">
        <v>1.4046414143181201</v>
      </c>
      <c r="N75" s="11">
        <v>11.715027998145001</v>
      </c>
      <c r="O75" s="11">
        <v>129.04465539996099</v>
      </c>
      <c r="P75">
        <v>0.79695966769822413</v>
      </c>
      <c r="Q75">
        <v>6.6468243961106381</v>
      </c>
      <c r="R75">
        <v>73.216825758843115</v>
      </c>
    </row>
    <row r="76" spans="1:18" x14ac:dyDescent="0.3">
      <c r="A76" s="3" t="s">
        <v>767</v>
      </c>
      <c r="B76" s="7" t="s">
        <v>1034</v>
      </c>
      <c r="C76" s="7">
        <v>18</v>
      </c>
      <c r="D76" s="7">
        <v>2</v>
      </c>
      <c r="E76" s="7">
        <v>6</v>
      </c>
      <c r="K76" s="1">
        <v>5.6800000000000003E-2</v>
      </c>
      <c r="L76">
        <v>3.2000000000000001E-2</v>
      </c>
      <c r="M76" s="12">
        <v>1.7771364995360299</v>
      </c>
      <c r="N76" s="12">
        <v>13.691911502175801</v>
      </c>
      <c r="O76" s="12">
        <v>140.905907104633</v>
      </c>
      <c r="P76">
        <v>1.0012036617104394</v>
      </c>
      <c r="Q76">
        <v>7.7137529589722815</v>
      </c>
      <c r="R76">
        <v>79.383609636412956</v>
      </c>
    </row>
    <row r="77" spans="1:18" x14ac:dyDescent="0.3">
      <c r="A77" s="2" t="s">
        <v>768</v>
      </c>
      <c r="B77" s="7" t="s">
        <v>1034</v>
      </c>
      <c r="C77" s="7">
        <v>18</v>
      </c>
      <c r="D77" s="7">
        <v>2</v>
      </c>
      <c r="E77" s="7">
        <v>7</v>
      </c>
      <c r="K77" s="1">
        <v>5.4800000000000001E-2</v>
      </c>
      <c r="L77">
        <v>3.2000000000000001E-2</v>
      </c>
      <c r="M77" s="11">
        <v>1.2703026836241</v>
      </c>
      <c r="N77" s="11">
        <v>12.8573434685809</v>
      </c>
      <c r="O77" s="11">
        <v>91.027264237127</v>
      </c>
      <c r="P77">
        <v>0.74178258897757665</v>
      </c>
      <c r="Q77">
        <v>7.5079377918720578</v>
      </c>
      <c r="R77">
        <v>53.154606853796786</v>
      </c>
    </row>
    <row r="78" spans="1:18" x14ac:dyDescent="0.3">
      <c r="A78" s="3" t="s">
        <v>769</v>
      </c>
      <c r="B78" s="7" t="s">
        <v>1034</v>
      </c>
      <c r="C78" s="7">
        <v>18</v>
      </c>
      <c r="D78" s="7">
        <v>2</v>
      </c>
      <c r="E78" s="7">
        <v>8</v>
      </c>
      <c r="K78" s="1">
        <v>7.8E-2</v>
      </c>
      <c r="L78">
        <v>3.2000000000000001E-2</v>
      </c>
      <c r="M78" s="12">
        <v>2.0270536460684201</v>
      </c>
      <c r="N78" s="12">
        <v>14.2703562970574</v>
      </c>
      <c r="O78" s="12">
        <v>125.842500644362</v>
      </c>
      <c r="P78">
        <v>0.83161175223319805</v>
      </c>
      <c r="Q78">
        <v>5.8545051475107286</v>
      </c>
      <c r="R78">
        <v>51.627692572045952</v>
      </c>
    </row>
    <row r="79" spans="1:18" x14ac:dyDescent="0.3">
      <c r="A79" s="2" t="s">
        <v>770</v>
      </c>
      <c r="B79" s="7" t="s">
        <v>1034</v>
      </c>
      <c r="C79" s="7">
        <v>18</v>
      </c>
      <c r="D79" s="7">
        <v>2</v>
      </c>
      <c r="E79" s="7">
        <v>9</v>
      </c>
      <c r="K79" s="1">
        <v>6.1100000000000002E-2</v>
      </c>
      <c r="L79">
        <v>3.2000000000000001E-2</v>
      </c>
      <c r="M79" s="11">
        <v>1.4489302564281901</v>
      </c>
      <c r="N79" s="11">
        <v>13.147599787667501</v>
      </c>
      <c r="O79" s="11">
        <v>90.324125292465197</v>
      </c>
      <c r="P79">
        <v>0.75885054346484582</v>
      </c>
      <c r="Q79">
        <v>6.8858133094166938</v>
      </c>
      <c r="R79">
        <v>47.305597534515321</v>
      </c>
    </row>
    <row r="80" spans="1:18" x14ac:dyDescent="0.3">
      <c r="A80" s="3" t="s">
        <v>771</v>
      </c>
      <c r="B80" s="7" t="s">
        <v>1034</v>
      </c>
      <c r="C80" s="7">
        <v>18</v>
      </c>
      <c r="D80" s="7">
        <v>2</v>
      </c>
      <c r="E80" s="7">
        <v>10</v>
      </c>
      <c r="K80" s="1">
        <v>5.9900000000000002E-2</v>
      </c>
      <c r="L80">
        <v>3.2000000000000001E-2</v>
      </c>
      <c r="M80" s="12">
        <v>2.0143363307720401</v>
      </c>
      <c r="N80" s="12">
        <v>15.619610589396901</v>
      </c>
      <c r="O80" s="12">
        <v>94.205180772207697</v>
      </c>
      <c r="P80">
        <v>1.0761062201119413</v>
      </c>
      <c r="Q80">
        <v>8.3443662581085292</v>
      </c>
      <c r="R80">
        <v>50.32664081319944</v>
      </c>
    </row>
    <row r="81" spans="1:18" x14ac:dyDescent="0.3">
      <c r="A81" s="2" t="s">
        <v>772</v>
      </c>
      <c r="B81" s="7" t="s">
        <v>1034</v>
      </c>
      <c r="C81" s="7">
        <v>18</v>
      </c>
      <c r="D81" s="7">
        <v>2</v>
      </c>
      <c r="E81" s="7">
        <v>11</v>
      </c>
      <c r="K81" s="1">
        <v>5.04E-2</v>
      </c>
      <c r="L81">
        <v>3.2000000000000001E-2</v>
      </c>
      <c r="M81" s="11">
        <v>1.4531559704181001</v>
      </c>
      <c r="N81" s="11">
        <v>10.178023146186</v>
      </c>
      <c r="O81" s="11">
        <v>106.47029059094</v>
      </c>
      <c r="P81">
        <v>0.9226387113765715</v>
      </c>
      <c r="Q81">
        <v>6.4622369182133337</v>
      </c>
      <c r="R81">
        <v>67.600184502184121</v>
      </c>
    </row>
    <row r="82" spans="1:18" x14ac:dyDescent="0.3">
      <c r="A82" s="2" t="s">
        <v>773</v>
      </c>
      <c r="B82" s="7" t="s">
        <v>1034</v>
      </c>
      <c r="C82" s="7">
        <v>18</v>
      </c>
      <c r="D82" s="7">
        <v>3</v>
      </c>
      <c r="E82" s="7">
        <v>1</v>
      </c>
      <c r="K82" s="1">
        <v>7.6200000000000004E-2</v>
      </c>
      <c r="L82">
        <v>3.2000000000000001E-2</v>
      </c>
      <c r="M82" s="11">
        <v>2.0589292374105801</v>
      </c>
      <c r="N82" s="11">
        <v>12.744230581928701</v>
      </c>
      <c r="O82" s="11">
        <v>70.231764207929601</v>
      </c>
      <c r="P82">
        <v>0.86464219943751386</v>
      </c>
      <c r="Q82">
        <v>5.3519078559280624</v>
      </c>
      <c r="R82">
        <v>29.493654260547864</v>
      </c>
    </row>
    <row r="83" spans="1:18" x14ac:dyDescent="0.3">
      <c r="A83" s="3" t="s">
        <v>774</v>
      </c>
      <c r="B83" s="7" t="s">
        <v>1034</v>
      </c>
      <c r="C83" s="7">
        <v>18</v>
      </c>
      <c r="D83" s="7">
        <v>3</v>
      </c>
      <c r="E83" s="7">
        <v>2</v>
      </c>
      <c r="K83" s="1">
        <v>6.4899999999999999E-2</v>
      </c>
      <c r="L83">
        <v>3.2000000000000001E-2</v>
      </c>
      <c r="M83" s="12">
        <v>1.8754877595597801</v>
      </c>
      <c r="N83" s="12">
        <v>12.740422894553101</v>
      </c>
      <c r="O83" s="12">
        <v>64.291191070384102</v>
      </c>
      <c r="P83">
        <v>0.92473972736383614</v>
      </c>
      <c r="Q83">
        <v>6.2818726136471374</v>
      </c>
      <c r="R83">
        <v>31.699816860590001</v>
      </c>
    </row>
    <row r="84" spans="1:18" x14ac:dyDescent="0.3">
      <c r="A84" s="2" t="s">
        <v>775</v>
      </c>
      <c r="B84" s="7" t="s">
        <v>1034</v>
      </c>
      <c r="C84" s="7">
        <v>18</v>
      </c>
      <c r="D84" s="7">
        <v>3</v>
      </c>
      <c r="E84" s="7">
        <v>3</v>
      </c>
      <c r="K84" s="1">
        <v>3.5499999999999997E-2</v>
      </c>
      <c r="L84">
        <v>3.2000000000000001E-2</v>
      </c>
      <c r="M84" s="11">
        <v>1.2566813883324901</v>
      </c>
      <c r="N84" s="11">
        <v>7.6117658940709498</v>
      </c>
      <c r="O84" s="11">
        <v>32.168209555837997</v>
      </c>
      <c r="P84">
        <v>1.132783223285625</v>
      </c>
      <c r="Q84">
        <v>6.8613101016977582</v>
      </c>
      <c r="R84">
        <v>28.996695937656789</v>
      </c>
    </row>
    <row r="85" spans="1:18" x14ac:dyDescent="0.3">
      <c r="A85" s="3" t="s">
        <v>776</v>
      </c>
      <c r="B85" s="7" t="s">
        <v>1034</v>
      </c>
      <c r="C85" s="7">
        <v>18</v>
      </c>
      <c r="D85" s="7">
        <v>3</v>
      </c>
      <c r="E85" s="7">
        <v>4</v>
      </c>
      <c r="K85" s="1">
        <v>5.62E-2</v>
      </c>
      <c r="L85">
        <v>3.2000000000000001E-2</v>
      </c>
      <c r="M85" s="12">
        <v>1.89794317815367</v>
      </c>
      <c r="N85" s="12">
        <v>11.750131093836</v>
      </c>
      <c r="O85" s="12">
        <v>79.459284918679401</v>
      </c>
      <c r="P85">
        <v>1.0806793896960398</v>
      </c>
      <c r="Q85">
        <v>6.6904661032518149</v>
      </c>
      <c r="R85">
        <v>45.243720950137735</v>
      </c>
    </row>
    <row r="86" spans="1:18" x14ac:dyDescent="0.3">
      <c r="A86" s="2" t="s">
        <v>777</v>
      </c>
      <c r="B86" s="7" t="s">
        <v>1034</v>
      </c>
      <c r="C86" s="7">
        <v>18</v>
      </c>
      <c r="D86" s="7">
        <v>3</v>
      </c>
      <c r="E86" s="7">
        <v>5</v>
      </c>
      <c r="K86" s="1">
        <v>5.1799999999999999E-2</v>
      </c>
      <c r="L86">
        <v>3.2000000000000001E-2</v>
      </c>
      <c r="M86" s="11">
        <v>0.95708676595514297</v>
      </c>
      <c r="N86" s="11">
        <v>12.965157764715</v>
      </c>
      <c r="O86" s="11">
        <v>92.376867971679005</v>
      </c>
      <c r="P86">
        <v>0.59125051178696086</v>
      </c>
      <c r="Q86">
        <v>8.0093638700942087</v>
      </c>
      <c r="R86">
        <v>57.066791024975444</v>
      </c>
    </row>
    <row r="87" spans="1:18" x14ac:dyDescent="0.3">
      <c r="A87" s="3" t="s">
        <v>778</v>
      </c>
      <c r="B87" s="7" t="s">
        <v>1034</v>
      </c>
      <c r="C87" s="7">
        <v>18</v>
      </c>
      <c r="D87" s="7">
        <v>3</v>
      </c>
      <c r="E87" s="7">
        <v>6</v>
      </c>
      <c r="K87" s="1">
        <v>6.6400000000000001E-2</v>
      </c>
      <c r="L87">
        <v>3.2000000000000001E-2</v>
      </c>
      <c r="M87" s="12">
        <v>1.94426162066954</v>
      </c>
      <c r="N87" s="12">
        <v>24.656178435889402</v>
      </c>
      <c r="O87" s="12">
        <v>134.43176039083201</v>
      </c>
      <c r="P87">
        <v>0.93699355212989888</v>
      </c>
      <c r="Q87">
        <v>11.882495631753928</v>
      </c>
      <c r="R87">
        <v>64.786390549798568</v>
      </c>
    </row>
    <row r="88" spans="1:18" x14ac:dyDescent="0.3">
      <c r="A88" s="2" t="s">
        <v>779</v>
      </c>
      <c r="B88" s="7" t="s">
        <v>1034</v>
      </c>
      <c r="C88" s="7">
        <v>18</v>
      </c>
      <c r="D88" s="7">
        <v>3</v>
      </c>
      <c r="E88" s="7">
        <v>7</v>
      </c>
      <c r="K88" s="1">
        <v>6.6500000000000004E-2</v>
      </c>
      <c r="L88">
        <v>3.2000000000000001E-2</v>
      </c>
      <c r="M88" s="11">
        <v>1.52617841901391</v>
      </c>
      <c r="N88" s="11">
        <v>14.4142565754461</v>
      </c>
      <c r="O88" s="11">
        <v>110.182577289302</v>
      </c>
      <c r="P88">
        <v>0.73440164523977625</v>
      </c>
      <c r="Q88">
        <v>6.9361836152522587</v>
      </c>
      <c r="R88">
        <v>53.020187567784419</v>
      </c>
    </row>
    <row r="89" spans="1:18" x14ac:dyDescent="0.3">
      <c r="A89" s="3" t="s">
        <v>780</v>
      </c>
      <c r="B89" s="7" t="s">
        <v>1034</v>
      </c>
      <c r="C89" s="7">
        <v>18</v>
      </c>
      <c r="D89" s="7">
        <v>3</v>
      </c>
      <c r="E89" s="7">
        <v>8</v>
      </c>
      <c r="K89" s="1">
        <v>6.93E-2</v>
      </c>
      <c r="L89">
        <v>3.2000000000000001E-2</v>
      </c>
      <c r="M89" s="12">
        <v>1.7735020853130701</v>
      </c>
      <c r="N89" s="12">
        <v>13.030940773572301</v>
      </c>
      <c r="O89" s="12">
        <v>81.646466061751696</v>
      </c>
      <c r="P89">
        <v>0.81893314184730515</v>
      </c>
      <c r="Q89">
        <v>6.0171732287779749</v>
      </c>
      <c r="R89">
        <v>37.701109869784332</v>
      </c>
    </row>
    <row r="90" spans="1:18" x14ac:dyDescent="0.3">
      <c r="A90" s="2" t="s">
        <v>781</v>
      </c>
      <c r="B90" s="7" t="s">
        <v>1034</v>
      </c>
      <c r="C90" s="7">
        <v>18</v>
      </c>
      <c r="D90" s="7">
        <v>3</v>
      </c>
      <c r="E90" s="7">
        <v>9</v>
      </c>
      <c r="K90" s="1">
        <v>8.43E-2</v>
      </c>
      <c r="L90">
        <v>3.2000000000000001E-2</v>
      </c>
      <c r="M90" s="11">
        <v>2.04282502809972</v>
      </c>
      <c r="N90" s="11">
        <v>15.9186479020701</v>
      </c>
      <c r="O90" s="11">
        <v>111.764614260887</v>
      </c>
      <c r="P90">
        <v>0.77544959548269321</v>
      </c>
      <c r="Q90">
        <v>6.0426658702994454</v>
      </c>
      <c r="R90">
        <v>42.425476350514643</v>
      </c>
    </row>
    <row r="91" spans="1:18" x14ac:dyDescent="0.3">
      <c r="A91" s="3" t="s">
        <v>782</v>
      </c>
      <c r="B91" s="7" t="s">
        <v>1034</v>
      </c>
      <c r="C91" s="7">
        <v>18</v>
      </c>
      <c r="D91" s="7">
        <v>3</v>
      </c>
      <c r="E91" s="7">
        <v>10</v>
      </c>
      <c r="K91" s="1">
        <v>8.1299999999999997E-2</v>
      </c>
      <c r="L91">
        <v>3.2000000000000001E-2</v>
      </c>
      <c r="M91" s="12">
        <v>2.1035471858369301</v>
      </c>
      <c r="N91" s="12">
        <v>13.517089071838701</v>
      </c>
      <c r="O91" s="12">
        <v>55.383755838573599</v>
      </c>
      <c r="P91">
        <v>0.82796445198993573</v>
      </c>
      <c r="Q91">
        <v>5.3203794624703376</v>
      </c>
      <c r="R91">
        <v>21.799264290705477</v>
      </c>
    </row>
    <row r="92" spans="1:18" x14ac:dyDescent="0.3">
      <c r="A92" s="2" t="s">
        <v>783</v>
      </c>
      <c r="B92" s="7" t="s">
        <v>1034</v>
      </c>
      <c r="C92" s="7">
        <v>18</v>
      </c>
      <c r="D92" s="7">
        <v>4</v>
      </c>
      <c r="E92" s="7">
        <v>1</v>
      </c>
      <c r="K92" s="1">
        <v>5.5300000000000002E-2</v>
      </c>
      <c r="L92">
        <v>3.2000000000000001E-2</v>
      </c>
      <c r="M92" s="11">
        <v>1.58680031969112</v>
      </c>
      <c r="N92" s="11">
        <v>13.735703589554401</v>
      </c>
      <c r="O92" s="11">
        <v>88.164160183941505</v>
      </c>
      <c r="P92">
        <v>0.91822079982126292</v>
      </c>
      <c r="Q92">
        <v>7.9483275744256936</v>
      </c>
      <c r="R92">
        <v>51.017235549477903</v>
      </c>
    </row>
    <row r="93" spans="1:18" x14ac:dyDescent="0.3">
      <c r="A93" s="3" t="s">
        <v>784</v>
      </c>
      <c r="B93" s="7" t="s">
        <v>1034</v>
      </c>
      <c r="C93" s="7">
        <v>18</v>
      </c>
      <c r="D93" s="7">
        <v>4</v>
      </c>
      <c r="E93" s="7">
        <v>2</v>
      </c>
      <c r="K93" s="1">
        <v>5.2299999999999999E-2</v>
      </c>
      <c r="L93">
        <v>3.2000000000000001E-2</v>
      </c>
      <c r="M93" s="12">
        <v>1.6280247557397001</v>
      </c>
      <c r="N93" s="12">
        <v>9.1312832929311902</v>
      </c>
      <c r="O93" s="12">
        <v>69.975490701084794</v>
      </c>
      <c r="P93">
        <v>0.9961145733015373</v>
      </c>
      <c r="Q93">
        <v>5.5870184583900206</v>
      </c>
      <c r="R93">
        <v>42.814831786514603</v>
      </c>
    </row>
    <row r="94" spans="1:18" x14ac:dyDescent="0.3">
      <c r="A94" s="2" t="s">
        <v>785</v>
      </c>
      <c r="B94" s="7" t="s">
        <v>1034</v>
      </c>
      <c r="C94" s="7">
        <v>18</v>
      </c>
      <c r="D94" s="7">
        <v>4</v>
      </c>
      <c r="E94" s="7">
        <v>3</v>
      </c>
      <c r="K94" s="1">
        <v>4.0899999999999999E-2</v>
      </c>
      <c r="L94">
        <v>3.2000000000000001E-2</v>
      </c>
      <c r="M94" s="11">
        <v>1.03033849910835</v>
      </c>
      <c r="N94" s="11">
        <v>8.8705266634760598</v>
      </c>
      <c r="O94" s="11">
        <v>72.106728780844605</v>
      </c>
      <c r="P94">
        <v>0.8061328110383178</v>
      </c>
      <c r="Q94">
        <v>6.9402653601768689</v>
      </c>
      <c r="R94">
        <v>56.416022518020235</v>
      </c>
    </row>
    <row r="95" spans="1:18" x14ac:dyDescent="0.3">
      <c r="A95" s="3" t="s">
        <v>786</v>
      </c>
      <c r="B95" s="7" t="s">
        <v>1034</v>
      </c>
      <c r="C95" s="7">
        <v>18</v>
      </c>
      <c r="D95" s="7">
        <v>4</v>
      </c>
      <c r="E95" s="7">
        <v>4</v>
      </c>
      <c r="K95" s="1">
        <v>5.6300000000000003E-2</v>
      </c>
      <c r="L95">
        <v>3.2000000000000001E-2</v>
      </c>
      <c r="M95" s="12">
        <v>1.2162842606526501</v>
      </c>
      <c r="N95" s="12">
        <v>13.836027489708099</v>
      </c>
      <c r="O95" s="12">
        <v>126.487295766328</v>
      </c>
      <c r="P95">
        <v>0.69131609841713682</v>
      </c>
      <c r="Q95">
        <v>7.8641719302070898</v>
      </c>
      <c r="R95">
        <v>71.893311980861384</v>
      </c>
    </row>
    <row r="96" spans="1:18" x14ac:dyDescent="0.3">
      <c r="A96" s="2" t="s">
        <v>787</v>
      </c>
      <c r="B96" s="7" t="s">
        <v>1034</v>
      </c>
      <c r="C96" s="7">
        <v>18</v>
      </c>
      <c r="D96" s="7">
        <v>4</v>
      </c>
      <c r="E96" s="7">
        <v>5</v>
      </c>
      <c r="K96" s="1">
        <v>5.5899999999999998E-2</v>
      </c>
      <c r="L96">
        <v>3.2000000000000001E-2</v>
      </c>
      <c r="M96" s="11">
        <v>2.3842286827000501</v>
      </c>
      <c r="N96" s="11">
        <v>13.282527829236599</v>
      </c>
      <c r="O96" s="11">
        <v>115.53515487947899</v>
      </c>
      <c r="P96">
        <v>1.3648536287370592</v>
      </c>
      <c r="Q96">
        <v>7.6035937484002005</v>
      </c>
      <c r="R96">
        <v>66.138192417590844</v>
      </c>
    </row>
    <row r="97" spans="1:18" x14ac:dyDescent="0.3">
      <c r="A97" s="3" t="s">
        <v>788</v>
      </c>
      <c r="B97" s="7" t="s">
        <v>1034</v>
      </c>
      <c r="C97" s="7">
        <v>18</v>
      </c>
      <c r="D97" s="7">
        <v>4</v>
      </c>
      <c r="E97" s="7">
        <v>6</v>
      </c>
      <c r="K97" s="1">
        <v>5.6099999999999997E-2</v>
      </c>
      <c r="L97">
        <v>3.2000000000000001E-2</v>
      </c>
      <c r="M97" s="12">
        <v>1.7758791414535899</v>
      </c>
      <c r="N97" s="12">
        <v>11.298951059618</v>
      </c>
      <c r="O97" s="12">
        <v>53.955574803878697</v>
      </c>
      <c r="P97">
        <v>1.0129791894209426</v>
      </c>
      <c r="Q97">
        <v>6.4450344725093762</v>
      </c>
      <c r="R97">
        <v>30.7767984621055</v>
      </c>
    </row>
    <row r="98" spans="1:18" x14ac:dyDescent="0.3">
      <c r="A98" s="2" t="s">
        <v>789</v>
      </c>
      <c r="B98" s="7" t="s">
        <v>1034</v>
      </c>
      <c r="C98" s="7">
        <v>18</v>
      </c>
      <c r="D98" s="7">
        <v>4</v>
      </c>
      <c r="E98" s="7">
        <v>7</v>
      </c>
      <c r="K98" s="1">
        <v>5.1900000000000002E-2</v>
      </c>
      <c r="L98">
        <v>3.2000000000000001E-2</v>
      </c>
      <c r="M98" s="11">
        <v>1.7703665859734601</v>
      </c>
      <c r="N98" s="11">
        <v>11.512191250404699</v>
      </c>
      <c r="O98" s="11">
        <v>105.23316107525299</v>
      </c>
      <c r="P98">
        <v>1.0915555058025186</v>
      </c>
      <c r="Q98">
        <v>7.0980755301146514</v>
      </c>
      <c r="R98">
        <v>64.883644593604927</v>
      </c>
    </row>
    <row r="99" spans="1:18" x14ac:dyDescent="0.3">
      <c r="A99" s="3" t="s">
        <v>790</v>
      </c>
      <c r="B99" s="7" t="s">
        <v>1034</v>
      </c>
      <c r="C99" s="7">
        <v>18</v>
      </c>
      <c r="D99" s="7">
        <v>4</v>
      </c>
      <c r="E99" s="7">
        <v>8</v>
      </c>
      <c r="K99" s="1">
        <v>7.5999999999999998E-2</v>
      </c>
      <c r="L99">
        <v>3.2000000000000001E-2</v>
      </c>
      <c r="M99" s="12">
        <v>1.4161648520200101</v>
      </c>
      <c r="N99" s="12">
        <v>21.3462621658506</v>
      </c>
      <c r="O99" s="12">
        <v>211.505865852623</v>
      </c>
      <c r="P99">
        <v>0.59627993769263576</v>
      </c>
      <c r="Q99">
        <v>8.9878998593055162</v>
      </c>
      <c r="R99">
        <v>89.055101411630744</v>
      </c>
    </row>
    <row r="100" spans="1:18" x14ac:dyDescent="0.3">
      <c r="A100" s="2" t="s">
        <v>791</v>
      </c>
      <c r="B100" s="7" t="s">
        <v>1034</v>
      </c>
      <c r="C100" s="7">
        <v>18</v>
      </c>
      <c r="D100" s="7">
        <v>4</v>
      </c>
      <c r="E100" s="7">
        <v>9</v>
      </c>
      <c r="K100" s="1">
        <v>6.4799999999999996E-2</v>
      </c>
      <c r="L100">
        <v>3.2000000000000001E-2</v>
      </c>
      <c r="M100" s="11">
        <v>2.2499089112991499</v>
      </c>
      <c r="N100" s="11">
        <v>13.7137926570443</v>
      </c>
      <c r="O100" s="11">
        <v>95.985713330115999</v>
      </c>
      <c r="P100">
        <v>1.1110661290366173</v>
      </c>
      <c r="Q100">
        <v>6.7722432874292844</v>
      </c>
      <c r="R100">
        <v>47.400352261785685</v>
      </c>
    </row>
    <row r="101" spans="1:18" x14ac:dyDescent="0.3">
      <c r="A101" s="3" t="s">
        <v>792</v>
      </c>
      <c r="B101" s="7" t="s">
        <v>1034</v>
      </c>
      <c r="C101" s="7">
        <v>18</v>
      </c>
      <c r="D101" s="7">
        <v>4</v>
      </c>
      <c r="E101" s="7">
        <v>10</v>
      </c>
      <c r="K101" s="1">
        <v>6.5600000000000006E-2</v>
      </c>
      <c r="L101">
        <v>3.2000000000000001E-2</v>
      </c>
      <c r="M101" s="12">
        <v>2.32791734617562</v>
      </c>
      <c r="N101" s="12">
        <v>14.4744170284796</v>
      </c>
      <c r="O101" s="12">
        <v>89.959287875480797</v>
      </c>
      <c r="P101">
        <v>1.135569437158839</v>
      </c>
      <c r="Q101">
        <v>7.0606912334046825</v>
      </c>
      <c r="R101">
        <v>43.882579451454042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BB36-7E78-4EAC-9EAF-F351B15D680B}">
  <dimension ref="A1:U38"/>
  <sheetViews>
    <sheetView topLeftCell="E1" workbookViewId="0">
      <selection activeCell="G1" sqref="G1:U1048576"/>
    </sheetView>
  </sheetViews>
  <sheetFormatPr defaultRowHeight="14" x14ac:dyDescent="0.3"/>
  <cols>
    <col min="1" max="1" width="17.25" customWidth="1"/>
    <col min="2" max="2" width="13.4140625" customWidth="1"/>
    <col min="3" max="3" width="11.08203125" customWidth="1"/>
    <col min="4" max="4" width="17.25" customWidth="1"/>
    <col min="5" max="5" width="11.58203125" customWidth="1"/>
    <col min="6" max="6" width="13.4140625" customWidth="1"/>
  </cols>
  <sheetData>
    <row r="1" spans="1:21" x14ac:dyDescent="0.3">
      <c r="A1" t="s">
        <v>0</v>
      </c>
      <c r="B1" t="s">
        <v>1129</v>
      </c>
      <c r="C1" t="s">
        <v>1036</v>
      </c>
      <c r="D1" t="s">
        <v>1091</v>
      </c>
      <c r="E1" t="s">
        <v>1075</v>
      </c>
      <c r="F1" t="s">
        <v>1076</v>
      </c>
      <c r="G1" t="s">
        <v>1077</v>
      </c>
      <c r="H1" t="s">
        <v>1078</v>
      </c>
      <c r="I1" t="s">
        <v>1079</v>
      </c>
      <c r="J1" t="s">
        <v>1080</v>
      </c>
      <c r="K1" t="s">
        <v>1081</v>
      </c>
      <c r="L1" t="s">
        <v>1082</v>
      </c>
      <c r="M1" t="s">
        <v>1083</v>
      </c>
      <c r="N1" t="s">
        <v>1130</v>
      </c>
      <c r="O1" t="s">
        <v>1084</v>
      </c>
      <c r="P1" t="s">
        <v>1085</v>
      </c>
      <c r="Q1" t="s">
        <v>1086</v>
      </c>
      <c r="R1" t="s">
        <v>1087</v>
      </c>
      <c r="S1" t="s">
        <v>1088</v>
      </c>
      <c r="T1" t="s">
        <v>1089</v>
      </c>
      <c r="U1" t="s">
        <v>1090</v>
      </c>
    </row>
    <row r="2" spans="1:21" x14ac:dyDescent="0.3">
      <c r="A2" t="s">
        <v>1038</v>
      </c>
      <c r="B2" t="s">
        <v>1092</v>
      </c>
      <c r="C2">
        <v>0</v>
      </c>
      <c r="D2">
        <v>1</v>
      </c>
      <c r="E2">
        <v>24.15</v>
      </c>
      <c r="F2">
        <v>86940</v>
      </c>
      <c r="G2">
        <v>0.1518821407212575</v>
      </c>
      <c r="H2">
        <v>5.7138078485339179</v>
      </c>
      <c r="I2">
        <v>2803.7277606058888</v>
      </c>
      <c r="J2">
        <v>38567.54977378741</v>
      </c>
      <c r="K2">
        <v>17488.762929330667</v>
      </c>
      <c r="L2">
        <v>9.4357017080232523E-3</v>
      </c>
      <c r="M2">
        <v>0.34719651008786589</v>
      </c>
      <c r="N2">
        <v>183.96538406651553</v>
      </c>
      <c r="O2">
        <v>2494.759799532138</v>
      </c>
      <c r="P2">
        <v>1083.4482857879266</v>
      </c>
      <c r="Q2">
        <v>2.0029030438904603E-2</v>
      </c>
      <c r="R2">
        <v>0.75349235121967506</v>
      </c>
      <c r="S2">
        <v>369.73371848002648</v>
      </c>
      <c r="T2">
        <v>5085.9872313153473</v>
      </c>
      <c r="U2">
        <v>2306.2814586818931</v>
      </c>
    </row>
    <row r="3" spans="1:21" x14ac:dyDescent="0.3">
      <c r="A3" t="s">
        <v>1039</v>
      </c>
      <c r="B3" t="s">
        <v>1092</v>
      </c>
      <c r="C3">
        <v>0</v>
      </c>
      <c r="D3">
        <v>2</v>
      </c>
      <c r="E3">
        <v>24.183333333333334</v>
      </c>
      <c r="F3">
        <v>87060</v>
      </c>
      <c r="G3">
        <v>0.15756653452243288</v>
      </c>
      <c r="H3">
        <v>4.0704533381555024</v>
      </c>
      <c r="I3">
        <v>1806.3408369831373</v>
      </c>
      <c r="J3">
        <v>37156.720857383298</v>
      </c>
      <c r="K3">
        <v>27025.289066361991</v>
      </c>
      <c r="L3">
        <v>9.7753530097757415E-3</v>
      </c>
      <c r="M3">
        <v>0.24699802090723746</v>
      </c>
      <c r="N3">
        <v>118.35890623124774</v>
      </c>
      <c r="O3">
        <v>2400.1867911656996</v>
      </c>
      <c r="P3">
        <v>1671.9389566330824</v>
      </c>
      <c r="Q3">
        <v>2.0750003448853575E-2</v>
      </c>
      <c r="R3">
        <v>0.53603971846635556</v>
      </c>
      <c r="S3">
        <v>237.87778737920306</v>
      </c>
      <c r="T3">
        <v>4893.1842556264692</v>
      </c>
      <c r="U3">
        <v>3558.9717260262396</v>
      </c>
    </row>
    <row r="4" spans="1:21" x14ac:dyDescent="0.3">
      <c r="A4" t="s">
        <v>1040</v>
      </c>
      <c r="B4" t="s">
        <v>1092</v>
      </c>
      <c r="C4">
        <v>0</v>
      </c>
      <c r="D4">
        <v>3</v>
      </c>
      <c r="E4">
        <v>24.233333333333334</v>
      </c>
      <c r="F4">
        <v>87240</v>
      </c>
      <c r="G4">
        <v>4.838358679287285E-2</v>
      </c>
      <c r="H4">
        <v>2.217577883903318</v>
      </c>
      <c r="I4">
        <v>1541.7877261130782</v>
      </c>
      <c r="J4">
        <v>37831.223910265377</v>
      </c>
      <c r="K4">
        <v>36173.107321669864</v>
      </c>
      <c r="L4">
        <v>2.9955014404932766E-3</v>
      </c>
      <c r="M4">
        <v>0.1342865698341584</v>
      </c>
      <c r="N4">
        <v>100.81585384925778</v>
      </c>
      <c r="O4">
        <v>2438.7150545856894</v>
      </c>
      <c r="P4">
        <v>2233.2579668095777</v>
      </c>
      <c r="Q4">
        <v>6.358508501853816E-3</v>
      </c>
      <c r="R4">
        <v>0.29143122209367323</v>
      </c>
      <c r="S4">
        <v>202.61975215917585</v>
      </c>
      <c r="T4">
        <v>4971.7305973767125</v>
      </c>
      <c r="U4">
        <v>4753.8230563177167</v>
      </c>
    </row>
    <row r="5" spans="1:21" x14ac:dyDescent="0.3">
      <c r="A5" t="s">
        <v>1041</v>
      </c>
      <c r="B5" t="s">
        <v>1092</v>
      </c>
      <c r="C5">
        <v>3</v>
      </c>
      <c r="D5">
        <v>1</v>
      </c>
      <c r="E5">
        <v>23.983333333333334</v>
      </c>
      <c r="F5">
        <v>86340</v>
      </c>
      <c r="G5">
        <v>0.27091077174668898</v>
      </c>
      <c r="H5">
        <v>10.198256349604874</v>
      </c>
      <c r="I5">
        <v>1857.1595912114235</v>
      </c>
      <c r="J5">
        <v>20163.363716205622</v>
      </c>
      <c r="K5">
        <v>14745.119857965412</v>
      </c>
      <c r="L5">
        <v>1.6947332814863204E-2</v>
      </c>
      <c r="M5">
        <v>0.62399805481672532</v>
      </c>
      <c r="N5">
        <v>122.70353844516529</v>
      </c>
      <c r="O5">
        <v>1313.340280161643</v>
      </c>
      <c r="P5">
        <v>919.82454602404027</v>
      </c>
      <c r="Q5">
        <v>3.5973863450824699E-2</v>
      </c>
      <c r="R5">
        <v>1.3542122337617071</v>
      </c>
      <c r="S5">
        <v>246.60963131838147</v>
      </c>
      <c r="T5">
        <v>2677.4649393207801</v>
      </c>
      <c r="U5">
        <v>1957.9838960130769</v>
      </c>
    </row>
    <row r="6" spans="1:21" x14ac:dyDescent="0.3">
      <c r="A6" t="s">
        <v>1042</v>
      </c>
      <c r="B6" t="s">
        <v>1092</v>
      </c>
      <c r="C6">
        <v>3</v>
      </c>
      <c r="D6">
        <v>2</v>
      </c>
      <c r="E6">
        <v>24.016666666666666</v>
      </c>
      <c r="F6">
        <v>86460</v>
      </c>
      <c r="G6">
        <v>5.5732305762414253E-2</v>
      </c>
      <c r="H6">
        <v>17.879175744678889</v>
      </c>
      <c r="I6">
        <v>1211.8101175019053</v>
      </c>
      <c r="J6">
        <v>37734.414136717372</v>
      </c>
      <c r="K6">
        <v>60676.043860718899</v>
      </c>
      <c r="L6">
        <v>3.4816002836013625E-3</v>
      </c>
      <c r="M6">
        <v>1.0924501228692369</v>
      </c>
      <c r="N6">
        <v>79.953825596720506</v>
      </c>
      <c r="O6">
        <v>2454.4190029970691</v>
      </c>
      <c r="P6">
        <v>3779.8168556108594</v>
      </c>
      <c r="Q6">
        <v>7.3903436346505098E-3</v>
      </c>
      <c r="R6">
        <v>2.3708556617192005</v>
      </c>
      <c r="S6">
        <v>160.69123761832574</v>
      </c>
      <c r="T6">
        <v>5003.7457361153183</v>
      </c>
      <c r="U6">
        <v>8045.9045859941871</v>
      </c>
    </row>
    <row r="7" spans="1:21" x14ac:dyDescent="0.3">
      <c r="A7" t="s">
        <v>1043</v>
      </c>
      <c r="B7" t="s">
        <v>1092</v>
      </c>
      <c r="C7">
        <v>3</v>
      </c>
      <c r="D7">
        <v>3</v>
      </c>
      <c r="E7">
        <v>24.05</v>
      </c>
      <c r="F7">
        <v>86580</v>
      </c>
      <c r="G7">
        <v>2.1178019012188611E-2</v>
      </c>
      <c r="H7">
        <v>2.9057168984660584</v>
      </c>
      <c r="I7">
        <v>1096.2275951922131</v>
      </c>
      <c r="J7">
        <v>35700.78773973685</v>
      </c>
      <c r="K7">
        <v>64966.965585425351</v>
      </c>
      <c r="L7">
        <v>1.3211583730700859E-3</v>
      </c>
      <c r="M7">
        <v>0.17729850488836651</v>
      </c>
      <c r="N7">
        <v>72.227578409377543</v>
      </c>
      <c r="O7">
        <v>2318.9241414742824</v>
      </c>
      <c r="P7">
        <v>4041.5107016744496</v>
      </c>
      <c r="Q7">
        <v>2.8044041755086414E-3</v>
      </c>
      <c r="R7">
        <v>0.38477652693645914</v>
      </c>
      <c r="S7">
        <v>145.16302225885735</v>
      </c>
      <c r="T7">
        <v>4727.5166836257858</v>
      </c>
      <c r="U7">
        <v>8602.9590139207521</v>
      </c>
    </row>
    <row r="8" spans="1:21" x14ac:dyDescent="0.3">
      <c r="A8" t="s">
        <v>1044</v>
      </c>
      <c r="B8" t="s">
        <v>1092</v>
      </c>
      <c r="C8">
        <v>6</v>
      </c>
      <c r="D8">
        <v>2</v>
      </c>
      <c r="E8">
        <v>23.55</v>
      </c>
      <c r="F8">
        <v>84780</v>
      </c>
      <c r="G8">
        <v>3.9491638676229061E-2</v>
      </c>
      <c r="H8">
        <v>1.9322757862873488</v>
      </c>
      <c r="I8">
        <v>1035.9553193660815</v>
      </c>
      <c r="J8">
        <v>22545.140838457755</v>
      </c>
      <c r="K8">
        <v>27718.684360422256</v>
      </c>
      <c r="L8">
        <v>2.5159318426221868E-3</v>
      </c>
      <c r="M8">
        <v>0.12040514780966853</v>
      </c>
      <c r="N8">
        <v>69.705575650458016</v>
      </c>
      <c r="O8">
        <v>1495.4980973739298</v>
      </c>
      <c r="P8">
        <v>1760.9536814053583</v>
      </c>
      <c r="Q8">
        <v>5.3405329054902907E-3</v>
      </c>
      <c r="R8">
        <v>0.26130550073530345</v>
      </c>
      <c r="S8">
        <v>140.09429988587522</v>
      </c>
      <c r="T8">
        <v>3048.8242712290903</v>
      </c>
      <c r="U8">
        <v>3748.4528595375414</v>
      </c>
    </row>
    <row r="9" spans="1:21" x14ac:dyDescent="0.3">
      <c r="A9" t="s">
        <v>1045</v>
      </c>
      <c r="B9" t="s">
        <v>1092</v>
      </c>
      <c r="C9">
        <v>6</v>
      </c>
      <c r="D9">
        <v>3</v>
      </c>
      <c r="E9">
        <v>23.583333333333332</v>
      </c>
      <c r="F9">
        <v>84900</v>
      </c>
      <c r="G9">
        <v>9.5868932427497413E-3</v>
      </c>
      <c r="H9">
        <v>2.5318890556945122</v>
      </c>
      <c r="I9">
        <v>890.86268865592922</v>
      </c>
      <c r="J9">
        <v>32130.221261036557</v>
      </c>
      <c r="K9">
        <v>61524.958662579447</v>
      </c>
      <c r="L9">
        <v>6.0989816979636262E-4</v>
      </c>
      <c r="M9">
        <v>0.15754562120846893</v>
      </c>
      <c r="N9">
        <v>59.858107987742777</v>
      </c>
      <c r="O9">
        <v>2128.2975762131096</v>
      </c>
      <c r="P9">
        <v>3903.124211379501</v>
      </c>
      <c r="Q9">
        <v>1.2946222109900397E-3</v>
      </c>
      <c r="R9">
        <v>0.34190844982483115</v>
      </c>
      <c r="S9">
        <v>120.30285458206151</v>
      </c>
      <c r="T9">
        <v>4338.8923851864547</v>
      </c>
      <c r="U9">
        <v>8308.3827052165525</v>
      </c>
    </row>
    <row r="10" spans="1:21" x14ac:dyDescent="0.3">
      <c r="A10" t="s">
        <v>1046</v>
      </c>
      <c r="B10" t="s">
        <v>1092</v>
      </c>
      <c r="C10">
        <v>6</v>
      </c>
      <c r="D10">
        <v>4</v>
      </c>
      <c r="E10">
        <v>23.616666666666667</v>
      </c>
      <c r="F10">
        <v>85020</v>
      </c>
      <c r="G10">
        <v>2.6969410456364706E-2</v>
      </c>
      <c r="H10">
        <v>7.876353647228636</v>
      </c>
      <c r="I10">
        <v>1270.1640715807207</v>
      </c>
      <c r="J10">
        <v>29732.229642753093</v>
      </c>
      <c r="K10">
        <v>37912.946403654532</v>
      </c>
      <c r="L10">
        <v>1.7133160430541738E-3</v>
      </c>
      <c r="M10">
        <v>0.48941070298341993</v>
      </c>
      <c r="N10">
        <v>85.223355342707109</v>
      </c>
      <c r="O10">
        <v>1966.6754760693234</v>
      </c>
      <c r="P10">
        <v>2401.7907520097801</v>
      </c>
      <c r="Q10">
        <v>3.6368317099952849E-3</v>
      </c>
      <c r="R10">
        <v>1.0621282489554009</v>
      </c>
      <c r="S10">
        <v>171.28194106784147</v>
      </c>
      <c r="T10">
        <v>4009.3985646656065</v>
      </c>
      <c r="U10">
        <v>5112.570255224935</v>
      </c>
    </row>
    <row r="11" spans="1:21" x14ac:dyDescent="0.3">
      <c r="A11" t="s">
        <v>1047</v>
      </c>
      <c r="B11" t="s">
        <v>1092</v>
      </c>
      <c r="C11">
        <v>9</v>
      </c>
      <c r="D11">
        <v>2</v>
      </c>
      <c r="E11">
        <v>23.816666666666666</v>
      </c>
      <c r="F11">
        <v>85740</v>
      </c>
      <c r="G11">
        <v>4.4174714068819836E-2</v>
      </c>
      <c r="H11">
        <v>7.4927464028823305</v>
      </c>
      <c r="I11">
        <v>706.90354513342584</v>
      </c>
      <c r="J11">
        <v>25444.020822590926</v>
      </c>
      <c r="K11">
        <v>44533.393773522934</v>
      </c>
      <c r="L11">
        <v>2.7827705404784679E-3</v>
      </c>
      <c r="M11">
        <v>0.46166495702579763</v>
      </c>
      <c r="N11">
        <v>47.03233992731785</v>
      </c>
      <c r="O11">
        <v>1668.8933630974191</v>
      </c>
      <c r="P11">
        <v>2797.5061222050595</v>
      </c>
      <c r="Q11">
        <v>5.9069476319219931E-3</v>
      </c>
      <c r="R11">
        <v>1.0019139128358876</v>
      </c>
      <c r="S11">
        <v>94.525619688628083</v>
      </c>
      <c r="T11">
        <v>3402.3196689044839</v>
      </c>
      <c r="U11">
        <v>5954.9095095928642</v>
      </c>
    </row>
    <row r="12" spans="1:21" x14ac:dyDescent="0.3">
      <c r="A12" t="s">
        <v>1048</v>
      </c>
      <c r="B12" t="s">
        <v>1092</v>
      </c>
      <c r="C12">
        <v>9</v>
      </c>
      <c r="D12">
        <v>3</v>
      </c>
      <c r="E12">
        <v>23.866666666666667</v>
      </c>
      <c r="F12">
        <v>85920</v>
      </c>
      <c r="G12">
        <v>7.7502409439150113E-2</v>
      </c>
      <c r="H12">
        <v>9.9349074588909918</v>
      </c>
      <c r="I12">
        <v>1282.0903041532681</v>
      </c>
      <c r="J12">
        <v>26624.660821401183</v>
      </c>
      <c r="K12">
        <v>29520.512277636433</v>
      </c>
      <c r="L12">
        <v>4.8720088117319748E-3</v>
      </c>
      <c r="M12">
        <v>0.61085609774558325</v>
      </c>
      <c r="N12">
        <v>85.122477054880946</v>
      </c>
      <c r="O12">
        <v>1742.6739526363963</v>
      </c>
      <c r="P12">
        <v>1850.5394729910886</v>
      </c>
      <c r="Q12">
        <v>1.0341744133964804E-2</v>
      </c>
      <c r="R12">
        <v>1.3256913130570123</v>
      </c>
      <c r="S12">
        <v>171.0791958358451</v>
      </c>
      <c r="T12">
        <v>3552.7338035175762</v>
      </c>
      <c r="U12">
        <v>3939.1495940339682</v>
      </c>
    </row>
    <row r="13" spans="1:21" x14ac:dyDescent="0.3">
      <c r="A13" t="s">
        <v>1049</v>
      </c>
      <c r="B13" t="s">
        <v>1092</v>
      </c>
      <c r="C13">
        <v>9</v>
      </c>
      <c r="D13">
        <v>4</v>
      </c>
      <c r="E13">
        <v>23.9</v>
      </c>
      <c r="F13">
        <v>86040</v>
      </c>
      <c r="G13">
        <v>8.2408737261058337E-2</v>
      </c>
      <c r="H13">
        <v>9.4994119896126623</v>
      </c>
      <c r="I13">
        <v>1225.9659875130737</v>
      </c>
      <c r="J13">
        <v>33050.87476615973</v>
      </c>
      <c r="K13">
        <v>29541.732314851528</v>
      </c>
      <c r="L13">
        <v>5.1732085536764271E-3</v>
      </c>
      <c r="M13">
        <v>0.58326467896021583</v>
      </c>
      <c r="N13">
        <v>81.282663332832627</v>
      </c>
      <c r="O13">
        <v>2160.2742115737105</v>
      </c>
      <c r="P13">
        <v>1849.2868812985903</v>
      </c>
      <c r="Q13">
        <v>1.0981096562249599E-2</v>
      </c>
      <c r="R13">
        <v>1.2658119006492901</v>
      </c>
      <c r="S13">
        <v>163.36193634745007</v>
      </c>
      <c r="T13">
        <v>4404.0821317804721</v>
      </c>
      <c r="U13">
        <v>3936.4832655773162</v>
      </c>
    </row>
    <row r="14" spans="1:21" x14ac:dyDescent="0.3">
      <c r="A14" t="s">
        <v>1050</v>
      </c>
      <c r="B14" t="s">
        <v>1092</v>
      </c>
      <c r="C14">
        <v>12</v>
      </c>
      <c r="D14">
        <v>2</v>
      </c>
      <c r="E14">
        <v>23.666666666666668</v>
      </c>
      <c r="F14">
        <v>85200</v>
      </c>
      <c r="G14">
        <v>0.16009472189067986</v>
      </c>
      <c r="H14">
        <v>11.043907551289372</v>
      </c>
      <c r="I14">
        <v>1340.3764596845569</v>
      </c>
      <c r="J14">
        <v>22713.276515085025</v>
      </c>
      <c r="K14">
        <v>9955.8709795376908</v>
      </c>
      <c r="L14">
        <v>1.0149030284454158E-2</v>
      </c>
      <c r="M14">
        <v>0.68478229546206504</v>
      </c>
      <c r="N14">
        <v>89.744347180967836</v>
      </c>
      <c r="O14">
        <v>1499.2239718269464</v>
      </c>
      <c r="P14">
        <v>629.37341915866659</v>
      </c>
      <c r="Q14">
        <v>2.1543202909842987E-2</v>
      </c>
      <c r="R14">
        <v>1.4861273281541274</v>
      </c>
      <c r="S14">
        <v>180.36823266590432</v>
      </c>
      <c r="T14">
        <v>3056.4200926372596</v>
      </c>
      <c r="U14">
        <v>1339.7153018127328</v>
      </c>
    </row>
    <row r="15" spans="1:21" x14ac:dyDescent="0.3">
      <c r="A15" t="s">
        <v>1051</v>
      </c>
      <c r="B15" t="s">
        <v>1092</v>
      </c>
      <c r="C15">
        <v>12</v>
      </c>
      <c r="D15">
        <v>3</v>
      </c>
      <c r="E15">
        <v>23.716666666666665</v>
      </c>
      <c r="F15">
        <v>85380</v>
      </c>
      <c r="G15">
        <v>0.20820184384975066</v>
      </c>
      <c r="H15">
        <v>15.549963034339486</v>
      </c>
      <c r="I15">
        <v>1584.3076256087238</v>
      </c>
      <c r="J15">
        <v>20279.310824654433</v>
      </c>
      <c r="K15">
        <v>16428.436149504942</v>
      </c>
      <c r="L15">
        <v>1.3170902960940612E-2</v>
      </c>
      <c r="M15">
        <v>0.962149517062444</v>
      </c>
      <c r="N15">
        <v>105.85302357500149</v>
      </c>
      <c r="O15">
        <v>1335.7444110809981</v>
      </c>
      <c r="P15">
        <v>1036.3556171868936</v>
      </c>
      <c r="Q15">
        <v>2.7957689261014537E-2</v>
      </c>
      <c r="R15">
        <v>2.0880748532085915</v>
      </c>
      <c r="S15">
        <v>212.74345832685822</v>
      </c>
      <c r="T15">
        <v>2723.1395264317016</v>
      </c>
      <c r="U15">
        <v>2206.037681605419</v>
      </c>
    </row>
    <row r="16" spans="1:21" x14ac:dyDescent="0.3">
      <c r="A16" t="s">
        <v>1052</v>
      </c>
      <c r="B16" t="s">
        <v>1092</v>
      </c>
      <c r="C16">
        <v>12</v>
      </c>
      <c r="D16">
        <v>4</v>
      </c>
      <c r="E16">
        <v>23.75</v>
      </c>
      <c r="F16">
        <v>85500</v>
      </c>
      <c r="G16">
        <v>0.14356571695402198</v>
      </c>
      <c r="H16">
        <v>14.397551325495233</v>
      </c>
      <c r="I16">
        <v>977.40566861098125</v>
      </c>
      <c r="J16">
        <v>28954.194804879571</v>
      </c>
      <c r="K16">
        <v>22820.119009991093</v>
      </c>
      <c r="L16">
        <v>9.0692580369394534E-3</v>
      </c>
      <c r="M16">
        <v>0.8895940641581267</v>
      </c>
      <c r="N16">
        <v>65.212168840292861</v>
      </c>
      <c r="O16">
        <v>1904.4593257281847</v>
      </c>
      <c r="P16">
        <v>1437.5419341451607</v>
      </c>
      <c r="Q16">
        <v>1.9251185645862819E-2</v>
      </c>
      <c r="R16">
        <v>1.9306136541059649</v>
      </c>
      <c r="S16">
        <v>131.06344869071154</v>
      </c>
      <c r="T16">
        <v>3882.5604833898183</v>
      </c>
      <c r="U16">
        <v>3060.0226630896536</v>
      </c>
    </row>
    <row r="17" spans="1:21" x14ac:dyDescent="0.3">
      <c r="A17" t="s">
        <v>1053</v>
      </c>
      <c r="B17" t="s">
        <v>1092</v>
      </c>
      <c r="C17">
        <v>15</v>
      </c>
      <c r="D17">
        <v>2</v>
      </c>
      <c r="E17">
        <v>23.183333333333334</v>
      </c>
      <c r="F17">
        <v>83460</v>
      </c>
      <c r="G17">
        <v>0.1754750956348298</v>
      </c>
      <c r="H17">
        <v>14.205978736785465</v>
      </c>
      <c r="I17">
        <v>1168.8652246516897</v>
      </c>
      <c r="J17">
        <v>20773.835007146608</v>
      </c>
      <c r="K17">
        <v>13077.409818030401</v>
      </c>
      <c r="L17">
        <v>1.1355970000309445E-2</v>
      </c>
      <c r="M17">
        <v>0.89921208635929639</v>
      </c>
      <c r="N17">
        <v>79.892491139703921</v>
      </c>
      <c r="O17">
        <v>1399.7955934249303</v>
      </c>
      <c r="P17">
        <v>843.94099861434427</v>
      </c>
      <c r="Q17">
        <v>2.4105156758620679E-2</v>
      </c>
      <c r="R17">
        <v>1.9514868655348714</v>
      </c>
      <c r="S17">
        <v>160.56796759674657</v>
      </c>
      <c r="T17">
        <v>2853.7186289220431</v>
      </c>
      <c r="U17">
        <v>1796.4544342882684</v>
      </c>
    </row>
    <row r="18" spans="1:21" x14ac:dyDescent="0.3">
      <c r="A18" t="s">
        <v>1054</v>
      </c>
      <c r="B18" t="s">
        <v>1092</v>
      </c>
      <c r="C18">
        <v>15</v>
      </c>
      <c r="D18">
        <v>3</v>
      </c>
      <c r="E18">
        <v>23.216666666666665</v>
      </c>
      <c r="F18">
        <v>83580</v>
      </c>
      <c r="G18">
        <v>0.15536724214204678</v>
      </c>
      <c r="H18">
        <v>28.92474743118121</v>
      </c>
      <c r="I18">
        <v>773.48606788094457</v>
      </c>
      <c r="J18">
        <v>16284.170587195473</v>
      </c>
      <c r="K18">
        <v>11109.904701805699</v>
      </c>
      <c r="L18">
        <v>1.0040242888645013E-2</v>
      </c>
      <c r="M18">
        <v>1.8282541349023165</v>
      </c>
      <c r="N18">
        <v>52.79223326581571</v>
      </c>
      <c r="O18">
        <v>1095.6948007217341</v>
      </c>
      <c r="P18">
        <v>715.94011778573088</v>
      </c>
      <c r="Q18">
        <v>2.1312281444810056E-2</v>
      </c>
      <c r="R18">
        <v>3.9677112721726755</v>
      </c>
      <c r="S18">
        <v>106.10185612515872</v>
      </c>
      <c r="T18">
        <v>2233.758042331147</v>
      </c>
      <c r="U18">
        <v>1523.985446130429</v>
      </c>
    </row>
    <row r="19" spans="1:21" x14ac:dyDescent="0.3">
      <c r="A19" t="s">
        <v>1055</v>
      </c>
      <c r="B19" t="s">
        <v>1092</v>
      </c>
      <c r="C19">
        <v>15</v>
      </c>
      <c r="D19">
        <v>4</v>
      </c>
      <c r="E19">
        <v>23.266666666666666</v>
      </c>
      <c r="F19">
        <v>83760</v>
      </c>
      <c r="G19">
        <v>0.2340477041170887</v>
      </c>
      <c r="H19">
        <v>4.8753395989421184</v>
      </c>
      <c r="I19">
        <v>1062.5118868546126</v>
      </c>
      <c r="J19">
        <v>18875.808401706865</v>
      </c>
      <c r="K19">
        <v>19000.207603763007</v>
      </c>
      <c r="L19">
        <v>1.5092279718701867E-2</v>
      </c>
      <c r="M19">
        <v>0.3074946468366257</v>
      </c>
      <c r="N19">
        <v>72.363078468765124</v>
      </c>
      <c r="O19">
        <v>1267.3460516168207</v>
      </c>
      <c r="P19">
        <v>1221.7726796705283</v>
      </c>
      <c r="Q19">
        <v>3.203616850470252E-2</v>
      </c>
      <c r="R19">
        <v>0.66733062603007476</v>
      </c>
      <c r="S19">
        <v>145.43535034419716</v>
      </c>
      <c r="T19">
        <v>2583.6979726023669</v>
      </c>
      <c r="U19">
        <v>2600.7255859000702</v>
      </c>
    </row>
    <row r="20" spans="1:21" x14ac:dyDescent="0.3">
      <c r="A20" t="s">
        <v>1056</v>
      </c>
      <c r="B20" t="s">
        <v>1093</v>
      </c>
      <c r="C20">
        <v>0</v>
      </c>
      <c r="D20">
        <v>1</v>
      </c>
      <c r="E20">
        <v>23.966666666666665</v>
      </c>
      <c r="F20">
        <v>86280</v>
      </c>
      <c r="G20">
        <v>0.10762481256398651</v>
      </c>
      <c r="H20">
        <v>27.56394193475689</v>
      </c>
      <c r="I20">
        <v>6223.16574159421</v>
      </c>
      <c r="J20">
        <v>7150.5484886196527</v>
      </c>
      <c r="K20">
        <v>13572.4514688124</v>
      </c>
      <c r="L20">
        <v>6.7373545242942123E-3</v>
      </c>
      <c r="M20">
        <v>1.6877205779467734</v>
      </c>
      <c r="N20">
        <v>411.45385611381073</v>
      </c>
      <c r="O20">
        <v>466.07471637915972</v>
      </c>
      <c r="P20">
        <v>847.26036978404227</v>
      </c>
      <c r="Q20">
        <v>1.4301287071213538E-2</v>
      </c>
      <c r="R20">
        <v>3.6627227219453178</v>
      </c>
      <c r="S20">
        <v>826.94016037767551</v>
      </c>
      <c r="T20">
        <v>950.17165852515245</v>
      </c>
      <c r="U20">
        <v>1803.5202114772464</v>
      </c>
    </row>
    <row r="21" spans="1:21" x14ac:dyDescent="0.3">
      <c r="A21" t="s">
        <v>1057</v>
      </c>
      <c r="B21" t="s">
        <v>1093</v>
      </c>
      <c r="C21">
        <v>0</v>
      </c>
      <c r="D21">
        <v>2</v>
      </c>
      <c r="E21">
        <v>24</v>
      </c>
      <c r="F21">
        <v>86400</v>
      </c>
      <c r="G21">
        <v>0.19651110698325941</v>
      </c>
      <c r="H21">
        <v>6.6043000179003482</v>
      </c>
      <c r="I21">
        <v>40268.702480579159</v>
      </c>
      <c r="J21">
        <v>33300.494079519158</v>
      </c>
      <c r="K21">
        <v>123566.96345493398</v>
      </c>
      <c r="L21">
        <v>1.228458497569845E-2</v>
      </c>
      <c r="M21">
        <v>0.40381496297017294</v>
      </c>
      <c r="N21">
        <v>2658.727326587772</v>
      </c>
      <c r="O21">
        <v>2167.5207269207203</v>
      </c>
      <c r="P21">
        <v>7702.9550558679148</v>
      </c>
      <c r="Q21">
        <v>2.6076314620920828E-2</v>
      </c>
      <c r="R21">
        <v>0.87636677519909068</v>
      </c>
      <c r="S21">
        <v>5343.5114756607163</v>
      </c>
      <c r="T21">
        <v>4418.8553714860873</v>
      </c>
      <c r="U21">
        <v>16396.890055060241</v>
      </c>
    </row>
    <row r="22" spans="1:21" x14ac:dyDescent="0.3">
      <c r="A22" t="s">
        <v>1058</v>
      </c>
      <c r="B22" t="s">
        <v>1093</v>
      </c>
      <c r="C22">
        <v>0</v>
      </c>
      <c r="D22">
        <v>3</v>
      </c>
      <c r="E22">
        <v>24.033333333333335</v>
      </c>
      <c r="F22">
        <v>86520</v>
      </c>
      <c r="G22">
        <v>6.612930883492206E-2</v>
      </c>
      <c r="H22">
        <v>18.413376701452588</v>
      </c>
      <c r="I22">
        <v>35244.718543827425</v>
      </c>
      <c r="J22">
        <v>40390.619529270683</v>
      </c>
      <c r="K22">
        <v>203433.91168794554</v>
      </c>
      <c r="L22">
        <v>4.1282368101604825E-3</v>
      </c>
      <c r="M22">
        <v>1.1243105425395175</v>
      </c>
      <c r="N22">
        <v>2323.7930129241477</v>
      </c>
      <c r="O22">
        <v>2625.3688513790498</v>
      </c>
      <c r="P22">
        <v>12664.136156300159</v>
      </c>
      <c r="Q22">
        <v>8.7629498354535092E-3</v>
      </c>
      <c r="R22">
        <v>2.4399997395848723</v>
      </c>
      <c r="S22">
        <v>4670.3603289611146</v>
      </c>
      <c r="T22">
        <v>5352.2557394547575</v>
      </c>
      <c r="U22">
        <v>26957.50483952033</v>
      </c>
    </row>
    <row r="23" spans="1:21" x14ac:dyDescent="0.3">
      <c r="A23" t="s">
        <v>1059</v>
      </c>
      <c r="B23" t="s">
        <v>1093</v>
      </c>
      <c r="C23">
        <v>0</v>
      </c>
      <c r="D23">
        <v>4</v>
      </c>
      <c r="E23">
        <v>24.083333333333332</v>
      </c>
      <c r="F23">
        <v>86700</v>
      </c>
      <c r="G23">
        <v>0.10357913706008334</v>
      </c>
      <c r="H23">
        <v>32.733824114308526</v>
      </c>
      <c r="I23">
        <v>50402.497752895302</v>
      </c>
      <c r="J23">
        <v>37812.927467922949</v>
      </c>
      <c r="K23">
        <v>205922.89083616916</v>
      </c>
      <c r="L23">
        <v>6.452682852377903E-3</v>
      </c>
      <c r="M23">
        <v>1.9945595295484793</v>
      </c>
      <c r="N23">
        <v>3316.2927924844098</v>
      </c>
      <c r="O23">
        <v>2452.7174932991402</v>
      </c>
      <c r="P23">
        <v>12792.465691924928</v>
      </c>
      <c r="Q23">
        <v>1.3697018543197496E-2</v>
      </c>
      <c r="R23">
        <v>4.3286303459293229</v>
      </c>
      <c r="S23">
        <v>6665.0868692255699</v>
      </c>
      <c r="T23">
        <v>5000.2769225649108</v>
      </c>
      <c r="U23">
        <v>27230.673418487095</v>
      </c>
    </row>
    <row r="24" spans="1:21" x14ac:dyDescent="0.3">
      <c r="A24" t="s">
        <v>1060</v>
      </c>
      <c r="B24" t="s">
        <v>1093</v>
      </c>
      <c r="C24">
        <v>3</v>
      </c>
      <c r="D24">
        <v>1</v>
      </c>
      <c r="E24">
        <v>23.9</v>
      </c>
      <c r="F24">
        <v>86040</v>
      </c>
      <c r="G24">
        <v>0.14679700371940479</v>
      </c>
      <c r="H24">
        <v>6.1605768076064145</v>
      </c>
      <c r="I24">
        <v>20182.860622170916</v>
      </c>
      <c r="J24">
        <v>38869.677462333289</v>
      </c>
      <c r="K24">
        <v>143913.36475890048</v>
      </c>
      <c r="L24">
        <v>9.2151820369434263E-3</v>
      </c>
      <c r="M24">
        <v>0.37825992364868688</v>
      </c>
      <c r="N24">
        <v>1338.1420706240503</v>
      </c>
      <c r="O24">
        <v>2540.6033101441894</v>
      </c>
      <c r="P24">
        <v>9008.8521098127439</v>
      </c>
      <c r="Q24">
        <v>1.9560936454894973E-2</v>
      </c>
      <c r="R24">
        <v>0.82090675153991088</v>
      </c>
      <c r="S24">
        <v>2689.3985851572256</v>
      </c>
      <c r="T24">
        <v>5179.4469341914682</v>
      </c>
      <c r="U24">
        <v>19176.686933201036</v>
      </c>
    </row>
    <row r="25" spans="1:21" x14ac:dyDescent="0.3">
      <c r="A25" t="s">
        <v>1061</v>
      </c>
      <c r="B25" t="s">
        <v>1093</v>
      </c>
      <c r="C25">
        <v>3</v>
      </c>
      <c r="D25">
        <v>2</v>
      </c>
      <c r="E25">
        <v>23.933333333333334</v>
      </c>
      <c r="F25">
        <v>86160</v>
      </c>
      <c r="G25">
        <v>0.36936259299628382</v>
      </c>
      <c r="H25">
        <v>12.792319164177378</v>
      </c>
      <c r="I25">
        <v>18256.344786236761</v>
      </c>
      <c r="J25">
        <v>32643.186933526384</v>
      </c>
      <c r="K25">
        <v>60020.634670071784</v>
      </c>
      <c r="L25">
        <v>2.3154443592851879E-2</v>
      </c>
      <c r="M25">
        <v>0.7843555100908246</v>
      </c>
      <c r="N25">
        <v>1208.7265022583094</v>
      </c>
      <c r="O25">
        <v>2130.6552580665152</v>
      </c>
      <c r="P25">
        <v>3752.0068717107201</v>
      </c>
      <c r="Q25">
        <v>4.9149609628162602E-2</v>
      </c>
      <c r="R25">
        <v>1.7022229783959393</v>
      </c>
      <c r="S25">
        <v>2429.299112836004</v>
      </c>
      <c r="T25">
        <v>4343.698915981191</v>
      </c>
      <c r="U25">
        <v>7986.7068826275818</v>
      </c>
    </row>
    <row r="26" spans="1:21" x14ac:dyDescent="0.3">
      <c r="A26" t="s">
        <v>1062</v>
      </c>
      <c r="B26" t="s">
        <v>1093</v>
      </c>
      <c r="C26">
        <v>3</v>
      </c>
      <c r="D26">
        <v>3</v>
      </c>
      <c r="E26">
        <v>23.95</v>
      </c>
      <c r="F26">
        <v>86220</v>
      </c>
      <c r="G26">
        <v>0.17170713284854644</v>
      </c>
      <c r="H26">
        <v>7.58146994343151</v>
      </c>
      <c r="I26">
        <v>24325.748711380638</v>
      </c>
      <c r="J26">
        <v>38080.772574196119</v>
      </c>
      <c r="K26">
        <v>77406.17886696475</v>
      </c>
      <c r="L26">
        <v>1.0756412459886419E-2</v>
      </c>
      <c r="M26">
        <v>0.46453105698194874</v>
      </c>
      <c r="N26">
        <v>1609.4522752287999</v>
      </c>
      <c r="O26">
        <v>2483.8425155322197</v>
      </c>
      <c r="P26">
        <v>4835.4438284593143</v>
      </c>
      <c r="Q26">
        <v>2.2832484455214078E-2</v>
      </c>
      <c r="R26">
        <v>1.0081339764944894</v>
      </c>
      <c r="S26">
        <v>3234.6779664881242</v>
      </c>
      <c r="T26">
        <v>5063.7305126386073</v>
      </c>
      <c r="U26">
        <v>10292.964225757583</v>
      </c>
    </row>
    <row r="27" spans="1:21" x14ac:dyDescent="0.3">
      <c r="A27" t="s">
        <v>1063</v>
      </c>
      <c r="B27" t="s">
        <v>1093</v>
      </c>
      <c r="C27">
        <v>6</v>
      </c>
      <c r="D27">
        <v>1</v>
      </c>
      <c r="E27">
        <v>23.633333333333333</v>
      </c>
      <c r="F27">
        <v>85080</v>
      </c>
      <c r="G27">
        <v>0.2353808346403895</v>
      </c>
      <c r="H27">
        <v>2.052947524283661</v>
      </c>
      <c r="I27">
        <v>9250.8081473045586</v>
      </c>
      <c r="J27">
        <v>31857.659164997112</v>
      </c>
      <c r="K27">
        <v>165888.92539569788</v>
      </c>
      <c r="L27">
        <v>1.4942757427470652E-2</v>
      </c>
      <c r="M27">
        <v>0.12747344501627469</v>
      </c>
      <c r="N27">
        <v>620.25760597056501</v>
      </c>
      <c r="O27">
        <v>2105.7785849753691</v>
      </c>
      <c r="P27">
        <v>10501.676710639824</v>
      </c>
      <c r="Q27">
        <v>3.171877965382159E-2</v>
      </c>
      <c r="R27">
        <v>0.27664525135657936</v>
      </c>
      <c r="S27">
        <v>1246.5940385181279</v>
      </c>
      <c r="T27">
        <v>4292.9836360079835</v>
      </c>
      <c r="U27">
        <v>22354.387007227084</v>
      </c>
    </row>
    <row r="28" spans="1:21" x14ac:dyDescent="0.3">
      <c r="A28" t="s">
        <v>1064</v>
      </c>
      <c r="B28" t="s">
        <v>1093</v>
      </c>
      <c r="C28">
        <v>6</v>
      </c>
      <c r="D28">
        <v>3</v>
      </c>
      <c r="E28">
        <v>23.683333333333334</v>
      </c>
      <c r="F28">
        <v>85260</v>
      </c>
      <c r="G28">
        <v>8.5211465010136295E-2</v>
      </c>
      <c r="H28">
        <v>12.24160008935193</v>
      </c>
      <c r="I28">
        <v>13031.769859251037</v>
      </c>
      <c r="J28">
        <v>30247.773206097499</v>
      </c>
      <c r="K28">
        <v>56902.203313336657</v>
      </c>
      <c r="L28">
        <v>5.3980864177958924E-3</v>
      </c>
      <c r="M28">
        <v>0.75851157959191706</v>
      </c>
      <c r="N28">
        <v>871.92268914097201</v>
      </c>
      <c r="O28">
        <v>1995.1447245396239</v>
      </c>
      <c r="P28">
        <v>3594.6158646861336</v>
      </c>
      <c r="Q28">
        <v>1.1458441620927618E-2</v>
      </c>
      <c r="R28">
        <v>1.6461359977075349</v>
      </c>
      <c r="S28">
        <v>1752.390645223966</v>
      </c>
      <c r="T28">
        <v>4067.437913476761</v>
      </c>
      <c r="U28">
        <v>7651.6766222768556</v>
      </c>
    </row>
    <row r="29" spans="1:21" x14ac:dyDescent="0.3">
      <c r="A29" t="s">
        <v>1065</v>
      </c>
      <c r="B29" t="s">
        <v>1093</v>
      </c>
      <c r="C29">
        <v>6</v>
      </c>
      <c r="D29">
        <v>4</v>
      </c>
      <c r="E29">
        <v>23.733333333333334</v>
      </c>
      <c r="F29">
        <v>85440</v>
      </c>
      <c r="G29">
        <v>4.2712342066295095E-2</v>
      </c>
      <c r="H29">
        <v>6.288936081210168</v>
      </c>
      <c r="I29">
        <v>11517.517375478485</v>
      </c>
      <c r="J29">
        <v>35971.271724185572</v>
      </c>
      <c r="K29">
        <v>118283.08662516794</v>
      </c>
      <c r="L29">
        <v>2.7000964349601095E-3</v>
      </c>
      <c r="M29">
        <v>0.3888528593109607</v>
      </c>
      <c r="N29">
        <v>768.98442200116017</v>
      </c>
      <c r="O29">
        <v>2367.6683940895377</v>
      </c>
      <c r="P29">
        <v>7456.4161993493217</v>
      </c>
      <c r="Q29">
        <v>5.731456478515945E-3</v>
      </c>
      <c r="R29">
        <v>0.8438957383717931</v>
      </c>
      <c r="S29">
        <v>1545.5052657999111</v>
      </c>
      <c r="T29">
        <v>4826.8900367027791</v>
      </c>
      <c r="U29">
        <v>15872.095285349595</v>
      </c>
    </row>
    <row r="30" spans="1:21" x14ac:dyDescent="0.3">
      <c r="A30" t="s">
        <v>1066</v>
      </c>
      <c r="B30" t="s">
        <v>1093</v>
      </c>
      <c r="C30">
        <v>9</v>
      </c>
      <c r="D30">
        <v>1</v>
      </c>
      <c r="E30">
        <v>23.916666666666668</v>
      </c>
      <c r="F30">
        <v>86100</v>
      </c>
      <c r="G30">
        <v>0.40825470569896533</v>
      </c>
      <c r="H30">
        <v>11.265841212534568</v>
      </c>
      <c r="I30">
        <v>15429.553810686948</v>
      </c>
      <c r="J30">
        <v>18930.251366959641</v>
      </c>
      <c r="K30">
        <v>4231.8391991078906</v>
      </c>
      <c r="L30">
        <v>2.5610330141993914E-2</v>
      </c>
      <c r="M30">
        <v>0.69124154147287653</v>
      </c>
      <c r="N30">
        <v>1022.2806054707502</v>
      </c>
      <c r="O30">
        <v>1236.4585265228382</v>
      </c>
      <c r="P30">
        <v>264.72486627148157</v>
      </c>
      <c r="Q30">
        <v>5.4362685239215058E-2</v>
      </c>
      <c r="R30">
        <v>1.5001453044942719</v>
      </c>
      <c r="S30">
        <v>2054.580058681322</v>
      </c>
      <c r="T30">
        <v>2520.7285603710211</v>
      </c>
      <c r="U30">
        <v>563.50640703627118</v>
      </c>
    </row>
    <row r="31" spans="1:21" x14ac:dyDescent="0.3">
      <c r="A31" t="s">
        <v>1067</v>
      </c>
      <c r="B31" t="s">
        <v>1093</v>
      </c>
      <c r="C31">
        <v>9</v>
      </c>
      <c r="D31">
        <v>3</v>
      </c>
      <c r="E31">
        <v>24</v>
      </c>
      <c r="F31">
        <v>86400</v>
      </c>
      <c r="G31">
        <v>5.2075416662097467E-2</v>
      </c>
      <c r="H31">
        <v>2.701882245478652</v>
      </c>
      <c r="I31">
        <v>6626.9428545158198</v>
      </c>
      <c r="J31">
        <v>26434.830475540159</v>
      </c>
      <c r="K31">
        <v>59230.555974261151</v>
      </c>
      <c r="L31">
        <v>3.2554133501722974E-3</v>
      </c>
      <c r="M31">
        <v>0.16520456005186174</v>
      </c>
      <c r="N31">
        <v>437.54163838614403</v>
      </c>
      <c r="O31">
        <v>1720.6364215361268</v>
      </c>
      <c r="P31">
        <v>3692.3324636863895</v>
      </c>
      <c r="Q31">
        <v>6.9102198330808738E-3</v>
      </c>
      <c r="R31">
        <v>0.35853002195841982</v>
      </c>
      <c r="S31">
        <v>879.37139789222658</v>
      </c>
      <c r="T31">
        <v>3507.8065917648833</v>
      </c>
      <c r="U31">
        <v>7859.6809944614051</v>
      </c>
    </row>
    <row r="32" spans="1:21" x14ac:dyDescent="0.3">
      <c r="A32" t="s">
        <v>1068</v>
      </c>
      <c r="B32" t="s">
        <v>1093</v>
      </c>
      <c r="C32">
        <v>9</v>
      </c>
      <c r="D32">
        <v>4</v>
      </c>
      <c r="E32">
        <v>23.983333333333334</v>
      </c>
      <c r="F32">
        <v>86340</v>
      </c>
      <c r="G32">
        <v>0.10260283850363063</v>
      </c>
      <c r="H32">
        <v>9.1950671679433285</v>
      </c>
      <c r="I32">
        <v>9200.8990784659545</v>
      </c>
      <c r="J32">
        <v>27791.458279781113</v>
      </c>
      <c r="K32">
        <v>93478.521640262232</v>
      </c>
      <c r="L32">
        <v>6.4185135225873161E-3</v>
      </c>
      <c r="M32">
        <v>0.5626161796695841</v>
      </c>
      <c r="N32">
        <v>607.90837747454896</v>
      </c>
      <c r="O32">
        <v>1810.1960623729158</v>
      </c>
      <c r="P32">
        <v>5831.3421361782684</v>
      </c>
      <c r="Q32">
        <v>1.3624487790569878E-2</v>
      </c>
      <c r="R32">
        <v>1.2210001418107046</v>
      </c>
      <c r="S32">
        <v>1221.7745530732977</v>
      </c>
      <c r="T32">
        <v>3690.3889749756918</v>
      </c>
      <c r="U32">
        <v>12412.882483004683</v>
      </c>
    </row>
    <row r="33" spans="1:21" x14ac:dyDescent="0.3">
      <c r="A33" t="s">
        <v>1069</v>
      </c>
      <c r="B33" t="s">
        <v>1093</v>
      </c>
      <c r="C33">
        <v>12</v>
      </c>
      <c r="D33">
        <v>1</v>
      </c>
      <c r="E33">
        <v>23.766666666666666</v>
      </c>
      <c r="F33">
        <v>85560</v>
      </c>
      <c r="G33">
        <v>9.5017089127378204E-2</v>
      </c>
      <c r="H33">
        <v>2.8306034856416176</v>
      </c>
      <c r="I33">
        <v>10835.507499862106</v>
      </c>
      <c r="J33">
        <v>22058.114725663439</v>
      </c>
      <c r="K33">
        <v>28417.602305959543</v>
      </c>
      <c r="L33">
        <v>5.9981603936683087E-3</v>
      </c>
      <c r="M33">
        <v>0.17477431833861423</v>
      </c>
      <c r="N33">
        <v>722.43434884445855</v>
      </c>
      <c r="O33">
        <v>1449.8528937187291</v>
      </c>
      <c r="P33">
        <v>1788.8972162070761</v>
      </c>
      <c r="Q33">
        <v>1.2732210154551712E-2</v>
      </c>
      <c r="R33">
        <v>0.37929849013877193</v>
      </c>
      <c r="S33">
        <v>1451.9489061017107</v>
      </c>
      <c r="T33">
        <v>2955.7688504207717</v>
      </c>
      <c r="U33">
        <v>3807.9348459402108</v>
      </c>
    </row>
    <row r="34" spans="1:21" x14ac:dyDescent="0.3">
      <c r="A34" t="s">
        <v>1070</v>
      </c>
      <c r="B34" t="s">
        <v>1093</v>
      </c>
      <c r="C34">
        <v>12</v>
      </c>
      <c r="D34">
        <v>3</v>
      </c>
      <c r="E34">
        <v>23.816666666666666</v>
      </c>
      <c r="F34">
        <v>85740</v>
      </c>
      <c r="G34">
        <v>9.0676884123217741E-2</v>
      </c>
      <c r="H34">
        <v>6.8570359848048046</v>
      </c>
      <c r="I34">
        <v>5061.7007394362035</v>
      </c>
      <c r="J34">
        <v>25884.424793881051</v>
      </c>
      <c r="K34">
        <v>41922.368811935819</v>
      </c>
      <c r="L34">
        <v>5.7121583503033039E-3</v>
      </c>
      <c r="M34">
        <v>0.42249571159000998</v>
      </c>
      <c r="N34">
        <v>336.76960799876292</v>
      </c>
      <c r="O34">
        <v>1697.7798063955345</v>
      </c>
      <c r="P34">
        <v>2633.4863227615924</v>
      </c>
      <c r="Q34">
        <v>1.212511766589496E-2</v>
      </c>
      <c r="R34">
        <v>0.9169080847777572</v>
      </c>
      <c r="S34">
        <v>676.83972214807068</v>
      </c>
      <c r="T34">
        <v>3461.2095395044034</v>
      </c>
      <c r="U34">
        <v>5605.7688747557404</v>
      </c>
    </row>
    <row r="35" spans="1:21" x14ac:dyDescent="0.3">
      <c r="A35" t="s">
        <v>1071</v>
      </c>
      <c r="B35" t="s">
        <v>1093</v>
      </c>
      <c r="C35">
        <v>12</v>
      </c>
      <c r="D35">
        <v>4</v>
      </c>
      <c r="E35">
        <v>23.866666666666667</v>
      </c>
      <c r="F35">
        <v>85920</v>
      </c>
      <c r="G35">
        <v>0.24372554690762538</v>
      </c>
      <c r="H35">
        <v>6.5151036345221858</v>
      </c>
      <c r="I35">
        <v>20227.892806597778</v>
      </c>
      <c r="J35">
        <v>20712.894582359717</v>
      </c>
      <c r="K35">
        <v>2815.229365639314</v>
      </c>
      <c r="L35">
        <v>1.5321239955906675E-2</v>
      </c>
      <c r="M35">
        <v>0.40058659822046722</v>
      </c>
      <c r="N35">
        <v>1343.0008289746581</v>
      </c>
      <c r="O35">
        <v>1355.7288903890039</v>
      </c>
      <c r="P35">
        <v>176.47705492515686</v>
      </c>
      <c r="Q35">
        <v>3.2522179158936598E-2</v>
      </c>
      <c r="R35">
        <v>0.86936051771904055</v>
      </c>
      <c r="S35">
        <v>2699.1637200562809</v>
      </c>
      <c r="T35">
        <v>2763.8812469789318</v>
      </c>
      <c r="U35">
        <v>375.65776326895445</v>
      </c>
    </row>
    <row r="36" spans="1:21" x14ac:dyDescent="0.3">
      <c r="A36" t="s">
        <v>1072</v>
      </c>
      <c r="B36" t="s">
        <v>1093</v>
      </c>
      <c r="C36">
        <v>15</v>
      </c>
      <c r="D36">
        <v>1</v>
      </c>
      <c r="E36">
        <v>23.416666666666668</v>
      </c>
      <c r="F36">
        <v>84300</v>
      </c>
      <c r="G36">
        <v>0.23644576301838169</v>
      </c>
      <c r="H36">
        <v>13.274637161785245</v>
      </c>
      <c r="I36">
        <v>11664.406954291437</v>
      </c>
      <c r="J36">
        <v>20381.122403604979</v>
      </c>
      <c r="K36">
        <v>15860.195196503368</v>
      </c>
      <c r="L36">
        <v>1.5149248536564502E-2</v>
      </c>
      <c r="M36">
        <v>0.83188719687647728</v>
      </c>
      <c r="N36">
        <v>789.32342937726651</v>
      </c>
      <c r="O36">
        <v>1359.6491234254891</v>
      </c>
      <c r="P36">
        <v>1013.327165241494</v>
      </c>
      <c r="Q36">
        <v>3.2157095407899225E-2</v>
      </c>
      <c r="R36">
        <v>1.8053771328674084</v>
      </c>
      <c r="S36">
        <v>1586.382612728622</v>
      </c>
      <c r="T36">
        <v>2771.8733010320257</v>
      </c>
      <c r="U36">
        <v>2157.0181829911421</v>
      </c>
    </row>
    <row r="37" spans="1:21" x14ac:dyDescent="0.3">
      <c r="A37" t="s">
        <v>1073</v>
      </c>
      <c r="B37" t="s">
        <v>1093</v>
      </c>
      <c r="C37">
        <v>15</v>
      </c>
      <c r="D37">
        <v>3</v>
      </c>
      <c r="E37">
        <v>23.366666666666667</v>
      </c>
      <c r="F37">
        <v>84120</v>
      </c>
      <c r="G37">
        <v>0.12815750453738781</v>
      </c>
      <c r="H37">
        <v>1.9026017519885936</v>
      </c>
      <c r="I37">
        <v>9888.96322023227</v>
      </c>
      <c r="J37">
        <v>23477.857798133453</v>
      </c>
      <c r="K37">
        <v>11398.967377971412</v>
      </c>
      <c r="L37">
        <v>8.2287128508533244E-3</v>
      </c>
      <c r="M37">
        <v>0.11948626451226754</v>
      </c>
      <c r="N37">
        <v>670.61212774174112</v>
      </c>
      <c r="O37">
        <v>1569.587488598695</v>
      </c>
      <c r="P37">
        <v>729.85229625247723</v>
      </c>
      <c r="Q37">
        <v>1.7466972278553997E-2</v>
      </c>
      <c r="R37">
        <v>0.25931132304014193</v>
      </c>
      <c r="S37">
        <v>1347.7965808943006</v>
      </c>
      <c r="T37">
        <v>3199.8679499895666</v>
      </c>
      <c r="U37">
        <v>1553.5995953875822</v>
      </c>
    </row>
    <row r="38" spans="1:21" x14ac:dyDescent="0.3">
      <c r="A38" t="s">
        <v>1074</v>
      </c>
      <c r="B38" t="s">
        <v>1093</v>
      </c>
      <c r="C38">
        <v>15</v>
      </c>
      <c r="D38">
        <v>4</v>
      </c>
      <c r="E38">
        <v>23.316666666666666</v>
      </c>
      <c r="F38">
        <v>83940</v>
      </c>
      <c r="G38">
        <v>0.1520189898454527</v>
      </c>
      <c r="H38">
        <v>2.9920369653157399</v>
      </c>
      <c r="I38">
        <v>14061.962780138798</v>
      </c>
      <c r="J38">
        <v>36550.555698921016</v>
      </c>
      <c r="K38">
        <v>2508.7891682765267</v>
      </c>
      <c r="L38">
        <v>9.7817375584742967E-3</v>
      </c>
      <c r="M38">
        <v>0.18830738203873434</v>
      </c>
      <c r="N38">
        <v>955.6456445318189</v>
      </c>
      <c r="O38">
        <v>2448.7888757573201</v>
      </c>
      <c r="P38">
        <v>160.97703836351474</v>
      </c>
      <c r="Q38">
        <v>2.0763555839992991E-2</v>
      </c>
      <c r="R38">
        <v>0.40866819775486674</v>
      </c>
      <c r="S38">
        <v>1920.657081737929</v>
      </c>
      <c r="T38">
        <v>4992.26777528822</v>
      </c>
      <c r="U38">
        <v>342.66366352806961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0F4C-5134-439A-BF95-B44ED14970A7}">
  <dimension ref="A1:M25"/>
  <sheetViews>
    <sheetView workbookViewId="0">
      <selection activeCell="C14" sqref="C14:C25"/>
    </sheetView>
  </sheetViews>
  <sheetFormatPr defaultRowHeight="14" x14ac:dyDescent="0.3"/>
  <cols>
    <col min="1" max="13" width="14.1640625" customWidth="1"/>
  </cols>
  <sheetData>
    <row r="1" spans="1:13" x14ac:dyDescent="0.3">
      <c r="A1" t="s">
        <v>0</v>
      </c>
      <c r="B1" t="s">
        <v>18</v>
      </c>
      <c r="C1" t="s">
        <v>1031</v>
      </c>
      <c r="D1" t="s">
        <v>6</v>
      </c>
      <c r="E1" t="s">
        <v>793</v>
      </c>
      <c r="F1" t="s">
        <v>794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818</v>
      </c>
      <c r="M1" t="s">
        <v>819</v>
      </c>
    </row>
    <row r="2" spans="1:13" x14ac:dyDescent="0.3">
      <c r="A2" t="s">
        <v>795</v>
      </c>
      <c r="B2" t="s">
        <v>1035</v>
      </c>
      <c r="C2">
        <v>1</v>
      </c>
      <c r="D2">
        <v>0.18061173723536772</v>
      </c>
      <c r="E2">
        <v>0.1</v>
      </c>
      <c r="F2">
        <v>1</v>
      </c>
      <c r="G2">
        <v>8.9897289921009829E-2</v>
      </c>
      <c r="H2">
        <v>23.852785881227607</v>
      </c>
      <c r="I2">
        <v>9.496471690049562</v>
      </c>
      <c r="J2">
        <v>194.55697467550999</v>
      </c>
      <c r="K2">
        <v>67.403084319806922</v>
      </c>
      <c r="L2">
        <v>448.45159126807067</v>
      </c>
      <c r="M2">
        <v>10152.4671243342</v>
      </c>
    </row>
    <row r="3" spans="1:13" x14ac:dyDescent="0.3">
      <c r="A3" t="s">
        <v>796</v>
      </c>
      <c r="B3" t="s">
        <v>1035</v>
      </c>
      <c r="C3">
        <v>1</v>
      </c>
      <c r="D3">
        <v>0.1920098481136697</v>
      </c>
      <c r="E3">
        <v>0.1</v>
      </c>
      <c r="F3">
        <v>1</v>
      </c>
      <c r="G3">
        <v>8.4277069615222813E-2</v>
      </c>
      <c r="H3">
        <v>22.201673027879711</v>
      </c>
      <c r="I3">
        <v>7.9599718523429202</v>
      </c>
      <c r="J3">
        <v>175.72817714142889</v>
      </c>
      <c r="K3">
        <v>58.834709327412604</v>
      </c>
      <c r="L3">
        <v>408.66570204450755</v>
      </c>
      <c r="M3">
        <v>9877.2718331259894</v>
      </c>
    </row>
    <row r="4" spans="1:13" x14ac:dyDescent="0.3">
      <c r="A4" t="s">
        <v>797</v>
      </c>
      <c r="B4" t="s">
        <v>1035</v>
      </c>
      <c r="C4">
        <v>1</v>
      </c>
      <c r="D4">
        <v>0.17891741579767476</v>
      </c>
      <c r="E4">
        <v>0.1</v>
      </c>
      <c r="F4">
        <v>1</v>
      </c>
      <c r="G4">
        <v>8.3216037565095421E-2</v>
      </c>
      <c r="H4">
        <v>17.123193993679546</v>
      </c>
      <c r="I4">
        <v>9.3655848681253833</v>
      </c>
      <c r="J4">
        <v>143.41875003174499</v>
      </c>
      <c r="K4">
        <v>47.795665302455461</v>
      </c>
      <c r="L4">
        <v>335.79256953252951</v>
      </c>
      <c r="M4">
        <v>7289.6122626962988</v>
      </c>
    </row>
    <row r="5" spans="1:13" x14ac:dyDescent="0.3">
      <c r="A5" t="s">
        <v>798</v>
      </c>
      <c r="B5" t="s">
        <v>1035</v>
      </c>
      <c r="C5">
        <v>2</v>
      </c>
      <c r="D5">
        <v>0.1743864307475983</v>
      </c>
      <c r="E5">
        <v>0.1</v>
      </c>
      <c r="F5">
        <v>1</v>
      </c>
      <c r="G5">
        <v>9.5335661092163668E-2</v>
      </c>
      <c r="H5">
        <v>25.929504739588776</v>
      </c>
      <c r="I5">
        <v>8.9932398880860696</v>
      </c>
      <c r="J5">
        <v>218.24541321498643</v>
      </c>
      <c r="K5">
        <v>75.13786926921297</v>
      </c>
      <c r="L5">
        <v>508.03387375888792</v>
      </c>
      <c r="M5">
        <v>10996.921776151199</v>
      </c>
    </row>
    <row r="6" spans="1:13" x14ac:dyDescent="0.3">
      <c r="A6" t="s">
        <v>799</v>
      </c>
      <c r="B6" t="s">
        <v>1035</v>
      </c>
      <c r="C6">
        <v>2</v>
      </c>
      <c r="D6">
        <v>0.16485487832105278</v>
      </c>
      <c r="E6">
        <v>0.1</v>
      </c>
      <c r="F6">
        <v>1</v>
      </c>
      <c r="G6">
        <v>0.10706651143174178</v>
      </c>
      <c r="H6">
        <v>26.93928350219517</v>
      </c>
      <c r="I6">
        <v>12.239849124497683</v>
      </c>
      <c r="J6">
        <v>324.00918690651088</v>
      </c>
      <c r="K6">
        <v>86.101443036012512</v>
      </c>
      <c r="L6">
        <v>530.24739110206917</v>
      </c>
      <c r="M6">
        <v>12020.6803105087</v>
      </c>
    </row>
    <row r="7" spans="1:13" x14ac:dyDescent="0.3">
      <c r="A7" t="s">
        <v>800</v>
      </c>
      <c r="B7" t="s">
        <v>1035</v>
      </c>
      <c r="C7">
        <v>2</v>
      </c>
      <c r="D7">
        <v>0.18452238805970175</v>
      </c>
      <c r="E7">
        <v>0.1</v>
      </c>
      <c r="F7">
        <v>1</v>
      </c>
      <c r="G7">
        <v>8.6246583055544071E-2</v>
      </c>
      <c r="H7">
        <v>24.555982782742682</v>
      </c>
      <c r="I7">
        <v>9.2177340655402489</v>
      </c>
      <c r="J7">
        <v>207.66899708185218</v>
      </c>
      <c r="K7">
        <v>70.805128669398144</v>
      </c>
      <c r="L7">
        <v>477.48421528074937</v>
      </c>
      <c r="M7">
        <v>10861.260385137699</v>
      </c>
    </row>
    <row r="8" spans="1:13" x14ac:dyDescent="0.3">
      <c r="A8" t="s">
        <v>801</v>
      </c>
      <c r="B8" t="s">
        <v>1035</v>
      </c>
      <c r="C8">
        <v>3</v>
      </c>
      <c r="D8">
        <v>0.20572465097457329</v>
      </c>
      <c r="E8">
        <v>0.1</v>
      </c>
      <c r="F8">
        <v>1</v>
      </c>
      <c r="G8">
        <v>7.8523645934558906E-2</v>
      </c>
      <c r="H8">
        <v>22.801895410350348</v>
      </c>
      <c r="I8">
        <v>7.2938964105619988</v>
      </c>
      <c r="J8">
        <v>204.88832863729166</v>
      </c>
      <c r="K8">
        <v>64.907343355604866</v>
      </c>
      <c r="L8">
        <v>475.64962619613004</v>
      </c>
      <c r="M8">
        <v>11428.666659826898</v>
      </c>
    </row>
    <row r="9" spans="1:13" x14ac:dyDescent="0.3">
      <c r="A9" t="s">
        <v>802</v>
      </c>
      <c r="B9" t="s">
        <v>1035</v>
      </c>
      <c r="C9">
        <v>3</v>
      </c>
      <c r="D9">
        <v>0.1977029791459787</v>
      </c>
      <c r="E9">
        <v>0.1</v>
      </c>
      <c r="F9">
        <v>1</v>
      </c>
      <c r="G9">
        <v>8.5842513667460332E-2</v>
      </c>
      <c r="H9">
        <v>24.040977139486902</v>
      </c>
      <c r="I9">
        <v>8.7697662570894845</v>
      </c>
      <c r="J9">
        <v>208.5513790659742</v>
      </c>
      <c r="K9">
        <v>69.368278553526039</v>
      </c>
      <c r="L9">
        <v>430.84517779059104</v>
      </c>
      <c r="M9">
        <v>11206.631764293099</v>
      </c>
    </row>
    <row r="10" spans="1:13" x14ac:dyDescent="0.3">
      <c r="A10" t="s">
        <v>803</v>
      </c>
      <c r="B10" t="s">
        <v>1035</v>
      </c>
      <c r="C10">
        <v>3</v>
      </c>
      <c r="D10">
        <v>0.20609085317634596</v>
      </c>
      <c r="E10">
        <v>0.1</v>
      </c>
      <c r="F10">
        <v>1</v>
      </c>
      <c r="G10">
        <v>8.3165359634525982E-2</v>
      </c>
      <c r="H10">
        <v>22.809933883999307</v>
      </c>
      <c r="I10">
        <v>7.5360728047848111</v>
      </c>
      <c r="J10">
        <v>193.85199899108758</v>
      </c>
      <c r="K10">
        <v>63.641124313350993</v>
      </c>
      <c r="L10">
        <v>399.16318743925132</v>
      </c>
      <c r="M10">
        <v>10536.836678105898</v>
      </c>
    </row>
    <row r="11" spans="1:13" x14ac:dyDescent="0.3">
      <c r="A11" t="s">
        <v>804</v>
      </c>
      <c r="B11" t="s">
        <v>1035</v>
      </c>
      <c r="C11">
        <v>4</v>
      </c>
      <c r="D11">
        <v>0.2057901509005351</v>
      </c>
      <c r="E11">
        <v>0.1</v>
      </c>
      <c r="F11">
        <v>1</v>
      </c>
      <c r="G11">
        <v>7.9524810915538549E-2</v>
      </c>
      <c r="H11">
        <v>22.582079295334569</v>
      </c>
      <c r="I11">
        <v>7.4045674954822047</v>
      </c>
      <c r="J11">
        <v>197.23706725997479</v>
      </c>
      <c r="K11">
        <v>64.216119485215543</v>
      </c>
      <c r="L11">
        <v>400.44724782321799</v>
      </c>
      <c r="M11">
        <v>11604.327550749498</v>
      </c>
    </row>
    <row r="12" spans="1:13" x14ac:dyDescent="0.3">
      <c r="A12" t="s">
        <v>805</v>
      </c>
      <c r="B12" t="s">
        <v>1035</v>
      </c>
      <c r="C12">
        <v>4</v>
      </c>
      <c r="D12">
        <v>0.21280641208903381</v>
      </c>
      <c r="E12">
        <v>0.1</v>
      </c>
      <c r="F12">
        <v>1</v>
      </c>
      <c r="G12">
        <v>7.93321461380673E-2</v>
      </c>
      <c r="H12">
        <v>23.24474934354004</v>
      </c>
      <c r="I12">
        <v>7.0620032658420229</v>
      </c>
      <c r="J12">
        <v>200.23496533325235</v>
      </c>
      <c r="K12">
        <v>64.292589851882781</v>
      </c>
      <c r="L12">
        <v>396.5843816474312</v>
      </c>
      <c r="M12">
        <v>12067.148398420899</v>
      </c>
    </row>
    <row r="13" spans="1:13" x14ac:dyDescent="0.3">
      <c r="A13" t="s">
        <v>806</v>
      </c>
      <c r="B13" t="s">
        <v>1035</v>
      </c>
      <c r="C13">
        <v>4</v>
      </c>
      <c r="D13">
        <v>0.20759687724335854</v>
      </c>
      <c r="E13">
        <v>0.1</v>
      </c>
      <c r="F13">
        <v>1</v>
      </c>
      <c r="G13">
        <v>8.3313932372459751E-2</v>
      </c>
      <c r="H13">
        <v>22.567746184675435</v>
      </c>
      <c r="I13">
        <v>7.5922377155934493</v>
      </c>
      <c r="J13">
        <v>187.7192231178681</v>
      </c>
      <c r="K13">
        <v>62.259626710264946</v>
      </c>
      <c r="L13">
        <v>384.35424977965738</v>
      </c>
      <c r="M13">
        <v>11182.392981000799</v>
      </c>
    </row>
    <row r="14" spans="1:13" x14ac:dyDescent="0.3">
      <c r="A14" t="s">
        <v>807</v>
      </c>
      <c r="B14" t="s">
        <v>1034</v>
      </c>
      <c r="C14">
        <v>1</v>
      </c>
      <c r="D14">
        <v>0.18998815789473672</v>
      </c>
      <c r="E14">
        <v>0.1</v>
      </c>
      <c r="F14">
        <v>14</v>
      </c>
      <c r="G14">
        <v>9.6446188600611327E-2</v>
      </c>
      <c r="H14">
        <v>21.704491516983623</v>
      </c>
      <c r="I14">
        <v>8.2495049608929847</v>
      </c>
      <c r="J14">
        <v>1532.06486486521</v>
      </c>
      <c r="K14">
        <v>263.87707507373932</v>
      </c>
      <c r="L14">
        <v>478.53598928377198</v>
      </c>
      <c r="M14">
        <v>10660.611570401634</v>
      </c>
    </row>
    <row r="15" spans="1:13" x14ac:dyDescent="0.3">
      <c r="A15" t="s">
        <v>808</v>
      </c>
      <c r="B15" t="s">
        <v>1034</v>
      </c>
      <c r="C15">
        <v>1</v>
      </c>
      <c r="D15">
        <v>0.18618984006561451</v>
      </c>
      <c r="E15">
        <v>0.1</v>
      </c>
      <c r="F15">
        <v>14</v>
      </c>
      <c r="G15">
        <v>8.541193251911082E-2</v>
      </c>
      <c r="H15">
        <v>23.262946292034307</v>
      </c>
      <c r="I15">
        <v>9.4485213249640783</v>
      </c>
      <c r="J15">
        <v>1664.5919941890709</v>
      </c>
      <c r="K15">
        <v>269.03384457888399</v>
      </c>
      <c r="L15">
        <v>486.20942573119692</v>
      </c>
      <c r="M15">
        <v>11430.829842722247</v>
      </c>
    </row>
    <row r="16" spans="1:13" x14ac:dyDescent="0.3">
      <c r="A16" t="s">
        <v>809</v>
      </c>
      <c r="B16" t="s">
        <v>1034</v>
      </c>
      <c r="C16">
        <v>1</v>
      </c>
      <c r="D16">
        <v>0.18827811573514849</v>
      </c>
      <c r="E16">
        <v>0.1</v>
      </c>
      <c r="F16">
        <v>14</v>
      </c>
      <c r="G16">
        <v>9.0499383723979893E-2</v>
      </c>
      <c r="H16">
        <v>22.286642925676798</v>
      </c>
      <c r="I16">
        <v>9.8206347390436477</v>
      </c>
      <c r="J16">
        <v>1616.32004546641</v>
      </c>
      <c r="K16">
        <v>256.44867593587884</v>
      </c>
      <c r="L16">
        <v>467.49447497566365</v>
      </c>
      <c r="M16">
        <v>10709.233575203365</v>
      </c>
    </row>
    <row r="17" spans="1:13" x14ac:dyDescent="0.3">
      <c r="A17" t="s">
        <v>810</v>
      </c>
      <c r="B17" t="s">
        <v>1034</v>
      </c>
      <c r="C17">
        <v>2</v>
      </c>
      <c r="D17">
        <v>0.17135804032661162</v>
      </c>
      <c r="E17">
        <v>0.1</v>
      </c>
      <c r="F17">
        <v>14</v>
      </c>
      <c r="G17">
        <v>0.10009809688659255</v>
      </c>
      <c r="H17">
        <v>23.117569641844018</v>
      </c>
      <c r="I17">
        <v>9.1255257911332741</v>
      </c>
      <c r="J17">
        <v>1593.4510525692076</v>
      </c>
      <c r="K17">
        <v>270.48528420642316</v>
      </c>
      <c r="L17">
        <v>495.94007446806626</v>
      </c>
      <c r="M17">
        <v>10237.134438597472</v>
      </c>
    </row>
    <row r="18" spans="1:13" x14ac:dyDescent="0.3">
      <c r="A18" t="s">
        <v>811</v>
      </c>
      <c r="B18" t="s">
        <v>1034</v>
      </c>
      <c r="C18">
        <v>2</v>
      </c>
      <c r="D18">
        <v>0.17504247910863546</v>
      </c>
      <c r="E18">
        <v>0.1</v>
      </c>
      <c r="F18">
        <v>14</v>
      </c>
      <c r="G18">
        <v>0.1024125591645578</v>
      </c>
      <c r="H18">
        <v>24.361142440834893</v>
      </c>
      <c r="I18">
        <v>9.8228931193450233</v>
      </c>
      <c r="J18">
        <v>1676.1491640242446</v>
      </c>
      <c r="K18">
        <v>276.09632165217135</v>
      </c>
      <c r="L18">
        <v>471.03055529689885</v>
      </c>
      <c r="M18">
        <v>10808.210906624894</v>
      </c>
    </row>
    <row r="19" spans="1:13" x14ac:dyDescent="0.3">
      <c r="A19" t="s">
        <v>811</v>
      </c>
      <c r="B19" t="s">
        <v>1034</v>
      </c>
      <c r="C19">
        <v>2</v>
      </c>
      <c r="D19">
        <v>0.17692396531336116</v>
      </c>
      <c r="E19">
        <v>0.1</v>
      </c>
      <c r="F19">
        <v>14</v>
      </c>
      <c r="G19">
        <v>9.12603321749626E-2</v>
      </c>
      <c r="H19">
        <v>22.846033282624649</v>
      </c>
      <c r="I19">
        <v>9.3131634664365368</v>
      </c>
      <c r="J19">
        <v>1592.382588716079</v>
      </c>
      <c r="K19">
        <v>262.22997964655775</v>
      </c>
      <c r="L19">
        <v>455.66290526896489</v>
      </c>
      <c r="M19">
        <v>10119.7550661157</v>
      </c>
    </row>
    <row r="20" spans="1:13" x14ac:dyDescent="0.3">
      <c r="A20" t="s">
        <v>812</v>
      </c>
      <c r="B20" t="s">
        <v>1034</v>
      </c>
      <c r="C20">
        <v>3</v>
      </c>
      <c r="D20">
        <v>0.20777930896744556</v>
      </c>
      <c r="E20">
        <v>0.1</v>
      </c>
      <c r="F20">
        <v>14</v>
      </c>
      <c r="G20">
        <v>8.2770512065894628E-2</v>
      </c>
      <c r="H20">
        <v>22.287218836035738</v>
      </c>
      <c r="I20">
        <v>7.7757294867830389</v>
      </c>
      <c r="J20">
        <v>1675.3391216802868</v>
      </c>
      <c r="K20">
        <v>281.39258053750916</v>
      </c>
      <c r="L20">
        <v>430.0577140547328</v>
      </c>
      <c r="M20">
        <v>12515.795514600837</v>
      </c>
    </row>
    <row r="21" spans="1:13" x14ac:dyDescent="0.3">
      <c r="A21" t="s">
        <v>813</v>
      </c>
      <c r="B21" t="s">
        <v>1034</v>
      </c>
      <c r="C21">
        <v>3</v>
      </c>
      <c r="D21">
        <v>0.2048302759485735</v>
      </c>
      <c r="E21">
        <v>0.1</v>
      </c>
      <c r="F21">
        <v>14</v>
      </c>
      <c r="G21">
        <v>8.8022136669639942E-2</v>
      </c>
      <c r="H21">
        <v>22.302647601638082</v>
      </c>
      <c r="I21">
        <v>8.2610390082234542</v>
      </c>
      <c r="J21">
        <v>1653.6081080508286</v>
      </c>
      <c r="K21">
        <v>270.64133908144203</v>
      </c>
      <c r="L21">
        <v>420.87591488849722</v>
      </c>
      <c r="M21">
        <v>11675.758929414536</v>
      </c>
    </row>
    <row r="22" spans="1:13" x14ac:dyDescent="0.3">
      <c r="A22" t="s">
        <v>814</v>
      </c>
      <c r="B22" t="s">
        <v>1034</v>
      </c>
      <c r="C22">
        <v>3</v>
      </c>
      <c r="D22">
        <v>0.19758641720325576</v>
      </c>
      <c r="E22">
        <v>0.1</v>
      </c>
      <c r="F22">
        <v>14</v>
      </c>
      <c r="G22">
        <v>9.0069334001768905E-2</v>
      </c>
      <c r="H22">
        <v>22.410831915990862</v>
      </c>
      <c r="I22">
        <v>8.4378646580048855</v>
      </c>
      <c r="J22">
        <v>1724.5865736375122</v>
      </c>
      <c r="K22">
        <v>270.47725996329058</v>
      </c>
      <c r="L22">
        <v>418.24622416609822</v>
      </c>
      <c r="M22">
        <v>11116.309566353024</v>
      </c>
    </row>
    <row r="23" spans="1:13" x14ac:dyDescent="0.3">
      <c r="A23" t="s">
        <v>815</v>
      </c>
      <c r="B23" t="s">
        <v>1034</v>
      </c>
      <c r="C23">
        <v>4</v>
      </c>
      <c r="D23">
        <v>0.19369061052631634</v>
      </c>
      <c r="E23">
        <v>0.1</v>
      </c>
      <c r="F23">
        <v>14</v>
      </c>
      <c r="G23">
        <v>8.2145087801796884E-2</v>
      </c>
      <c r="H23">
        <v>20.768981745062071</v>
      </c>
      <c r="I23">
        <v>7.6732354806918144</v>
      </c>
      <c r="J23">
        <v>1694.7242660078491</v>
      </c>
      <c r="K23">
        <v>288.85871673156305</v>
      </c>
      <c r="L23">
        <v>410.35780477994859</v>
      </c>
      <c r="M23">
        <v>10400.196337664251</v>
      </c>
    </row>
    <row r="24" spans="1:13" x14ac:dyDescent="0.3">
      <c r="A24" t="s">
        <v>816</v>
      </c>
      <c r="B24" t="s">
        <v>1034</v>
      </c>
      <c r="C24">
        <v>4</v>
      </c>
      <c r="D24">
        <v>0.20102154072169642</v>
      </c>
      <c r="E24">
        <v>0.1</v>
      </c>
      <c r="F24">
        <v>14</v>
      </c>
      <c r="G24">
        <v>0.10179136790253938</v>
      </c>
      <c r="H24">
        <v>22.880888474883587</v>
      </c>
      <c r="I24">
        <v>8.1715775948282054</v>
      </c>
      <c r="J24">
        <v>1739.4451194873936</v>
      </c>
      <c r="K24">
        <v>284.72738023618018</v>
      </c>
      <c r="L24">
        <v>443.41918576880005</v>
      </c>
      <c r="M24">
        <v>11823.431507454574</v>
      </c>
    </row>
    <row r="25" spans="1:13" x14ac:dyDescent="0.3">
      <c r="A25" t="s">
        <v>817</v>
      </c>
      <c r="B25" t="s">
        <v>1034</v>
      </c>
      <c r="C25">
        <v>4</v>
      </c>
      <c r="D25">
        <v>0.20340025860211217</v>
      </c>
      <c r="E25">
        <v>0.1</v>
      </c>
      <c r="F25">
        <v>14</v>
      </c>
      <c r="G25">
        <v>9.5005235700624802E-2</v>
      </c>
      <c r="H25">
        <v>21.757559873246024</v>
      </c>
      <c r="I25">
        <v>8.3660604079864704</v>
      </c>
      <c r="J25">
        <v>1692.3315222815381</v>
      </c>
      <c r="K25">
        <v>268.312727927053</v>
      </c>
      <c r="L25">
        <v>431.10880620232314</v>
      </c>
      <c r="M25">
        <v>11055.008881200802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B8D8-73FE-4ECC-8141-F4E9CA5024BE}">
  <dimension ref="A1:I93"/>
  <sheetViews>
    <sheetView workbookViewId="0">
      <selection activeCell="B1" sqref="B1:D1048576"/>
    </sheetView>
  </sheetViews>
  <sheetFormatPr defaultRowHeight="14" x14ac:dyDescent="0.3"/>
  <cols>
    <col min="1" max="1" width="18.75" customWidth="1"/>
    <col min="2" max="2" width="12" customWidth="1"/>
    <col min="3" max="3" width="14.25" customWidth="1"/>
    <col min="4" max="4" width="16.58203125" customWidth="1"/>
    <col min="5" max="9" width="12.9140625" customWidth="1"/>
  </cols>
  <sheetData>
    <row r="1" spans="1:9" x14ac:dyDescent="0.3">
      <c r="A1" t="s">
        <v>820</v>
      </c>
      <c r="B1" t="s">
        <v>18</v>
      </c>
      <c r="C1" t="s">
        <v>1031</v>
      </c>
      <c r="D1" t="s">
        <v>1036</v>
      </c>
      <c r="E1" t="s">
        <v>913</v>
      </c>
      <c r="F1" t="s">
        <v>914</v>
      </c>
      <c r="G1" t="s">
        <v>915</v>
      </c>
      <c r="H1" t="s">
        <v>916</v>
      </c>
      <c r="I1" t="s">
        <v>917</v>
      </c>
    </row>
    <row r="2" spans="1:9" x14ac:dyDescent="0.3">
      <c r="A2" t="s">
        <v>821</v>
      </c>
      <c r="B2" t="s">
        <v>1035</v>
      </c>
      <c r="C2">
        <v>1</v>
      </c>
      <c r="D2">
        <v>0</v>
      </c>
      <c r="E2">
        <v>6.0943560735149199E-2</v>
      </c>
      <c r="F2">
        <v>3.1253585278740399</v>
      </c>
      <c r="G2">
        <v>58.0641317534241</v>
      </c>
      <c r="H2">
        <v>154.284244733196</v>
      </c>
      <c r="I2">
        <v>10.042235701027099</v>
      </c>
    </row>
    <row r="3" spans="1:9" x14ac:dyDescent="0.3">
      <c r="A3" t="s">
        <v>822</v>
      </c>
      <c r="B3" t="s">
        <v>1035</v>
      </c>
      <c r="C3">
        <v>2</v>
      </c>
      <c r="D3">
        <v>0</v>
      </c>
      <c r="E3">
        <v>4.0778418248104402E-2</v>
      </c>
      <c r="F3">
        <v>3.22886232550134</v>
      </c>
      <c r="G3">
        <v>58.370216570901697</v>
      </c>
      <c r="H3">
        <v>132.54645162513302</v>
      </c>
      <c r="I3">
        <v>16.424101694847899</v>
      </c>
    </row>
    <row r="4" spans="1:9" x14ac:dyDescent="0.3">
      <c r="A4" t="s">
        <v>823</v>
      </c>
      <c r="B4" t="s">
        <v>1035</v>
      </c>
      <c r="C4">
        <v>3</v>
      </c>
      <c r="D4">
        <v>0</v>
      </c>
      <c r="E4">
        <v>2.8099716267080601E-2</v>
      </c>
      <c r="F4">
        <v>3.1329155150866801</v>
      </c>
      <c r="G4">
        <v>53.2960731730129</v>
      </c>
      <c r="H4">
        <v>202.59930868580898</v>
      </c>
      <c r="I4">
        <v>12.8536624436968</v>
      </c>
    </row>
    <row r="5" spans="1:9" x14ac:dyDescent="0.3">
      <c r="A5" t="s">
        <v>824</v>
      </c>
      <c r="B5" t="s">
        <v>1035</v>
      </c>
      <c r="C5">
        <v>4</v>
      </c>
      <c r="D5">
        <v>0</v>
      </c>
      <c r="E5">
        <v>5.5282936846321892E-2</v>
      </c>
      <c r="F5">
        <v>3.4364089048076703</v>
      </c>
      <c r="G5">
        <v>52.883998714451799</v>
      </c>
      <c r="H5">
        <v>129.84564839807501</v>
      </c>
      <c r="I5">
        <v>12.844206334163299</v>
      </c>
    </row>
    <row r="6" spans="1:9" x14ac:dyDescent="0.3">
      <c r="A6" t="s">
        <v>825</v>
      </c>
      <c r="B6" t="s">
        <v>1035</v>
      </c>
      <c r="C6">
        <v>1</v>
      </c>
      <c r="D6">
        <v>1</v>
      </c>
      <c r="E6">
        <v>3.1439503952527599E-2</v>
      </c>
      <c r="F6">
        <v>1.5798355456777</v>
      </c>
      <c r="G6">
        <v>215.12855775006901</v>
      </c>
      <c r="H6">
        <v>536.79715317537398</v>
      </c>
      <c r="I6">
        <v>15.7555999448567</v>
      </c>
    </row>
    <row r="7" spans="1:9" x14ac:dyDescent="0.3">
      <c r="A7" t="s">
        <v>826</v>
      </c>
      <c r="B7" t="s">
        <v>1035</v>
      </c>
      <c r="C7">
        <v>2</v>
      </c>
      <c r="D7">
        <v>1</v>
      </c>
      <c r="E7">
        <v>7.3692585469639499E-2</v>
      </c>
      <c r="F7">
        <v>2.97284275634438</v>
      </c>
      <c r="G7">
        <v>165.34172383893502</v>
      </c>
      <c r="H7">
        <v>290.42699033292598</v>
      </c>
      <c r="I7">
        <v>20.009992364067401</v>
      </c>
    </row>
    <row r="8" spans="1:9" x14ac:dyDescent="0.3">
      <c r="A8" t="s">
        <v>827</v>
      </c>
      <c r="B8" t="s">
        <v>1035</v>
      </c>
      <c r="C8">
        <v>3</v>
      </c>
      <c r="D8">
        <v>1</v>
      </c>
      <c r="E8">
        <v>4.4762051272519497E-2</v>
      </c>
      <c r="F8">
        <v>1.34242395969734</v>
      </c>
      <c r="G8">
        <v>276.795222709668</v>
      </c>
      <c r="H8">
        <v>367.85889552133705</v>
      </c>
      <c r="I8">
        <v>13.3331761865171</v>
      </c>
    </row>
    <row r="9" spans="1:9" x14ac:dyDescent="0.3">
      <c r="A9" t="s">
        <v>828</v>
      </c>
      <c r="B9" t="s">
        <v>1035</v>
      </c>
      <c r="C9">
        <v>4</v>
      </c>
      <c r="D9">
        <v>1</v>
      </c>
      <c r="E9">
        <v>5.7951689764966501E-2</v>
      </c>
      <c r="F9">
        <v>1.6022307092743902</v>
      </c>
      <c r="G9">
        <v>190.62294022685398</v>
      </c>
      <c r="H9">
        <v>261.13681502109199</v>
      </c>
      <c r="I9">
        <v>213.049701481265</v>
      </c>
    </row>
    <row r="10" spans="1:9" x14ac:dyDescent="0.3">
      <c r="A10" t="s">
        <v>829</v>
      </c>
      <c r="B10" t="s">
        <v>1035</v>
      </c>
      <c r="C10">
        <v>1</v>
      </c>
      <c r="D10">
        <v>3</v>
      </c>
      <c r="E10">
        <v>6.2529389942118596E-2</v>
      </c>
      <c r="F10">
        <v>0.73282091719147691</v>
      </c>
      <c r="G10">
        <v>244.60723046286901</v>
      </c>
      <c r="H10">
        <v>806.52700326630293</v>
      </c>
      <c r="I10">
        <v>18.146270573386399</v>
      </c>
    </row>
    <row r="11" spans="1:9" x14ac:dyDescent="0.3">
      <c r="A11" t="s">
        <v>830</v>
      </c>
      <c r="B11" t="s">
        <v>1035</v>
      </c>
      <c r="C11">
        <v>2</v>
      </c>
      <c r="D11">
        <v>3</v>
      </c>
      <c r="E11">
        <v>6.4909401324563604E-2</v>
      </c>
      <c r="F11">
        <v>1.2915860473249399</v>
      </c>
      <c r="G11">
        <v>279.59576131486</v>
      </c>
      <c r="H11">
        <v>708.20281631411706</v>
      </c>
      <c r="I11">
        <v>21.649187185496899</v>
      </c>
    </row>
    <row r="12" spans="1:9" x14ac:dyDescent="0.3">
      <c r="A12" t="s">
        <v>831</v>
      </c>
      <c r="B12" t="s">
        <v>1035</v>
      </c>
      <c r="C12">
        <v>3</v>
      </c>
      <c r="D12">
        <v>3</v>
      </c>
      <c r="E12">
        <v>4.1102377016128303E-2</v>
      </c>
      <c r="F12">
        <v>0.70513748144390698</v>
      </c>
      <c r="G12">
        <v>341.53146478913698</v>
      </c>
      <c r="H12">
        <v>489.73584504754001</v>
      </c>
      <c r="I12">
        <v>13.757157573547801</v>
      </c>
    </row>
    <row r="13" spans="1:9" x14ac:dyDescent="0.3">
      <c r="A13" t="s">
        <v>832</v>
      </c>
      <c r="B13" t="s">
        <v>1035</v>
      </c>
      <c r="C13">
        <v>4</v>
      </c>
      <c r="D13">
        <v>3</v>
      </c>
      <c r="E13">
        <v>5.5165940057819898E-2</v>
      </c>
      <c r="F13">
        <v>1.5097696990400999</v>
      </c>
      <c r="G13">
        <v>126.61780256182</v>
      </c>
      <c r="H13">
        <v>1356.6915675243799</v>
      </c>
      <c r="I13">
        <v>48.678527246744999</v>
      </c>
    </row>
    <row r="14" spans="1:9" x14ac:dyDescent="0.3">
      <c r="A14" t="s">
        <v>833</v>
      </c>
      <c r="B14" t="s">
        <v>1035</v>
      </c>
      <c r="C14">
        <v>1</v>
      </c>
      <c r="D14">
        <v>3</v>
      </c>
      <c r="E14">
        <v>8.2884623331342097E-2</v>
      </c>
      <c r="F14">
        <v>4.1446271985367797</v>
      </c>
      <c r="G14">
        <v>69.384719291547398</v>
      </c>
      <c r="H14">
        <v>199.09011493499298</v>
      </c>
      <c r="I14">
        <v>15.472636677211899</v>
      </c>
    </row>
    <row r="15" spans="1:9" x14ac:dyDescent="0.3">
      <c r="A15" t="s">
        <v>834</v>
      </c>
      <c r="B15" t="s">
        <v>1035</v>
      </c>
      <c r="C15">
        <v>2</v>
      </c>
      <c r="D15">
        <v>3</v>
      </c>
      <c r="E15">
        <v>9.5209285247025904E-2</v>
      </c>
      <c r="F15">
        <v>4.9401159990555801</v>
      </c>
      <c r="G15">
        <v>78.417220360818206</v>
      </c>
      <c r="H15">
        <v>171.40883659460999</v>
      </c>
      <c r="I15">
        <v>18.143687437333501</v>
      </c>
    </row>
    <row r="16" spans="1:9" x14ac:dyDescent="0.3">
      <c r="A16" t="s">
        <v>835</v>
      </c>
      <c r="B16" t="s">
        <v>1035</v>
      </c>
      <c r="C16">
        <v>3</v>
      </c>
      <c r="D16">
        <v>3</v>
      </c>
      <c r="E16">
        <v>8.6309329271952104E-2</v>
      </c>
      <c r="F16">
        <v>5.1684977875269302</v>
      </c>
      <c r="G16">
        <v>83.621219444588903</v>
      </c>
      <c r="H16">
        <v>93.213956230607806</v>
      </c>
      <c r="I16">
        <v>13.396214722344899</v>
      </c>
    </row>
    <row r="17" spans="1:9" x14ac:dyDescent="0.3">
      <c r="A17" t="s">
        <v>836</v>
      </c>
      <c r="B17" t="s">
        <v>1035</v>
      </c>
      <c r="C17">
        <v>4</v>
      </c>
      <c r="D17">
        <v>4</v>
      </c>
      <c r="E17">
        <v>6.0027308226964095E-2</v>
      </c>
      <c r="F17">
        <v>4.0239172602734001</v>
      </c>
      <c r="G17">
        <v>31.9299951523884</v>
      </c>
      <c r="H17">
        <v>357.28217141368197</v>
      </c>
      <c r="I17">
        <v>75.783640823110602</v>
      </c>
    </row>
    <row r="18" spans="1:9" x14ac:dyDescent="0.3">
      <c r="A18" t="s">
        <v>837</v>
      </c>
      <c r="B18" t="s">
        <v>1035</v>
      </c>
      <c r="C18">
        <v>1</v>
      </c>
      <c r="D18">
        <v>4</v>
      </c>
      <c r="E18">
        <v>4.61899135536427E-2</v>
      </c>
      <c r="F18">
        <v>3.9551411170186404</v>
      </c>
      <c r="G18">
        <v>204.88916953147299</v>
      </c>
      <c r="H18">
        <v>341.30139227856398</v>
      </c>
      <c r="I18">
        <v>27.8988643945479</v>
      </c>
    </row>
    <row r="19" spans="1:9" x14ac:dyDescent="0.3">
      <c r="A19" t="s">
        <v>838</v>
      </c>
      <c r="B19" t="s">
        <v>1035</v>
      </c>
      <c r="C19">
        <v>2</v>
      </c>
      <c r="D19">
        <v>4</v>
      </c>
      <c r="E19">
        <v>6.2816372437448503E-2</v>
      </c>
      <c r="F19">
        <v>2.6370205604673504</v>
      </c>
      <c r="G19">
        <v>199.42872806748099</v>
      </c>
      <c r="H19">
        <v>159.61386372406798</v>
      </c>
      <c r="I19">
        <v>17.785004269121998</v>
      </c>
    </row>
    <row r="20" spans="1:9" x14ac:dyDescent="0.3">
      <c r="A20" t="s">
        <v>839</v>
      </c>
      <c r="B20" t="s">
        <v>1035</v>
      </c>
      <c r="C20">
        <v>3</v>
      </c>
      <c r="D20">
        <v>4</v>
      </c>
      <c r="E20">
        <v>0.104907320458686</v>
      </c>
      <c r="F20">
        <v>1.58537546093211</v>
      </c>
      <c r="G20">
        <v>216.000543111855</v>
      </c>
      <c r="H20">
        <v>130.44867943882201</v>
      </c>
      <c r="I20">
        <v>236.04708028228501</v>
      </c>
    </row>
    <row r="21" spans="1:9" x14ac:dyDescent="0.3">
      <c r="A21" t="s">
        <v>840</v>
      </c>
      <c r="B21" t="s">
        <v>1035</v>
      </c>
      <c r="C21">
        <v>4</v>
      </c>
      <c r="D21">
        <v>4</v>
      </c>
      <c r="E21">
        <v>3.4250759121239496E-2</v>
      </c>
      <c r="F21">
        <v>2.3975884285855602</v>
      </c>
      <c r="G21">
        <v>211.13156737880601</v>
      </c>
      <c r="H21">
        <v>435.39430288068502</v>
      </c>
      <c r="I21">
        <v>23.695432320512801</v>
      </c>
    </row>
    <row r="22" spans="1:9" x14ac:dyDescent="0.3">
      <c r="A22" t="s">
        <v>841</v>
      </c>
      <c r="B22" t="s">
        <v>1035</v>
      </c>
      <c r="C22">
        <v>1</v>
      </c>
      <c r="D22">
        <v>4</v>
      </c>
      <c r="E22">
        <v>3.94528478966686E-2</v>
      </c>
      <c r="F22">
        <v>3.0174405377377802</v>
      </c>
      <c r="G22">
        <v>72.153444952102603</v>
      </c>
      <c r="H22">
        <v>147.728823016874</v>
      </c>
      <c r="I22">
        <v>12.1615860354151</v>
      </c>
    </row>
    <row r="23" spans="1:9" x14ac:dyDescent="0.3">
      <c r="A23" t="s">
        <v>842</v>
      </c>
      <c r="B23" t="s">
        <v>1035</v>
      </c>
      <c r="C23">
        <v>2</v>
      </c>
      <c r="D23">
        <v>4</v>
      </c>
      <c r="E23">
        <v>8.1341483151992897E-2</v>
      </c>
      <c r="F23">
        <v>2.28889296143893</v>
      </c>
      <c r="G23">
        <v>78.646601881067596</v>
      </c>
      <c r="H23">
        <v>140.302196198573</v>
      </c>
      <c r="I23">
        <v>11.142941586123101</v>
      </c>
    </row>
    <row r="24" spans="1:9" x14ac:dyDescent="0.3">
      <c r="A24" t="s">
        <v>843</v>
      </c>
      <c r="B24" t="s">
        <v>1035</v>
      </c>
      <c r="C24">
        <v>3</v>
      </c>
      <c r="D24">
        <v>4</v>
      </c>
      <c r="E24">
        <v>4.9056734363233392E-2</v>
      </c>
      <c r="F24">
        <v>2.8267695041617702</v>
      </c>
      <c r="G24">
        <v>105.07059787446099</v>
      </c>
      <c r="H24">
        <v>405.16392113791198</v>
      </c>
      <c r="I24">
        <v>12.633716240225501</v>
      </c>
    </row>
    <row r="25" spans="1:9" x14ac:dyDescent="0.3">
      <c r="A25" t="s">
        <v>844</v>
      </c>
      <c r="B25" t="s">
        <v>1035</v>
      </c>
      <c r="C25">
        <v>4</v>
      </c>
      <c r="D25">
        <v>4</v>
      </c>
      <c r="E25">
        <v>1.9171802021186402E-2</v>
      </c>
      <c r="F25">
        <v>2.54620227398676</v>
      </c>
      <c r="G25">
        <v>63.188373432939301</v>
      </c>
      <c r="H25">
        <v>148.17065406358699</v>
      </c>
      <c r="I25">
        <v>20.5824438417573</v>
      </c>
    </row>
    <row r="26" spans="1:9" x14ac:dyDescent="0.3">
      <c r="A26" t="s">
        <v>845</v>
      </c>
      <c r="B26" t="s">
        <v>1035</v>
      </c>
      <c r="C26">
        <v>1</v>
      </c>
      <c r="D26">
        <v>6</v>
      </c>
      <c r="E26">
        <v>5.9909564520035999E-2</v>
      </c>
      <c r="F26">
        <v>1.6581117911561098</v>
      </c>
      <c r="G26">
        <v>196.44117780753197</v>
      </c>
      <c r="H26">
        <v>67.403143483812201</v>
      </c>
      <c r="I26">
        <v>14.1621087557479</v>
      </c>
    </row>
    <row r="27" spans="1:9" x14ac:dyDescent="0.3">
      <c r="A27" t="s">
        <v>846</v>
      </c>
      <c r="B27" t="s">
        <v>1035</v>
      </c>
      <c r="C27">
        <v>2</v>
      </c>
      <c r="D27">
        <v>6</v>
      </c>
      <c r="E27">
        <v>7.40820057113903E-2</v>
      </c>
      <c r="F27">
        <v>0.95623305047245699</v>
      </c>
      <c r="G27">
        <v>230.26575696410401</v>
      </c>
      <c r="H27">
        <v>128.07472315016699</v>
      </c>
      <c r="I27">
        <v>11.0721371047341</v>
      </c>
    </row>
    <row r="28" spans="1:9" x14ac:dyDescent="0.3">
      <c r="A28" t="s">
        <v>847</v>
      </c>
      <c r="B28" t="s">
        <v>1035</v>
      </c>
      <c r="C28">
        <v>3</v>
      </c>
      <c r="D28">
        <v>6</v>
      </c>
      <c r="E28">
        <v>1.3180713210825699E-2</v>
      </c>
      <c r="F28">
        <v>1.5730461554858099</v>
      </c>
      <c r="G28">
        <v>286.33711280823798</v>
      </c>
      <c r="H28">
        <v>86.5351235683261</v>
      </c>
      <c r="I28">
        <v>36.170877270205303</v>
      </c>
    </row>
    <row r="29" spans="1:9" x14ac:dyDescent="0.3">
      <c r="A29" t="s">
        <v>848</v>
      </c>
      <c r="B29" t="s">
        <v>1035</v>
      </c>
      <c r="C29">
        <v>4</v>
      </c>
      <c r="D29">
        <v>6</v>
      </c>
      <c r="E29">
        <v>5.0708616527068401E-2</v>
      </c>
      <c r="F29">
        <v>1.5252257084597201</v>
      </c>
      <c r="G29">
        <v>264.332537584877</v>
      </c>
      <c r="H29">
        <v>44.993097183389793</v>
      </c>
      <c r="I29">
        <v>11.878052494567498</v>
      </c>
    </row>
    <row r="30" spans="1:9" x14ac:dyDescent="0.3">
      <c r="A30" t="s">
        <v>849</v>
      </c>
      <c r="B30" t="s">
        <v>1035</v>
      </c>
      <c r="C30">
        <v>1</v>
      </c>
      <c r="D30">
        <v>6</v>
      </c>
      <c r="E30">
        <v>7.32593994022471E-2</v>
      </c>
      <c r="F30">
        <v>3.6306957705318297</v>
      </c>
      <c r="G30">
        <v>58.522106949646897</v>
      </c>
      <c r="H30">
        <v>18.829594861075599</v>
      </c>
      <c r="I30">
        <v>18.049218528521301</v>
      </c>
    </row>
    <row r="31" spans="1:9" x14ac:dyDescent="0.3">
      <c r="A31" t="s">
        <v>850</v>
      </c>
      <c r="B31" t="s">
        <v>1035</v>
      </c>
      <c r="C31">
        <v>2</v>
      </c>
      <c r="D31">
        <v>6</v>
      </c>
      <c r="E31">
        <v>7.40004841252518E-2</v>
      </c>
      <c r="F31">
        <v>3.3331276788466999</v>
      </c>
      <c r="G31">
        <v>77.645795186667499</v>
      </c>
      <c r="H31">
        <v>63.6990766347446</v>
      </c>
      <c r="I31">
        <v>11.5389707296438</v>
      </c>
    </row>
    <row r="32" spans="1:9" x14ac:dyDescent="0.3">
      <c r="A32" t="s">
        <v>851</v>
      </c>
      <c r="B32" t="s">
        <v>1035</v>
      </c>
      <c r="C32">
        <v>3</v>
      </c>
      <c r="D32">
        <v>6</v>
      </c>
      <c r="E32">
        <v>6.9343894602955605E-2</v>
      </c>
      <c r="F32">
        <v>2.7156734380056999</v>
      </c>
      <c r="G32">
        <v>87.215368345918193</v>
      </c>
      <c r="H32">
        <v>64.56156016029081</v>
      </c>
      <c r="I32">
        <v>7.3447138448276705</v>
      </c>
    </row>
    <row r="33" spans="1:9" x14ac:dyDescent="0.3">
      <c r="A33" t="s">
        <v>852</v>
      </c>
      <c r="B33" t="s">
        <v>1035</v>
      </c>
      <c r="C33">
        <v>4</v>
      </c>
      <c r="D33">
        <v>6</v>
      </c>
      <c r="E33">
        <v>7.0105325465644491E-2</v>
      </c>
      <c r="F33">
        <v>3.18323398850838</v>
      </c>
      <c r="G33">
        <v>81.393920994587106</v>
      </c>
      <c r="H33">
        <v>27.425998121707398</v>
      </c>
      <c r="I33">
        <v>15.4959600799779</v>
      </c>
    </row>
    <row r="34" spans="1:9" x14ac:dyDescent="0.3">
      <c r="A34" t="s">
        <v>853</v>
      </c>
      <c r="B34" t="s">
        <v>1035</v>
      </c>
      <c r="C34">
        <v>1</v>
      </c>
      <c r="D34">
        <v>7</v>
      </c>
      <c r="E34">
        <v>4.7631620731580906E-2</v>
      </c>
      <c r="F34">
        <v>2.77406065760464</v>
      </c>
      <c r="G34">
        <v>148.470622418174</v>
      </c>
      <c r="H34">
        <v>77.617057545963092</v>
      </c>
      <c r="I34">
        <v>22.409577866099003</v>
      </c>
    </row>
    <row r="35" spans="1:9" x14ac:dyDescent="0.3">
      <c r="A35" t="s">
        <v>854</v>
      </c>
      <c r="B35" t="s">
        <v>1035</v>
      </c>
      <c r="C35">
        <v>2</v>
      </c>
      <c r="D35">
        <v>7</v>
      </c>
      <c r="E35">
        <v>7.2505998560639898E-2</v>
      </c>
      <c r="F35">
        <v>4.9908773845123502</v>
      </c>
      <c r="G35">
        <v>128.01419068253801</v>
      </c>
      <c r="H35">
        <v>50.654018704919295</v>
      </c>
      <c r="I35">
        <v>14.807758620931398</v>
      </c>
    </row>
    <row r="36" spans="1:9" x14ac:dyDescent="0.3">
      <c r="A36" t="s">
        <v>855</v>
      </c>
      <c r="B36" t="s">
        <v>1035</v>
      </c>
      <c r="C36">
        <v>3</v>
      </c>
      <c r="D36">
        <v>7</v>
      </c>
      <c r="E36">
        <v>5.5851805703811201E-2</v>
      </c>
      <c r="F36">
        <v>1.4665634546627502</v>
      </c>
      <c r="G36">
        <v>183.96979924230203</v>
      </c>
      <c r="H36">
        <v>38.930131652741402</v>
      </c>
      <c r="I36">
        <v>11.073546135215999</v>
      </c>
    </row>
    <row r="37" spans="1:9" x14ac:dyDescent="0.3">
      <c r="A37" t="s">
        <v>856</v>
      </c>
      <c r="B37" t="s">
        <v>1035</v>
      </c>
      <c r="C37">
        <v>4</v>
      </c>
      <c r="D37">
        <v>7</v>
      </c>
      <c r="E37">
        <v>8.1889609113059994E-2</v>
      </c>
      <c r="F37">
        <v>1.7369395238723202</v>
      </c>
      <c r="G37">
        <v>165.369129545904</v>
      </c>
      <c r="H37">
        <v>57.208871628092702</v>
      </c>
      <c r="I37">
        <v>13.046364027475601</v>
      </c>
    </row>
    <row r="38" spans="1:9" x14ac:dyDescent="0.3">
      <c r="A38" t="s">
        <v>857</v>
      </c>
      <c r="B38" t="s">
        <v>1035</v>
      </c>
      <c r="C38">
        <v>1</v>
      </c>
      <c r="D38">
        <v>7</v>
      </c>
      <c r="E38">
        <v>2.9598288537026302E-2</v>
      </c>
      <c r="F38">
        <v>2.7312527438993399</v>
      </c>
      <c r="G38">
        <v>60.338109573100304</v>
      </c>
      <c r="H38">
        <v>59.151012369643901</v>
      </c>
      <c r="I38">
        <v>6.4285765243761599</v>
      </c>
    </row>
    <row r="39" spans="1:9" x14ac:dyDescent="0.3">
      <c r="A39" t="s">
        <v>858</v>
      </c>
      <c r="B39" t="s">
        <v>1035</v>
      </c>
      <c r="C39">
        <v>2</v>
      </c>
      <c r="D39">
        <v>7</v>
      </c>
      <c r="E39">
        <v>5.1177106700698798E-2</v>
      </c>
      <c r="F39">
        <v>2.6786577027957996</v>
      </c>
      <c r="G39">
        <v>58.724957390360899</v>
      </c>
      <c r="H39">
        <v>76.957323290564901</v>
      </c>
      <c r="I39">
        <v>23.1090915179701</v>
      </c>
    </row>
    <row r="40" spans="1:9" x14ac:dyDescent="0.3">
      <c r="A40" t="s">
        <v>859</v>
      </c>
      <c r="B40" t="s">
        <v>1035</v>
      </c>
      <c r="C40">
        <v>3</v>
      </c>
      <c r="D40">
        <v>7</v>
      </c>
      <c r="E40">
        <v>5.1500917182027206E-2</v>
      </c>
      <c r="F40">
        <v>2.7955220838264099</v>
      </c>
      <c r="G40">
        <v>65.265075358602004</v>
      </c>
      <c r="H40">
        <v>56.712790256346601</v>
      </c>
      <c r="I40">
        <v>15.149421494719299</v>
      </c>
    </row>
    <row r="41" spans="1:9" x14ac:dyDescent="0.3">
      <c r="A41" t="s">
        <v>860</v>
      </c>
      <c r="B41" t="s">
        <v>1035</v>
      </c>
      <c r="C41">
        <v>4</v>
      </c>
      <c r="D41">
        <v>7</v>
      </c>
      <c r="E41">
        <v>5.0039123824189208E-2</v>
      </c>
      <c r="F41">
        <v>2.6511878827986504</v>
      </c>
      <c r="G41">
        <v>72.703523879829092</v>
      </c>
      <c r="H41">
        <v>95.931587599795392</v>
      </c>
      <c r="I41">
        <v>10.518932921580999</v>
      </c>
    </row>
    <row r="42" spans="1:9" x14ac:dyDescent="0.3">
      <c r="A42" t="s">
        <v>861</v>
      </c>
      <c r="B42" t="s">
        <v>1035</v>
      </c>
      <c r="C42">
        <v>1</v>
      </c>
      <c r="D42">
        <v>9</v>
      </c>
      <c r="E42">
        <v>5.8746250571423506E-2</v>
      </c>
      <c r="F42">
        <v>2.26592064521813</v>
      </c>
      <c r="G42">
        <v>201.69257237339997</v>
      </c>
      <c r="H42">
        <v>61.4739207936166</v>
      </c>
      <c r="I42">
        <v>16.497729086563101</v>
      </c>
    </row>
    <row r="43" spans="1:9" x14ac:dyDescent="0.3">
      <c r="A43" t="s">
        <v>862</v>
      </c>
      <c r="B43" t="s">
        <v>1035</v>
      </c>
      <c r="C43">
        <v>2</v>
      </c>
      <c r="D43">
        <v>9</v>
      </c>
      <c r="E43">
        <v>7.4761803070974409E-2</v>
      </c>
      <c r="F43">
        <v>1.8528720033538102</v>
      </c>
      <c r="G43">
        <v>165.53943302198002</v>
      </c>
      <c r="H43">
        <v>31.146068556298403</v>
      </c>
      <c r="I43">
        <v>23.345818429024902</v>
      </c>
    </row>
    <row r="44" spans="1:9" x14ac:dyDescent="0.3">
      <c r="A44" t="s">
        <v>863</v>
      </c>
      <c r="B44" t="s">
        <v>1035</v>
      </c>
      <c r="C44">
        <v>3</v>
      </c>
      <c r="D44">
        <v>9</v>
      </c>
      <c r="E44">
        <v>6.4409780715751194E-2</v>
      </c>
      <c r="F44">
        <v>1.5153387465994399</v>
      </c>
      <c r="G44">
        <v>177.32889993802601</v>
      </c>
      <c r="H44">
        <v>36.575768853043101</v>
      </c>
      <c r="I44">
        <v>867.58409517850396</v>
      </c>
    </row>
    <row r="45" spans="1:9" x14ac:dyDescent="0.3">
      <c r="A45" t="s">
        <v>864</v>
      </c>
      <c r="B45" t="s">
        <v>1035</v>
      </c>
      <c r="C45">
        <v>4</v>
      </c>
      <c r="D45">
        <v>9</v>
      </c>
      <c r="E45">
        <v>6.7280038419104196E-2</v>
      </c>
      <c r="F45">
        <v>1.0169810111105</v>
      </c>
      <c r="G45">
        <v>232.59752264842001</v>
      </c>
      <c r="H45">
        <v>15.7181176026691</v>
      </c>
      <c r="I45">
        <v>9.3497676896163195</v>
      </c>
    </row>
    <row r="46" spans="1:9" x14ac:dyDescent="0.3">
      <c r="A46" t="s">
        <v>865</v>
      </c>
      <c r="B46" t="s">
        <v>1035</v>
      </c>
      <c r="C46">
        <v>1</v>
      </c>
      <c r="D46">
        <v>9</v>
      </c>
      <c r="E46">
        <v>0.11273404483954599</v>
      </c>
      <c r="F46">
        <v>3.4981788014483</v>
      </c>
      <c r="G46">
        <v>53.019520255683602</v>
      </c>
      <c r="H46">
        <v>26.017349772798202</v>
      </c>
      <c r="I46">
        <v>15.7479388446705</v>
      </c>
    </row>
    <row r="47" spans="1:9" x14ac:dyDescent="0.3">
      <c r="A47" t="s">
        <v>866</v>
      </c>
      <c r="B47" t="s">
        <v>1035</v>
      </c>
      <c r="C47">
        <v>2</v>
      </c>
      <c r="D47">
        <v>9</v>
      </c>
      <c r="E47">
        <v>5.8760820351684E-2</v>
      </c>
      <c r="F47">
        <v>3.2010211043048598</v>
      </c>
      <c r="G47">
        <v>42.939845106711502</v>
      </c>
      <c r="H47">
        <v>20.522576040315702</v>
      </c>
      <c r="I47">
        <v>12.9050959972929</v>
      </c>
    </row>
    <row r="48" spans="1:9" x14ac:dyDescent="0.3">
      <c r="A48" t="s">
        <v>867</v>
      </c>
      <c r="B48" t="s">
        <v>1035</v>
      </c>
      <c r="C48">
        <v>3</v>
      </c>
      <c r="D48">
        <v>9</v>
      </c>
      <c r="E48">
        <v>3.4687358247899001E-2</v>
      </c>
      <c r="F48">
        <v>3.1971972621645901</v>
      </c>
      <c r="G48">
        <v>46.160931125726805</v>
      </c>
      <c r="H48">
        <v>16.990882946906101</v>
      </c>
      <c r="I48">
        <v>9.5565116629767601</v>
      </c>
    </row>
    <row r="49" spans="1:9" x14ac:dyDescent="0.3">
      <c r="A49" t="s">
        <v>868</v>
      </c>
      <c r="B49" t="s">
        <v>1035</v>
      </c>
      <c r="C49">
        <v>4</v>
      </c>
      <c r="D49">
        <v>9</v>
      </c>
      <c r="E49">
        <v>4.53042668473706E-2</v>
      </c>
      <c r="F49">
        <v>3.2401490961458901</v>
      </c>
      <c r="G49">
        <v>67.339388682013009</v>
      </c>
      <c r="H49">
        <v>15.6605382711862</v>
      </c>
      <c r="I49">
        <v>15.106108439524299</v>
      </c>
    </row>
    <row r="50" spans="1:9" x14ac:dyDescent="0.3">
      <c r="A50" t="s">
        <v>869</v>
      </c>
      <c r="B50" t="s">
        <v>1035</v>
      </c>
      <c r="C50">
        <v>1</v>
      </c>
      <c r="D50">
        <v>10</v>
      </c>
      <c r="E50">
        <v>7.7447346448812293E-2</v>
      </c>
      <c r="F50">
        <v>2.2729560186484599</v>
      </c>
      <c r="G50">
        <v>126.56583980133901</v>
      </c>
      <c r="H50">
        <v>42.536070592901503</v>
      </c>
      <c r="I50">
        <v>11.0565366556838</v>
      </c>
    </row>
    <row r="51" spans="1:9" x14ac:dyDescent="0.3">
      <c r="A51" t="s">
        <v>870</v>
      </c>
      <c r="B51" t="s">
        <v>1035</v>
      </c>
      <c r="C51">
        <v>2</v>
      </c>
      <c r="D51">
        <v>10</v>
      </c>
      <c r="E51">
        <v>8.65533809760239E-2</v>
      </c>
      <c r="F51">
        <v>2.0876512729726899</v>
      </c>
      <c r="G51">
        <v>113.938006988952</v>
      </c>
      <c r="H51">
        <v>21.105475827991704</v>
      </c>
      <c r="I51">
        <v>13.230483435421901</v>
      </c>
    </row>
    <row r="52" spans="1:9" x14ac:dyDescent="0.3">
      <c r="A52" t="s">
        <v>871</v>
      </c>
      <c r="B52" t="s">
        <v>1035</v>
      </c>
      <c r="C52">
        <v>3</v>
      </c>
      <c r="D52">
        <v>10</v>
      </c>
      <c r="E52">
        <v>8.2174470649856307E-2</v>
      </c>
      <c r="F52">
        <v>1.8457339470198399</v>
      </c>
      <c r="G52">
        <v>130.08312848672898</v>
      </c>
      <c r="H52">
        <v>28.649421679922401</v>
      </c>
      <c r="I52">
        <v>5.6351491003382206</v>
      </c>
    </row>
    <row r="53" spans="1:9" x14ac:dyDescent="0.3">
      <c r="A53" t="s">
        <v>872</v>
      </c>
      <c r="B53" t="s">
        <v>1035</v>
      </c>
      <c r="C53">
        <v>4</v>
      </c>
      <c r="D53">
        <v>10</v>
      </c>
      <c r="E53">
        <v>7.7996825818105603E-2</v>
      </c>
      <c r="F53">
        <v>2.51866988436185</v>
      </c>
      <c r="G53">
        <v>154.19931591785399</v>
      </c>
      <c r="H53">
        <v>28.598893904736702</v>
      </c>
      <c r="I53">
        <v>42.652573213375</v>
      </c>
    </row>
    <row r="54" spans="1:9" x14ac:dyDescent="0.3">
      <c r="A54" t="s">
        <v>873</v>
      </c>
      <c r="B54" t="s">
        <v>1035</v>
      </c>
      <c r="C54">
        <v>1</v>
      </c>
      <c r="D54">
        <v>10</v>
      </c>
      <c r="E54">
        <v>0.12905076038069002</v>
      </c>
      <c r="F54">
        <v>2.60745282957354</v>
      </c>
      <c r="G54">
        <v>59.6271763655418</v>
      </c>
      <c r="H54">
        <v>96.299859334253398</v>
      </c>
      <c r="I54">
        <v>11.919964916504</v>
      </c>
    </row>
    <row r="55" spans="1:9" x14ac:dyDescent="0.3">
      <c r="A55" t="s">
        <v>874</v>
      </c>
      <c r="B55" t="s">
        <v>1035</v>
      </c>
      <c r="C55">
        <v>2</v>
      </c>
      <c r="D55">
        <v>10</v>
      </c>
      <c r="E55">
        <v>5.8344128657525397E-2</v>
      </c>
      <c r="F55">
        <v>4.2949193136504302</v>
      </c>
      <c r="G55">
        <v>41.395150273250501</v>
      </c>
      <c r="H55">
        <v>21.622677937654199</v>
      </c>
      <c r="I55">
        <v>12.627091604516401</v>
      </c>
    </row>
    <row r="56" spans="1:9" x14ac:dyDescent="0.3">
      <c r="A56" t="s">
        <v>875</v>
      </c>
      <c r="B56" t="s">
        <v>1035</v>
      </c>
      <c r="C56">
        <v>3</v>
      </c>
      <c r="D56">
        <v>10</v>
      </c>
      <c r="E56">
        <v>3.73232135952015E-2</v>
      </c>
      <c r="F56">
        <v>3.195172211144</v>
      </c>
      <c r="G56">
        <v>48.734371610526793</v>
      </c>
      <c r="H56">
        <v>37.132898203603901</v>
      </c>
      <c r="I56">
        <v>8.78767751879532</v>
      </c>
    </row>
    <row r="57" spans="1:9" x14ac:dyDescent="0.3">
      <c r="A57" t="s">
        <v>876</v>
      </c>
      <c r="B57" t="s">
        <v>1035</v>
      </c>
      <c r="C57">
        <v>4</v>
      </c>
      <c r="D57">
        <v>10</v>
      </c>
      <c r="E57">
        <v>3.6897789696267697E-2</v>
      </c>
      <c r="F57">
        <v>3.42509458274183</v>
      </c>
      <c r="G57">
        <v>62.999222794997692</v>
      </c>
      <c r="H57">
        <v>53.499540407585798</v>
      </c>
      <c r="I57">
        <v>8.8318206632512695</v>
      </c>
    </row>
    <row r="58" spans="1:9" x14ac:dyDescent="0.3">
      <c r="A58" t="s">
        <v>877</v>
      </c>
      <c r="B58" t="s">
        <v>1035</v>
      </c>
      <c r="C58">
        <v>1</v>
      </c>
      <c r="D58">
        <v>12</v>
      </c>
      <c r="E58">
        <v>7.48438640490003E-2</v>
      </c>
      <c r="F58">
        <v>2.23319759209561</v>
      </c>
      <c r="G58">
        <v>180.814666302072</v>
      </c>
      <c r="H58">
        <v>22.684444344961399</v>
      </c>
      <c r="I58">
        <v>12.447511819725701</v>
      </c>
    </row>
    <row r="59" spans="1:9" x14ac:dyDescent="0.3">
      <c r="A59" t="s">
        <v>878</v>
      </c>
      <c r="B59" t="s">
        <v>1035</v>
      </c>
      <c r="C59">
        <v>2</v>
      </c>
      <c r="D59">
        <v>12</v>
      </c>
      <c r="E59">
        <v>9.7802999923109396E-2</v>
      </c>
      <c r="F59">
        <v>3.8297767348656704</v>
      </c>
      <c r="G59">
        <v>106.08737015607099</v>
      </c>
      <c r="H59">
        <v>3.2240019779191198</v>
      </c>
      <c r="I59">
        <v>10.1532779801488</v>
      </c>
    </row>
    <row r="60" spans="1:9" x14ac:dyDescent="0.3">
      <c r="A60" t="s">
        <v>879</v>
      </c>
      <c r="B60" t="s">
        <v>1035</v>
      </c>
      <c r="C60">
        <v>3</v>
      </c>
      <c r="D60">
        <v>12</v>
      </c>
      <c r="E60">
        <v>9.433856407560251E-2</v>
      </c>
      <c r="F60">
        <v>2.5941116713315497</v>
      </c>
      <c r="G60">
        <v>183.54968167478202</v>
      </c>
      <c r="H60">
        <v>15.1471103829274</v>
      </c>
      <c r="I60">
        <v>6.9170534308403697</v>
      </c>
    </row>
    <row r="61" spans="1:9" x14ac:dyDescent="0.3">
      <c r="A61" t="s">
        <v>880</v>
      </c>
      <c r="B61" t="s">
        <v>1035</v>
      </c>
      <c r="C61">
        <v>4</v>
      </c>
      <c r="D61">
        <v>12</v>
      </c>
      <c r="E61">
        <v>9.2007390893266996E-2</v>
      </c>
      <c r="F61">
        <v>2.5917744482137799</v>
      </c>
      <c r="G61">
        <v>164.106613420424</v>
      </c>
      <c r="H61">
        <v>12.6624213212393</v>
      </c>
      <c r="I61">
        <v>7.4781488928936</v>
      </c>
    </row>
    <row r="62" spans="1:9" x14ac:dyDescent="0.3">
      <c r="A62" t="s">
        <v>881</v>
      </c>
      <c r="B62" t="s">
        <v>1035</v>
      </c>
      <c r="C62">
        <v>1</v>
      </c>
      <c r="D62">
        <v>12</v>
      </c>
      <c r="E62">
        <v>6.9671466485774505E-2</v>
      </c>
      <c r="F62">
        <v>4.3674275883952802</v>
      </c>
      <c r="G62">
        <v>55.470038580793997</v>
      </c>
      <c r="H62">
        <v>9.9608114074848793</v>
      </c>
      <c r="I62">
        <v>46.654474414104897</v>
      </c>
    </row>
    <row r="63" spans="1:9" x14ac:dyDescent="0.3">
      <c r="A63" t="s">
        <v>882</v>
      </c>
      <c r="B63" t="s">
        <v>1035</v>
      </c>
      <c r="C63">
        <v>2</v>
      </c>
      <c r="D63">
        <v>12</v>
      </c>
      <c r="E63">
        <v>9.1753655300460507E-2</v>
      </c>
      <c r="F63">
        <v>3.1223993280525701</v>
      </c>
      <c r="G63">
        <v>33.216159876243701</v>
      </c>
      <c r="H63">
        <v>6.2180273151276904</v>
      </c>
      <c r="I63">
        <v>9.3739748749811405</v>
      </c>
    </row>
    <row r="64" spans="1:9" x14ac:dyDescent="0.3">
      <c r="A64" t="s">
        <v>883</v>
      </c>
      <c r="B64" t="s">
        <v>1035</v>
      </c>
      <c r="C64">
        <v>3</v>
      </c>
      <c r="D64">
        <v>12</v>
      </c>
      <c r="E64">
        <v>5.5428134131289497E-2</v>
      </c>
      <c r="F64">
        <v>4.4562713934426199</v>
      </c>
      <c r="G64">
        <v>49.692572870833899</v>
      </c>
      <c r="H64">
        <v>8.2415374784864905</v>
      </c>
      <c r="I64">
        <v>6.7143778352235293</v>
      </c>
    </row>
    <row r="65" spans="1:9" x14ac:dyDescent="0.3">
      <c r="A65" t="s">
        <v>884</v>
      </c>
      <c r="B65" t="s">
        <v>1035</v>
      </c>
      <c r="C65">
        <v>4</v>
      </c>
      <c r="D65">
        <v>12</v>
      </c>
      <c r="E65">
        <v>0.11141909080910299</v>
      </c>
      <c r="F65">
        <v>3.9083555827399201</v>
      </c>
      <c r="G65">
        <v>52.4826728112008</v>
      </c>
      <c r="H65">
        <v>11.508377649339801</v>
      </c>
      <c r="I65">
        <v>6.9478901761251501</v>
      </c>
    </row>
    <row r="66" spans="1:9" x14ac:dyDescent="0.3">
      <c r="A66" t="s">
        <v>885</v>
      </c>
      <c r="B66" t="s">
        <v>1035</v>
      </c>
      <c r="C66">
        <v>1</v>
      </c>
      <c r="D66">
        <v>13</v>
      </c>
      <c r="E66">
        <v>0.111172949632372</v>
      </c>
      <c r="F66">
        <v>1.92005645625055</v>
      </c>
      <c r="G66">
        <v>109.153290922644</v>
      </c>
      <c r="H66">
        <v>20.8748893350195</v>
      </c>
      <c r="I66">
        <v>8.4084124043865707</v>
      </c>
    </row>
    <row r="67" spans="1:9" x14ac:dyDescent="0.3">
      <c r="A67" t="s">
        <v>886</v>
      </c>
      <c r="B67" t="s">
        <v>1035</v>
      </c>
      <c r="C67">
        <v>2</v>
      </c>
      <c r="D67">
        <v>13</v>
      </c>
      <c r="E67">
        <v>5.0504906361344998E-2</v>
      </c>
      <c r="F67">
        <v>3.19596873447983</v>
      </c>
      <c r="G67">
        <v>71.900415809624405</v>
      </c>
      <c r="H67">
        <v>7.0817528068623101</v>
      </c>
      <c r="I67">
        <v>7.7975961263264102</v>
      </c>
    </row>
    <row r="68" spans="1:9" x14ac:dyDescent="0.3">
      <c r="A68" t="s">
        <v>887</v>
      </c>
      <c r="B68" t="s">
        <v>1035</v>
      </c>
      <c r="C68">
        <v>3</v>
      </c>
      <c r="D68">
        <v>13</v>
      </c>
      <c r="E68">
        <v>0.11225641834368599</v>
      </c>
      <c r="F68">
        <v>2.9700087164107902</v>
      </c>
      <c r="G68">
        <v>115.06661943888099</v>
      </c>
      <c r="H68">
        <v>12.564307233506099</v>
      </c>
      <c r="I68">
        <v>12.389116511595798</v>
      </c>
    </row>
    <row r="69" spans="1:9" x14ac:dyDescent="0.3">
      <c r="A69" t="s">
        <v>888</v>
      </c>
      <c r="B69" t="s">
        <v>1035</v>
      </c>
      <c r="C69">
        <v>4</v>
      </c>
      <c r="D69">
        <v>13</v>
      </c>
      <c r="E69">
        <v>8.3229643455403693E-2</v>
      </c>
      <c r="F69">
        <v>2.1888183127370802</v>
      </c>
      <c r="G69">
        <v>114.80547225459</v>
      </c>
      <c r="H69">
        <v>16.001372161093801</v>
      </c>
      <c r="I69">
        <v>14.303237478186599</v>
      </c>
    </row>
    <row r="70" spans="1:9" x14ac:dyDescent="0.3">
      <c r="A70" t="s">
        <v>889</v>
      </c>
      <c r="B70" t="s">
        <v>1035</v>
      </c>
      <c r="C70">
        <v>1</v>
      </c>
      <c r="D70">
        <v>13</v>
      </c>
      <c r="E70">
        <v>7.8938907654626689E-2</v>
      </c>
      <c r="F70">
        <v>4.4643076924747502</v>
      </c>
      <c r="G70">
        <v>32.509109770061897</v>
      </c>
      <c r="H70">
        <v>10.2214884733056</v>
      </c>
      <c r="I70">
        <v>45.098691447553406</v>
      </c>
    </row>
    <row r="71" spans="1:9" x14ac:dyDescent="0.3">
      <c r="A71" t="s">
        <v>890</v>
      </c>
      <c r="B71" t="s">
        <v>1035</v>
      </c>
      <c r="C71">
        <v>2</v>
      </c>
      <c r="D71">
        <v>13</v>
      </c>
      <c r="E71">
        <v>6.5116579790876802E-2</v>
      </c>
      <c r="F71">
        <v>3.9556157685000199</v>
      </c>
      <c r="G71">
        <v>26.783836395947496</v>
      </c>
      <c r="H71">
        <v>12.9477169711949</v>
      </c>
      <c r="I71">
        <v>66.748230073237906</v>
      </c>
    </row>
    <row r="72" spans="1:9" x14ac:dyDescent="0.3">
      <c r="A72" t="s">
        <v>891</v>
      </c>
      <c r="B72" t="s">
        <v>1035</v>
      </c>
      <c r="C72">
        <v>3</v>
      </c>
      <c r="D72">
        <v>13</v>
      </c>
      <c r="E72">
        <v>6.2337742607138501E-2</v>
      </c>
      <c r="F72">
        <v>3.1837570148519498</v>
      </c>
      <c r="G72">
        <v>39.469657616976001</v>
      </c>
      <c r="H72">
        <v>31.708732039414297</v>
      </c>
      <c r="I72">
        <v>336.56480797585402</v>
      </c>
    </row>
    <row r="73" spans="1:9" x14ac:dyDescent="0.3">
      <c r="A73" t="s">
        <v>892</v>
      </c>
      <c r="B73" t="s">
        <v>1035</v>
      </c>
      <c r="C73">
        <v>4</v>
      </c>
      <c r="D73">
        <v>13</v>
      </c>
      <c r="E73">
        <v>6.2459555956625404E-2</v>
      </c>
      <c r="F73">
        <v>2.0864333968122502</v>
      </c>
      <c r="G73">
        <v>39.2237786523038</v>
      </c>
      <c r="H73">
        <v>28.638255268229898</v>
      </c>
      <c r="I73">
        <v>9.4180655598763288</v>
      </c>
    </row>
    <row r="74" spans="1:9" x14ac:dyDescent="0.3">
      <c r="A74" t="s">
        <v>893</v>
      </c>
      <c r="B74" t="s">
        <v>1035</v>
      </c>
      <c r="C74">
        <v>1</v>
      </c>
      <c r="D74">
        <v>15</v>
      </c>
      <c r="E74">
        <v>0.10843897039284101</v>
      </c>
      <c r="F74">
        <v>2.4429287502055002</v>
      </c>
      <c r="G74">
        <v>94.063242427502999</v>
      </c>
      <c r="H74">
        <v>3.3230535003095403</v>
      </c>
      <c r="I74">
        <v>14.609084509047999</v>
      </c>
    </row>
    <row r="75" spans="1:9" x14ac:dyDescent="0.3">
      <c r="A75" t="s">
        <v>894</v>
      </c>
      <c r="B75" t="s">
        <v>1035</v>
      </c>
      <c r="C75">
        <v>2</v>
      </c>
      <c r="D75">
        <v>15</v>
      </c>
      <c r="E75">
        <v>0.105375821859789</v>
      </c>
      <c r="F75">
        <v>2.8069849787541798</v>
      </c>
      <c r="G75">
        <v>72.569218142867498</v>
      </c>
      <c r="H75">
        <v>2.20981251885055</v>
      </c>
      <c r="I75">
        <v>21.380851011626596</v>
      </c>
    </row>
    <row r="76" spans="1:9" x14ac:dyDescent="0.3">
      <c r="A76" t="s">
        <v>895</v>
      </c>
      <c r="B76" t="s">
        <v>1035</v>
      </c>
      <c r="C76">
        <v>3</v>
      </c>
      <c r="D76">
        <v>15</v>
      </c>
      <c r="E76">
        <v>6.4803854524724896E-2</v>
      </c>
      <c r="F76">
        <v>1.7009797032757201</v>
      </c>
      <c r="G76">
        <v>162.11103622867898</v>
      </c>
      <c r="H76">
        <v>5.6702273459219903</v>
      </c>
      <c r="I76">
        <v>26.206325594969901</v>
      </c>
    </row>
    <row r="77" spans="1:9" x14ac:dyDescent="0.3">
      <c r="A77" t="s">
        <v>896</v>
      </c>
      <c r="B77" t="s">
        <v>1035</v>
      </c>
      <c r="C77">
        <v>4</v>
      </c>
      <c r="D77">
        <v>15</v>
      </c>
      <c r="E77">
        <v>5.1082064561753501E-2</v>
      </c>
      <c r="F77">
        <v>1.2701477560251901</v>
      </c>
      <c r="G77">
        <v>148.66165739052201</v>
      </c>
      <c r="H77">
        <v>10.957804922083801</v>
      </c>
      <c r="I77">
        <v>15.099758020788201</v>
      </c>
    </row>
    <row r="78" spans="1:9" x14ac:dyDescent="0.3">
      <c r="A78" t="s">
        <v>897</v>
      </c>
      <c r="B78" t="s">
        <v>1035</v>
      </c>
      <c r="C78">
        <v>1</v>
      </c>
      <c r="D78">
        <v>15</v>
      </c>
      <c r="E78">
        <v>6.0260224092560204E-2</v>
      </c>
      <c r="F78">
        <v>3.2286182436685302</v>
      </c>
      <c r="G78">
        <v>26.609393874564098</v>
      </c>
      <c r="H78">
        <v>3.6824413207609403</v>
      </c>
      <c r="I78">
        <v>29.952769833348299</v>
      </c>
    </row>
    <row r="79" spans="1:9" x14ac:dyDescent="0.3">
      <c r="A79" t="s">
        <v>898</v>
      </c>
      <c r="B79" t="s">
        <v>1035</v>
      </c>
      <c r="C79">
        <v>2</v>
      </c>
      <c r="D79">
        <v>15</v>
      </c>
      <c r="E79">
        <v>6.0369915911449898E-2</v>
      </c>
      <c r="F79">
        <v>2.3491162674899</v>
      </c>
      <c r="G79">
        <v>20.577413155789699</v>
      </c>
      <c r="H79">
        <v>4.5132480176218799</v>
      </c>
      <c r="I79">
        <v>10.1121767571302</v>
      </c>
    </row>
    <row r="80" spans="1:9" x14ac:dyDescent="0.3">
      <c r="A80" t="s">
        <v>899</v>
      </c>
      <c r="B80" t="s">
        <v>1035</v>
      </c>
      <c r="C80">
        <v>3</v>
      </c>
      <c r="D80">
        <v>15</v>
      </c>
      <c r="E80">
        <v>9.0356350626042498E-2</v>
      </c>
      <c r="F80">
        <v>2.8507109141793103</v>
      </c>
      <c r="G80">
        <v>46.386498389121797</v>
      </c>
      <c r="H80">
        <v>7.2753156135176198</v>
      </c>
      <c r="I80">
        <v>12.3321295608383</v>
      </c>
    </row>
    <row r="81" spans="1:9" x14ac:dyDescent="0.3">
      <c r="A81" t="s">
        <v>900</v>
      </c>
      <c r="B81" t="s">
        <v>1035</v>
      </c>
      <c r="C81">
        <v>4</v>
      </c>
      <c r="D81">
        <v>15</v>
      </c>
      <c r="E81">
        <v>8.0875817486245893E-2</v>
      </c>
      <c r="F81">
        <v>1.93100835769102</v>
      </c>
      <c r="G81">
        <v>51.748083408899497</v>
      </c>
      <c r="H81">
        <v>11.401528453424401</v>
      </c>
      <c r="I81">
        <v>84.84099347847399</v>
      </c>
    </row>
    <row r="82" spans="1:9" x14ac:dyDescent="0.3">
      <c r="A82" t="s">
        <v>901</v>
      </c>
      <c r="B82" t="s">
        <v>1035</v>
      </c>
      <c r="C82">
        <v>1</v>
      </c>
      <c r="D82">
        <v>16</v>
      </c>
      <c r="E82">
        <v>6.9661111453007907E-2</v>
      </c>
      <c r="F82">
        <v>2.20387978683135</v>
      </c>
      <c r="G82">
        <v>55.807592811122703</v>
      </c>
      <c r="H82">
        <v>7.6657323518659801</v>
      </c>
      <c r="I82">
        <v>10.2678717347017</v>
      </c>
    </row>
    <row r="83" spans="1:9" x14ac:dyDescent="0.3">
      <c r="A83" t="s">
        <v>902</v>
      </c>
      <c r="B83" t="s">
        <v>1035</v>
      </c>
      <c r="C83">
        <v>2</v>
      </c>
      <c r="D83">
        <v>16</v>
      </c>
      <c r="E83">
        <v>8.1821038547538694E-2</v>
      </c>
      <c r="F83">
        <v>2.2258521259303299</v>
      </c>
      <c r="G83">
        <v>60.309281693864406</v>
      </c>
      <c r="H83">
        <v>14.252765365913501</v>
      </c>
      <c r="I83">
        <v>14.395608403443701</v>
      </c>
    </row>
    <row r="84" spans="1:9" x14ac:dyDescent="0.3">
      <c r="A84" t="s">
        <v>903</v>
      </c>
      <c r="B84" t="s">
        <v>1035</v>
      </c>
      <c r="C84">
        <v>3</v>
      </c>
      <c r="D84">
        <v>16</v>
      </c>
      <c r="E84">
        <v>0.10136578345911</v>
      </c>
      <c r="F84">
        <v>1.70738377337488</v>
      </c>
      <c r="G84">
        <v>102.80336581137499</v>
      </c>
      <c r="H84">
        <v>8.3330659063816412</v>
      </c>
      <c r="I84">
        <v>18.622375640672498</v>
      </c>
    </row>
    <row r="85" spans="1:9" x14ac:dyDescent="0.3">
      <c r="A85" t="s">
        <v>904</v>
      </c>
      <c r="B85" t="s">
        <v>1035</v>
      </c>
      <c r="C85">
        <v>4</v>
      </c>
      <c r="D85">
        <v>16</v>
      </c>
      <c r="E85">
        <v>5.7136093929559095E-2</v>
      </c>
      <c r="F85">
        <v>1.74215211636941</v>
      </c>
      <c r="G85">
        <v>107.83244435051101</v>
      </c>
      <c r="H85">
        <v>28.8362937507396</v>
      </c>
      <c r="I85">
        <v>17.9192093201193</v>
      </c>
    </row>
    <row r="86" spans="1:9" x14ac:dyDescent="0.3">
      <c r="A86" t="s">
        <v>905</v>
      </c>
      <c r="B86" t="s">
        <v>1035</v>
      </c>
      <c r="C86">
        <v>1</v>
      </c>
      <c r="D86">
        <v>16</v>
      </c>
      <c r="E86">
        <v>7.4217053033816302E-2</v>
      </c>
      <c r="F86">
        <v>3.7176959238999103</v>
      </c>
      <c r="G86">
        <v>17.389488150026999</v>
      </c>
      <c r="H86">
        <v>3.8201012878310099</v>
      </c>
      <c r="I86">
        <v>11.2488858135613</v>
      </c>
    </row>
    <row r="87" spans="1:9" x14ac:dyDescent="0.3">
      <c r="A87" t="s">
        <v>906</v>
      </c>
      <c r="B87" t="s">
        <v>1035</v>
      </c>
      <c r="C87">
        <v>2</v>
      </c>
      <c r="D87">
        <v>16</v>
      </c>
      <c r="E87">
        <v>6.7987033417959503E-2</v>
      </c>
      <c r="F87">
        <v>13.619996185368901</v>
      </c>
      <c r="G87">
        <v>17.9894531686144</v>
      </c>
      <c r="H87">
        <v>3.8364073071124301</v>
      </c>
      <c r="I87">
        <v>20.515342153624402</v>
      </c>
    </row>
    <row r="88" spans="1:9" x14ac:dyDescent="0.3">
      <c r="A88" t="s">
        <v>907</v>
      </c>
      <c r="B88" t="s">
        <v>1035</v>
      </c>
      <c r="C88">
        <v>3</v>
      </c>
      <c r="D88">
        <v>16</v>
      </c>
      <c r="E88">
        <v>4.8632598359706403E-2</v>
      </c>
      <c r="F88">
        <v>2.47759765160529</v>
      </c>
      <c r="G88">
        <v>32.095791090368401</v>
      </c>
      <c r="H88">
        <v>19.777535597422002</v>
      </c>
      <c r="I88">
        <v>20.202519836096503</v>
      </c>
    </row>
    <row r="89" spans="1:9" x14ac:dyDescent="0.3">
      <c r="A89" t="s">
        <v>908</v>
      </c>
      <c r="B89" t="s">
        <v>1035</v>
      </c>
      <c r="C89">
        <v>4</v>
      </c>
      <c r="D89">
        <v>16</v>
      </c>
      <c r="E89">
        <v>9.6303787331121798E-2</v>
      </c>
      <c r="F89">
        <v>2.0590478177270199</v>
      </c>
      <c r="G89">
        <v>41.360721182038304</v>
      </c>
      <c r="H89">
        <v>42.572672817826394</v>
      </c>
      <c r="I89">
        <v>41.000101475959994</v>
      </c>
    </row>
    <row r="90" spans="1:9" x14ac:dyDescent="0.3">
      <c r="A90" t="s">
        <v>909</v>
      </c>
      <c r="B90" t="s">
        <v>1035</v>
      </c>
      <c r="C90">
        <v>1</v>
      </c>
      <c r="D90">
        <v>18</v>
      </c>
      <c r="E90">
        <v>6.4042156784283599E-2</v>
      </c>
      <c r="F90">
        <v>3.1770702510683204</v>
      </c>
      <c r="G90">
        <v>57.4360454785323</v>
      </c>
      <c r="H90">
        <v>3.4163834739670502</v>
      </c>
      <c r="I90">
        <v>42.126832205259802</v>
      </c>
    </row>
    <row r="91" spans="1:9" x14ac:dyDescent="0.3">
      <c r="A91" t="s">
        <v>910</v>
      </c>
      <c r="B91" t="s">
        <v>1035</v>
      </c>
      <c r="C91">
        <v>2</v>
      </c>
      <c r="D91">
        <v>18</v>
      </c>
      <c r="E91">
        <v>0.147098377505228</v>
      </c>
      <c r="F91">
        <v>1.6359081297507401</v>
      </c>
      <c r="G91">
        <v>79.431192269203606</v>
      </c>
      <c r="H91">
        <v>1.4690987791685299</v>
      </c>
      <c r="I91">
        <v>14.304693928587</v>
      </c>
    </row>
    <row r="92" spans="1:9" x14ac:dyDescent="0.3">
      <c r="A92" t="s">
        <v>911</v>
      </c>
      <c r="B92" t="s">
        <v>1035</v>
      </c>
      <c r="C92">
        <v>3</v>
      </c>
      <c r="D92">
        <v>18</v>
      </c>
      <c r="E92">
        <v>9.1503515789570999E-2</v>
      </c>
      <c r="F92">
        <v>0.93330989748364002</v>
      </c>
      <c r="G92">
        <v>108.21461722374301</v>
      </c>
      <c r="H92">
        <v>7.8480470077783604</v>
      </c>
      <c r="I92">
        <v>12.664046921519001</v>
      </c>
    </row>
    <row r="93" spans="1:9" x14ac:dyDescent="0.3">
      <c r="A93" t="s">
        <v>912</v>
      </c>
      <c r="B93" t="s">
        <v>1035</v>
      </c>
      <c r="C93">
        <v>4</v>
      </c>
      <c r="D93">
        <v>18</v>
      </c>
      <c r="E93">
        <v>0.121109378505787</v>
      </c>
      <c r="F93">
        <v>0.59516146472609499</v>
      </c>
      <c r="G93">
        <v>153.44941776141499</v>
      </c>
      <c r="H93">
        <v>6.0598318766076797</v>
      </c>
      <c r="I93">
        <v>9.6993563521606099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5E13-28FE-4CE5-82E2-4ADB66D62BF4}">
  <dimension ref="A1:I113"/>
  <sheetViews>
    <sheetView topLeftCell="A91" workbookViewId="0">
      <selection activeCell="D107" sqref="D107"/>
    </sheetView>
  </sheetViews>
  <sheetFormatPr defaultRowHeight="14" x14ac:dyDescent="0.3"/>
  <cols>
    <col min="1" max="1" width="16.75" customWidth="1"/>
    <col min="2" max="2" width="12" customWidth="1"/>
    <col min="3" max="3" width="14.25" customWidth="1"/>
    <col min="4" max="4" width="16.58203125" customWidth="1"/>
    <col min="5" max="9" width="16.75" customWidth="1"/>
  </cols>
  <sheetData>
    <row r="1" spans="1:9" x14ac:dyDescent="0.3">
      <c r="A1" t="s">
        <v>820</v>
      </c>
      <c r="B1" t="s">
        <v>18</v>
      </c>
      <c r="C1" t="s">
        <v>1031</v>
      </c>
      <c r="D1" t="s">
        <v>1036</v>
      </c>
      <c r="E1" t="s">
        <v>913</v>
      </c>
      <c r="F1" t="s">
        <v>914</v>
      </c>
      <c r="G1" t="s">
        <v>915</v>
      </c>
      <c r="H1" t="s">
        <v>916</v>
      </c>
      <c r="I1" t="s">
        <v>917</v>
      </c>
    </row>
    <row r="2" spans="1:9" x14ac:dyDescent="0.3">
      <c r="A2" t="s">
        <v>918</v>
      </c>
      <c r="B2" t="s">
        <v>1037</v>
      </c>
      <c r="C2">
        <v>1</v>
      </c>
      <c r="D2">
        <v>0</v>
      </c>
      <c r="E2">
        <v>6.4376458297006403E-2</v>
      </c>
      <c r="F2">
        <v>10.3147854347025</v>
      </c>
      <c r="G2">
        <v>1219.07224205849</v>
      </c>
      <c r="H2">
        <v>465.36143394265201</v>
      </c>
      <c r="I2">
        <v>12.1237679390034</v>
      </c>
    </row>
    <row r="3" spans="1:9" x14ac:dyDescent="0.3">
      <c r="A3" t="s">
        <v>919</v>
      </c>
      <c r="B3" t="s">
        <v>1037</v>
      </c>
      <c r="C3">
        <v>2</v>
      </c>
      <c r="D3">
        <v>0</v>
      </c>
      <c r="E3">
        <v>3.9182059215393195E-2</v>
      </c>
      <c r="F3">
        <v>2.8998835467970703</v>
      </c>
      <c r="G3">
        <v>1038.0093696837</v>
      </c>
      <c r="H3">
        <v>391.93809662114603</v>
      </c>
      <c r="I3">
        <v>18.998951432821599</v>
      </c>
    </row>
    <row r="4" spans="1:9" x14ac:dyDescent="0.3">
      <c r="A4" t="s">
        <v>920</v>
      </c>
      <c r="B4" t="s">
        <v>1037</v>
      </c>
      <c r="C4">
        <v>3</v>
      </c>
      <c r="D4">
        <v>0</v>
      </c>
      <c r="E4">
        <v>7.6530573189564993E-2</v>
      </c>
      <c r="F4">
        <v>3.7415426378785197</v>
      </c>
      <c r="G4">
        <v>894.00010077061393</v>
      </c>
      <c r="H4">
        <v>516.51124602419395</v>
      </c>
      <c r="I4">
        <v>34.143267485577404</v>
      </c>
    </row>
    <row r="5" spans="1:9" x14ac:dyDescent="0.3">
      <c r="A5" t="s">
        <v>921</v>
      </c>
      <c r="B5" t="s">
        <v>1037</v>
      </c>
      <c r="C5">
        <v>4</v>
      </c>
      <c r="D5">
        <v>0</v>
      </c>
      <c r="E5">
        <v>6.3508623138648509E-2</v>
      </c>
      <c r="F5">
        <v>2.87304568250347</v>
      </c>
      <c r="G5">
        <v>1071.6382997109899</v>
      </c>
      <c r="H5">
        <v>487.56273160426099</v>
      </c>
      <c r="I5">
        <v>42.004948833433502</v>
      </c>
    </row>
    <row r="6" spans="1:9" x14ac:dyDescent="0.3">
      <c r="A6" t="s">
        <v>922</v>
      </c>
      <c r="B6" t="s">
        <v>1037</v>
      </c>
      <c r="C6">
        <v>1</v>
      </c>
      <c r="D6">
        <v>0.25</v>
      </c>
      <c r="E6">
        <v>4.7363218656365995E-2</v>
      </c>
      <c r="F6">
        <v>3.2833545417479497</v>
      </c>
      <c r="G6">
        <v>1621.4106649063001</v>
      </c>
      <c r="H6">
        <v>576.78687502069101</v>
      </c>
      <c r="I6">
        <v>11.729970979698701</v>
      </c>
    </row>
    <row r="7" spans="1:9" x14ac:dyDescent="0.3">
      <c r="A7" t="s">
        <v>923</v>
      </c>
      <c r="B7" t="s">
        <v>1037</v>
      </c>
      <c r="C7">
        <v>2</v>
      </c>
      <c r="D7">
        <v>0.25</v>
      </c>
      <c r="E7">
        <v>6.8094278896192101E-2</v>
      </c>
      <c r="F7">
        <v>2.4503482987238598</v>
      </c>
      <c r="G7">
        <v>1357.1096696529901</v>
      </c>
      <c r="H7">
        <v>514.87229034414497</v>
      </c>
      <c r="I7">
        <v>19.194833042086401</v>
      </c>
    </row>
    <row r="8" spans="1:9" x14ac:dyDescent="0.3">
      <c r="A8" t="s">
        <v>924</v>
      </c>
      <c r="B8" t="s">
        <v>1037</v>
      </c>
      <c r="C8">
        <v>3</v>
      </c>
      <c r="D8">
        <v>0.25</v>
      </c>
      <c r="E8">
        <v>8.2211497851847601E-2</v>
      </c>
      <c r="F8">
        <v>2.9652542311674401</v>
      </c>
      <c r="G8">
        <v>1125.50743990195</v>
      </c>
      <c r="H8">
        <v>704.85120264918703</v>
      </c>
      <c r="I8">
        <v>11.851314977182501</v>
      </c>
    </row>
    <row r="9" spans="1:9" x14ac:dyDescent="0.3">
      <c r="A9" t="s">
        <v>925</v>
      </c>
      <c r="B9" t="s">
        <v>1037</v>
      </c>
      <c r="C9">
        <v>4</v>
      </c>
      <c r="D9">
        <v>0.25</v>
      </c>
      <c r="E9">
        <v>7.9962117267566413E-2</v>
      </c>
      <c r="F9">
        <v>3.9720354599548999</v>
      </c>
      <c r="G9">
        <v>1507.1951331707999</v>
      </c>
      <c r="H9">
        <v>715.00766312677797</v>
      </c>
      <c r="I9">
        <v>16.189469894432101</v>
      </c>
    </row>
    <row r="10" spans="1:9" x14ac:dyDescent="0.3">
      <c r="A10" t="s">
        <v>926</v>
      </c>
      <c r="B10" t="s">
        <v>1037</v>
      </c>
      <c r="C10">
        <v>1</v>
      </c>
      <c r="D10">
        <v>3</v>
      </c>
      <c r="E10">
        <v>6.8592646075398403E-2</v>
      </c>
      <c r="F10">
        <v>1.9646387315103699</v>
      </c>
      <c r="G10">
        <v>3518.1311265460199</v>
      </c>
      <c r="H10">
        <v>490.16488074258604</v>
      </c>
      <c r="I10">
        <v>11.2810675124875</v>
      </c>
    </row>
    <row r="11" spans="1:9" x14ac:dyDescent="0.3">
      <c r="A11" t="s">
        <v>927</v>
      </c>
      <c r="B11" t="s">
        <v>1037</v>
      </c>
      <c r="C11">
        <v>2</v>
      </c>
      <c r="D11">
        <v>3</v>
      </c>
      <c r="E11">
        <v>6.8163683737791206E-2</v>
      </c>
      <c r="F11">
        <v>1.16428629560831</v>
      </c>
      <c r="G11">
        <v>3221.5498549858103</v>
      </c>
      <c r="H11">
        <v>653.30030898181701</v>
      </c>
      <c r="I11">
        <v>12.804201952406999</v>
      </c>
    </row>
    <row r="12" spans="1:9" x14ac:dyDescent="0.3">
      <c r="A12" t="s">
        <v>928</v>
      </c>
      <c r="B12" t="s">
        <v>1037</v>
      </c>
      <c r="C12">
        <v>3</v>
      </c>
      <c r="D12">
        <v>3</v>
      </c>
      <c r="E12">
        <v>4.7305117571727097E-2</v>
      </c>
      <c r="F12">
        <v>2.4307759007196998</v>
      </c>
      <c r="G12">
        <v>2145.9464557531101</v>
      </c>
      <c r="H12">
        <v>1346.6966285153501</v>
      </c>
      <c r="I12">
        <v>22.4904817017865</v>
      </c>
    </row>
    <row r="13" spans="1:9" x14ac:dyDescent="0.3">
      <c r="A13" t="s">
        <v>929</v>
      </c>
      <c r="B13" t="s">
        <v>1037</v>
      </c>
      <c r="C13">
        <v>4</v>
      </c>
      <c r="D13">
        <v>3</v>
      </c>
      <c r="E13">
        <v>7.6697029433682104E-2</v>
      </c>
      <c r="F13">
        <v>2.8940458847646799</v>
      </c>
      <c r="G13">
        <v>3037.3240834073699</v>
      </c>
      <c r="H13">
        <v>784.67348123359795</v>
      </c>
      <c r="I13">
        <v>22.826208208633698</v>
      </c>
    </row>
    <row r="14" spans="1:9" x14ac:dyDescent="0.3">
      <c r="A14" t="s">
        <v>930</v>
      </c>
      <c r="B14" t="s">
        <v>1037</v>
      </c>
      <c r="C14">
        <v>1</v>
      </c>
      <c r="D14">
        <v>3</v>
      </c>
      <c r="E14">
        <v>9.5819603107126908E-2</v>
      </c>
      <c r="F14">
        <v>3.5689706870534597</v>
      </c>
      <c r="G14">
        <v>1361.8058006408601</v>
      </c>
      <c r="H14">
        <v>203.63540401550298</v>
      </c>
      <c r="I14">
        <v>15.642725986770301</v>
      </c>
    </row>
    <row r="15" spans="1:9" x14ac:dyDescent="0.3">
      <c r="A15" t="s">
        <v>931</v>
      </c>
      <c r="B15" t="s">
        <v>1037</v>
      </c>
      <c r="C15">
        <v>2</v>
      </c>
      <c r="D15">
        <v>3</v>
      </c>
      <c r="E15">
        <v>8.9548741065459805E-2</v>
      </c>
      <c r="F15">
        <v>4.0926007095150405</v>
      </c>
      <c r="G15">
        <v>1187.2286414891701</v>
      </c>
      <c r="H15">
        <v>233.32244315838699</v>
      </c>
      <c r="I15">
        <v>18.1790029377817</v>
      </c>
    </row>
    <row r="16" spans="1:9" x14ac:dyDescent="0.3">
      <c r="A16" t="s">
        <v>932</v>
      </c>
      <c r="B16" t="s">
        <v>1037</v>
      </c>
      <c r="C16">
        <v>3</v>
      </c>
      <c r="D16">
        <v>3</v>
      </c>
      <c r="E16">
        <v>4.1020288264799795E-2</v>
      </c>
      <c r="F16">
        <v>5.3852186293121393</v>
      </c>
      <c r="G16">
        <v>656.90941779383297</v>
      </c>
      <c r="H16">
        <v>385.93773392273903</v>
      </c>
      <c r="I16">
        <v>17.053890057721198</v>
      </c>
    </row>
    <row r="17" spans="1:9" x14ac:dyDescent="0.3">
      <c r="A17" t="s">
        <v>933</v>
      </c>
      <c r="B17" t="s">
        <v>1037</v>
      </c>
      <c r="C17">
        <v>4</v>
      </c>
      <c r="D17">
        <v>3</v>
      </c>
      <c r="E17">
        <v>8.1331512470176309E-2</v>
      </c>
      <c r="F17">
        <v>6.2888691931726903</v>
      </c>
      <c r="G17">
        <v>1104.2596984342399</v>
      </c>
      <c r="H17">
        <v>287.70216227131596</v>
      </c>
      <c r="I17">
        <v>556.77132683454192</v>
      </c>
    </row>
    <row r="18" spans="1:9" x14ac:dyDescent="0.3">
      <c r="A18" t="s">
        <v>934</v>
      </c>
      <c r="B18" t="s">
        <v>1037</v>
      </c>
      <c r="C18">
        <v>1</v>
      </c>
      <c r="D18">
        <v>3.25</v>
      </c>
      <c r="E18">
        <v>0.113936654737228</v>
      </c>
      <c r="F18">
        <v>4.3489437535664894</v>
      </c>
      <c r="G18">
        <v>1865.2761915936799</v>
      </c>
      <c r="H18">
        <v>228.77682959231802</v>
      </c>
      <c r="I18">
        <v>24.1887468480876</v>
      </c>
    </row>
    <row r="19" spans="1:9" x14ac:dyDescent="0.3">
      <c r="A19" t="s">
        <v>935</v>
      </c>
      <c r="B19" t="s">
        <v>1037</v>
      </c>
      <c r="C19">
        <v>2</v>
      </c>
      <c r="D19">
        <v>3.25</v>
      </c>
      <c r="E19">
        <v>9.5840520601241097E-2</v>
      </c>
      <c r="F19">
        <v>4.4150631333944199</v>
      </c>
      <c r="G19">
        <v>1466.50553469384</v>
      </c>
      <c r="H19">
        <v>241.767906748938</v>
      </c>
      <c r="I19">
        <v>22.5822829019131</v>
      </c>
    </row>
    <row r="20" spans="1:9" x14ac:dyDescent="0.3">
      <c r="A20" t="s">
        <v>936</v>
      </c>
      <c r="B20" t="s">
        <v>1037</v>
      </c>
      <c r="C20">
        <v>3</v>
      </c>
      <c r="D20">
        <v>3.25</v>
      </c>
      <c r="E20">
        <v>8.5541586163943306E-2</v>
      </c>
      <c r="F20">
        <v>5.0257763263135899</v>
      </c>
      <c r="G20">
        <v>854.78472922873607</v>
      </c>
      <c r="H20">
        <v>423.61133380269598</v>
      </c>
      <c r="I20">
        <v>32.9365018771243</v>
      </c>
    </row>
    <row r="21" spans="1:9" x14ac:dyDescent="0.3">
      <c r="A21" t="s">
        <v>937</v>
      </c>
      <c r="B21" t="s">
        <v>1037</v>
      </c>
      <c r="C21">
        <v>4</v>
      </c>
      <c r="D21">
        <v>3.25</v>
      </c>
      <c r="E21">
        <v>7.322530312252859E-2</v>
      </c>
      <c r="F21">
        <v>4.9088672701545697</v>
      </c>
      <c r="G21">
        <v>1384.3944486897201</v>
      </c>
      <c r="H21">
        <v>283.81734706455001</v>
      </c>
      <c r="I21">
        <v>20.7190080600326</v>
      </c>
    </row>
    <row r="22" spans="1:9" x14ac:dyDescent="0.3">
      <c r="A22" t="s">
        <v>938</v>
      </c>
      <c r="B22" t="s">
        <v>1037</v>
      </c>
      <c r="C22">
        <v>1</v>
      </c>
      <c r="D22">
        <v>4</v>
      </c>
      <c r="E22">
        <v>7.2197722408572598E-2</v>
      </c>
      <c r="F22">
        <v>3.1143154387682697</v>
      </c>
      <c r="G22">
        <v>2729.05260416891</v>
      </c>
      <c r="H22">
        <v>206.11674306248699</v>
      </c>
      <c r="I22">
        <v>69.746248789703998</v>
      </c>
    </row>
    <row r="23" spans="1:9" x14ac:dyDescent="0.3">
      <c r="A23" t="s">
        <v>939</v>
      </c>
      <c r="B23" t="s">
        <v>1037</v>
      </c>
      <c r="C23">
        <v>2</v>
      </c>
      <c r="D23">
        <v>4</v>
      </c>
      <c r="E23">
        <v>0.13489765347597601</v>
      </c>
      <c r="F23">
        <v>4.16850294652036</v>
      </c>
      <c r="G23">
        <v>2206.6815147508901</v>
      </c>
      <c r="H23">
        <v>308.94433193282998</v>
      </c>
      <c r="I23">
        <v>19.4930607565251</v>
      </c>
    </row>
    <row r="24" spans="1:9" x14ac:dyDescent="0.3">
      <c r="A24" t="s">
        <v>940</v>
      </c>
      <c r="B24" t="s">
        <v>1037</v>
      </c>
      <c r="C24">
        <v>3</v>
      </c>
      <c r="D24">
        <v>4</v>
      </c>
      <c r="E24">
        <v>0.12557907401132601</v>
      </c>
      <c r="F24">
        <v>19.519031401253301</v>
      </c>
      <c r="G24">
        <v>1593.2325422059198</v>
      </c>
      <c r="H24">
        <v>588.32252039497803</v>
      </c>
      <c r="I24">
        <v>29.859467252904398</v>
      </c>
    </row>
    <row r="25" spans="1:9" x14ac:dyDescent="0.3">
      <c r="A25" t="s">
        <v>941</v>
      </c>
      <c r="B25" t="s">
        <v>1037</v>
      </c>
      <c r="C25">
        <v>4</v>
      </c>
      <c r="D25">
        <v>4</v>
      </c>
      <c r="E25">
        <v>0.103343352596351</v>
      </c>
      <c r="F25">
        <v>1.9059405249358099</v>
      </c>
      <c r="G25">
        <v>2486.74117345984</v>
      </c>
      <c r="H25">
        <v>379.46447275131595</v>
      </c>
      <c r="I25">
        <v>17.128930955757898</v>
      </c>
    </row>
    <row r="26" spans="1:9" x14ac:dyDescent="0.3">
      <c r="A26" t="s">
        <v>942</v>
      </c>
      <c r="B26" t="s">
        <v>1037</v>
      </c>
      <c r="C26">
        <v>1</v>
      </c>
      <c r="D26">
        <v>4</v>
      </c>
      <c r="E26">
        <v>9.8851797326772309E-2</v>
      </c>
      <c r="F26">
        <v>9.5585378462182202</v>
      </c>
      <c r="G26">
        <v>880.01226752272999</v>
      </c>
      <c r="H26">
        <v>90.087431225430592</v>
      </c>
      <c r="I26">
        <v>10.444844640069299</v>
      </c>
    </row>
    <row r="27" spans="1:9" x14ac:dyDescent="0.3">
      <c r="A27" t="s">
        <v>943</v>
      </c>
      <c r="B27" t="s">
        <v>1037</v>
      </c>
      <c r="C27">
        <v>2</v>
      </c>
      <c r="D27">
        <v>4</v>
      </c>
      <c r="E27">
        <v>5.48554375626297E-2</v>
      </c>
      <c r="F27">
        <v>4.40114169561609</v>
      </c>
      <c r="G27">
        <v>760.48497381393406</v>
      </c>
      <c r="H27">
        <v>121.674699442885</v>
      </c>
      <c r="I27">
        <v>37.464383189382801</v>
      </c>
    </row>
    <row r="28" spans="1:9" x14ac:dyDescent="0.3">
      <c r="A28" t="s">
        <v>944</v>
      </c>
      <c r="B28" t="s">
        <v>1037</v>
      </c>
      <c r="C28">
        <v>3</v>
      </c>
      <c r="D28">
        <v>4</v>
      </c>
      <c r="E28">
        <v>6.9380768120561598E-2</v>
      </c>
      <c r="F28">
        <v>4.1202303068225099</v>
      </c>
      <c r="G28">
        <v>647.20418451704404</v>
      </c>
      <c r="H28">
        <v>245.937952358671</v>
      </c>
      <c r="I28">
        <v>18.128105311046301</v>
      </c>
    </row>
    <row r="29" spans="1:9" x14ac:dyDescent="0.3">
      <c r="A29" t="s">
        <v>945</v>
      </c>
      <c r="B29" t="s">
        <v>1037</v>
      </c>
      <c r="C29">
        <v>4</v>
      </c>
      <c r="D29">
        <v>4</v>
      </c>
      <c r="E29">
        <v>4.0591524639966597E-2</v>
      </c>
      <c r="F29">
        <v>4.0562273740635497</v>
      </c>
      <c r="G29">
        <v>760.47529363541798</v>
      </c>
      <c r="H29">
        <v>111.727878012818</v>
      </c>
      <c r="I29">
        <v>17.353992767378099</v>
      </c>
    </row>
    <row r="30" spans="1:9" x14ac:dyDescent="0.3">
      <c r="A30" t="s">
        <v>946</v>
      </c>
      <c r="B30" t="s">
        <v>1037</v>
      </c>
      <c r="C30">
        <v>1</v>
      </c>
      <c r="D30">
        <v>6</v>
      </c>
      <c r="E30">
        <v>0.109019983619313</v>
      </c>
      <c r="F30">
        <v>1.6902934344345399</v>
      </c>
      <c r="G30">
        <v>2398.84613797263</v>
      </c>
      <c r="H30">
        <v>65.818601999136902</v>
      </c>
      <c r="I30">
        <v>31.8321709587619</v>
      </c>
    </row>
    <row r="31" spans="1:9" x14ac:dyDescent="0.3">
      <c r="A31" t="s">
        <v>947</v>
      </c>
      <c r="B31" t="s">
        <v>1037</v>
      </c>
      <c r="C31">
        <v>2</v>
      </c>
      <c r="D31">
        <v>6</v>
      </c>
      <c r="E31">
        <v>9.46746860720937E-2</v>
      </c>
      <c r="F31">
        <v>3.1081656582723598</v>
      </c>
      <c r="G31">
        <v>2270.69059009593</v>
      </c>
      <c r="H31">
        <v>289.27258891275801</v>
      </c>
      <c r="I31">
        <v>26.167488509667599</v>
      </c>
    </row>
    <row r="32" spans="1:9" x14ac:dyDescent="0.3">
      <c r="A32" t="s">
        <v>948</v>
      </c>
      <c r="B32" t="s">
        <v>1037</v>
      </c>
      <c r="C32">
        <v>3</v>
      </c>
      <c r="D32">
        <v>6</v>
      </c>
      <c r="E32">
        <v>9.7446964106419315E-2</v>
      </c>
      <c r="F32">
        <v>3.3173236338736798</v>
      </c>
      <c r="G32">
        <v>2072.9085190281003</v>
      </c>
      <c r="H32">
        <v>400.51642252523897</v>
      </c>
      <c r="I32">
        <v>34.633655062413098</v>
      </c>
    </row>
    <row r="33" spans="1:9" x14ac:dyDescent="0.3">
      <c r="A33" t="s">
        <v>949</v>
      </c>
      <c r="B33" t="s">
        <v>1037</v>
      </c>
      <c r="C33">
        <v>4</v>
      </c>
      <c r="D33">
        <v>6</v>
      </c>
      <c r="E33">
        <v>9.7116744687215803E-2</v>
      </c>
      <c r="F33">
        <v>2.4243524455901699</v>
      </c>
      <c r="G33">
        <v>2385.9459482645598</v>
      </c>
      <c r="H33">
        <v>218.30284682987499</v>
      </c>
      <c r="I33">
        <v>8.6422086617890912</v>
      </c>
    </row>
    <row r="34" spans="1:9" x14ac:dyDescent="0.3">
      <c r="A34" t="s">
        <v>950</v>
      </c>
      <c r="B34" t="s">
        <v>1037</v>
      </c>
      <c r="C34">
        <v>1</v>
      </c>
      <c r="D34">
        <v>6</v>
      </c>
      <c r="E34">
        <v>8.6226109674959001E-2</v>
      </c>
      <c r="F34">
        <v>2.5084393520803698</v>
      </c>
      <c r="G34">
        <v>867.25147022897602</v>
      </c>
      <c r="H34">
        <v>124.82977077567</v>
      </c>
      <c r="I34">
        <v>15.005992704650099</v>
      </c>
    </row>
    <row r="35" spans="1:9" x14ac:dyDescent="0.3">
      <c r="A35" t="s">
        <v>951</v>
      </c>
      <c r="B35" t="s">
        <v>1037</v>
      </c>
      <c r="C35">
        <v>2</v>
      </c>
      <c r="D35">
        <v>6</v>
      </c>
      <c r="E35">
        <v>0.105018487029332</v>
      </c>
      <c r="F35">
        <v>2.16991488972084</v>
      </c>
      <c r="G35">
        <v>851.67590615540905</v>
      </c>
      <c r="H35">
        <v>455.57319666139102</v>
      </c>
      <c r="I35">
        <v>13.7565617196415</v>
      </c>
    </row>
    <row r="36" spans="1:9" x14ac:dyDescent="0.3">
      <c r="A36" t="s">
        <v>952</v>
      </c>
      <c r="B36" t="s">
        <v>1037</v>
      </c>
      <c r="C36">
        <v>3</v>
      </c>
      <c r="D36">
        <v>6</v>
      </c>
      <c r="E36">
        <v>6.1802789774383096E-2</v>
      </c>
      <c r="F36">
        <v>2.7391652162409001</v>
      </c>
      <c r="G36">
        <v>675.20581964135795</v>
      </c>
      <c r="H36">
        <v>226.94387002887498</v>
      </c>
      <c r="I36">
        <v>9.9809303256777504</v>
      </c>
    </row>
    <row r="37" spans="1:9" x14ac:dyDescent="0.3">
      <c r="A37" t="s">
        <v>953</v>
      </c>
      <c r="B37" t="s">
        <v>1037</v>
      </c>
      <c r="C37">
        <v>4</v>
      </c>
      <c r="D37">
        <v>6</v>
      </c>
      <c r="E37">
        <v>4.4513979244523404E-2</v>
      </c>
      <c r="F37">
        <v>4.6973181763259904</v>
      </c>
      <c r="G37">
        <v>856.28820510498099</v>
      </c>
      <c r="H37">
        <v>117.12919254136099</v>
      </c>
      <c r="I37">
        <v>10.0402816971819</v>
      </c>
    </row>
    <row r="38" spans="1:9" x14ac:dyDescent="0.3">
      <c r="A38" t="s">
        <v>954</v>
      </c>
      <c r="B38" t="s">
        <v>1037</v>
      </c>
      <c r="C38">
        <v>1</v>
      </c>
      <c r="D38">
        <v>6.29</v>
      </c>
      <c r="E38">
        <v>6.9942839305130206E-2</v>
      </c>
      <c r="F38">
        <v>2.6001285844048501</v>
      </c>
      <c r="G38">
        <v>1112.49559736424</v>
      </c>
      <c r="H38">
        <v>168.356662789175</v>
      </c>
      <c r="I38">
        <v>11.767262301278201</v>
      </c>
    </row>
    <row r="39" spans="1:9" x14ac:dyDescent="0.3">
      <c r="A39" t="s">
        <v>955</v>
      </c>
      <c r="B39" t="s">
        <v>1037</v>
      </c>
      <c r="C39">
        <v>2</v>
      </c>
      <c r="D39">
        <v>6.29</v>
      </c>
      <c r="E39">
        <v>2.4206904173543299E-2</v>
      </c>
      <c r="F39">
        <v>2.6276134756963199</v>
      </c>
      <c r="G39">
        <v>1410.0352803448002</v>
      </c>
      <c r="H39">
        <v>658.77926673917204</v>
      </c>
      <c r="I39">
        <v>15.7081642837895</v>
      </c>
    </row>
    <row r="40" spans="1:9" x14ac:dyDescent="0.3">
      <c r="A40" t="s">
        <v>956</v>
      </c>
      <c r="B40" t="s">
        <v>1037</v>
      </c>
      <c r="C40">
        <v>3</v>
      </c>
      <c r="D40">
        <v>6.29</v>
      </c>
      <c r="E40">
        <v>9.5153863150200108E-2</v>
      </c>
      <c r="F40">
        <v>2.6941273739003102</v>
      </c>
      <c r="G40">
        <v>958.76087090211104</v>
      </c>
      <c r="H40">
        <v>299.90782476948698</v>
      </c>
      <c r="I40">
        <v>17.654337124220799</v>
      </c>
    </row>
    <row r="41" spans="1:9" x14ac:dyDescent="0.3">
      <c r="A41" t="s">
        <v>957</v>
      </c>
      <c r="B41" t="s">
        <v>1037</v>
      </c>
      <c r="C41">
        <v>4</v>
      </c>
      <c r="D41">
        <v>6.29</v>
      </c>
      <c r="E41">
        <v>6.7261826101290806E-2</v>
      </c>
      <c r="F41">
        <v>3.3236887204219698</v>
      </c>
      <c r="G41">
        <v>1119.89714221296</v>
      </c>
      <c r="H41">
        <v>141.89624113373699</v>
      </c>
      <c r="I41">
        <v>2.5065610569077301</v>
      </c>
    </row>
    <row r="42" spans="1:9" x14ac:dyDescent="0.3">
      <c r="A42" t="s">
        <v>958</v>
      </c>
      <c r="B42" t="s">
        <v>1037</v>
      </c>
      <c r="C42">
        <v>1</v>
      </c>
      <c r="D42">
        <v>7</v>
      </c>
      <c r="E42">
        <v>6.4569325073451103E-2</v>
      </c>
      <c r="F42">
        <v>2.5228465267101301</v>
      </c>
      <c r="G42">
        <v>1577.9503335604099</v>
      </c>
      <c r="H42">
        <v>262.46283079824798</v>
      </c>
      <c r="I42">
        <v>13.357824440436199</v>
      </c>
    </row>
    <row r="43" spans="1:9" x14ac:dyDescent="0.3">
      <c r="A43" t="s">
        <v>959</v>
      </c>
      <c r="B43" t="s">
        <v>1037</v>
      </c>
      <c r="C43">
        <v>2</v>
      </c>
      <c r="D43">
        <v>7</v>
      </c>
      <c r="E43">
        <v>6.7298950607718802E-2</v>
      </c>
      <c r="F43">
        <v>2.0391355059203602</v>
      </c>
      <c r="G43">
        <v>2211.5462630048801</v>
      </c>
      <c r="H43">
        <v>677.17770281354103</v>
      </c>
      <c r="I43">
        <v>9.8108178051629604</v>
      </c>
    </row>
    <row r="44" spans="1:9" x14ac:dyDescent="0.3">
      <c r="A44" t="s">
        <v>960</v>
      </c>
      <c r="B44" t="s">
        <v>1037</v>
      </c>
      <c r="C44">
        <v>3</v>
      </c>
      <c r="D44">
        <v>7</v>
      </c>
      <c r="E44">
        <v>6.8691098482066809E-2</v>
      </c>
      <c r="F44">
        <v>2.1217715645683901</v>
      </c>
      <c r="G44">
        <v>1701.21285418807</v>
      </c>
      <c r="H44">
        <v>460.51993179857396</v>
      </c>
      <c r="I44">
        <v>15.8101476396645</v>
      </c>
    </row>
    <row r="45" spans="1:9" x14ac:dyDescent="0.3">
      <c r="A45" t="s">
        <v>961</v>
      </c>
      <c r="B45" t="s">
        <v>1037</v>
      </c>
      <c r="C45">
        <v>4</v>
      </c>
      <c r="D45">
        <v>7</v>
      </c>
      <c r="E45">
        <v>0.109185241707356</v>
      </c>
      <c r="F45">
        <v>2.9042471985871101</v>
      </c>
      <c r="G45">
        <v>1747.6934924429402</v>
      </c>
      <c r="H45">
        <v>227.16005673027499</v>
      </c>
      <c r="I45">
        <v>16.987116727839599</v>
      </c>
    </row>
    <row r="46" spans="1:9" x14ac:dyDescent="0.3">
      <c r="A46" t="s">
        <v>962</v>
      </c>
      <c r="B46" t="s">
        <v>1037</v>
      </c>
      <c r="C46">
        <v>1</v>
      </c>
      <c r="D46">
        <v>7</v>
      </c>
      <c r="E46">
        <v>0.17133351512082398</v>
      </c>
      <c r="F46">
        <v>4.2905274261962401</v>
      </c>
      <c r="G46">
        <v>536.13418595432699</v>
      </c>
      <c r="H46">
        <v>107.835739299203</v>
      </c>
      <c r="I46">
        <v>15.251852645351601</v>
      </c>
    </row>
    <row r="47" spans="1:9" x14ac:dyDescent="0.3">
      <c r="A47" t="s">
        <v>963</v>
      </c>
      <c r="B47" t="s">
        <v>1037</v>
      </c>
      <c r="C47">
        <v>2</v>
      </c>
      <c r="D47">
        <v>7</v>
      </c>
      <c r="E47">
        <v>5.5035741997045001E-2</v>
      </c>
      <c r="F47">
        <v>3.4752171109674004</v>
      </c>
      <c r="G47">
        <v>822.532990564908</v>
      </c>
      <c r="H47">
        <v>245.98673530238401</v>
      </c>
      <c r="I47">
        <v>12.280971983632501</v>
      </c>
    </row>
    <row r="48" spans="1:9" x14ac:dyDescent="0.3">
      <c r="A48" t="s">
        <v>964</v>
      </c>
      <c r="B48" t="s">
        <v>1037</v>
      </c>
      <c r="C48">
        <v>3</v>
      </c>
      <c r="D48">
        <v>7</v>
      </c>
      <c r="E48">
        <v>4.2088430112713404E-2</v>
      </c>
      <c r="F48">
        <v>4.06114777598322</v>
      </c>
      <c r="G48">
        <v>604.06628735757897</v>
      </c>
      <c r="H48">
        <v>166.15891546592502</v>
      </c>
      <c r="I48">
        <v>12.4415813945003</v>
      </c>
    </row>
    <row r="49" spans="1:9" x14ac:dyDescent="0.3">
      <c r="A49" t="s">
        <v>965</v>
      </c>
      <c r="B49" t="s">
        <v>1037</v>
      </c>
      <c r="C49">
        <v>4</v>
      </c>
      <c r="D49">
        <v>7</v>
      </c>
      <c r="E49">
        <v>7.3963404877593897E-2</v>
      </c>
      <c r="F49">
        <v>3.2845500190383499</v>
      </c>
      <c r="G49">
        <v>551.66048826256406</v>
      </c>
      <c r="H49">
        <v>90.907132911215101</v>
      </c>
      <c r="I49">
        <v>10.977584610838999</v>
      </c>
    </row>
    <row r="50" spans="1:9" x14ac:dyDescent="0.3">
      <c r="A50" t="s">
        <v>966</v>
      </c>
      <c r="B50" t="s">
        <v>1037</v>
      </c>
      <c r="C50">
        <v>1</v>
      </c>
      <c r="D50">
        <v>9</v>
      </c>
      <c r="E50">
        <v>8.9853653900176508E-2</v>
      </c>
      <c r="F50">
        <v>1.91937711888333</v>
      </c>
      <c r="G50">
        <v>2152.0131392296198</v>
      </c>
      <c r="H50">
        <v>192.18365064078299</v>
      </c>
      <c r="I50">
        <v>14.173592352711699</v>
      </c>
    </row>
    <row r="51" spans="1:9" x14ac:dyDescent="0.3">
      <c r="A51" t="s">
        <v>967</v>
      </c>
      <c r="B51" t="s">
        <v>1037</v>
      </c>
      <c r="C51">
        <v>2</v>
      </c>
      <c r="D51">
        <v>9</v>
      </c>
      <c r="E51">
        <v>9.293659205052171E-2</v>
      </c>
      <c r="F51">
        <v>1.9543007596764501</v>
      </c>
      <c r="G51">
        <v>2541.7655900478103</v>
      </c>
      <c r="H51">
        <v>187.364659069422</v>
      </c>
      <c r="I51">
        <v>45.317665765304803</v>
      </c>
    </row>
    <row r="52" spans="1:9" x14ac:dyDescent="0.3">
      <c r="A52" t="s">
        <v>968</v>
      </c>
      <c r="B52" t="s">
        <v>1037</v>
      </c>
      <c r="C52">
        <v>3</v>
      </c>
      <c r="D52">
        <v>9</v>
      </c>
      <c r="E52">
        <v>4.9582791986297899E-2</v>
      </c>
      <c r="F52">
        <v>1.3095533945695301</v>
      </c>
      <c r="G52">
        <v>2017.9948982716201</v>
      </c>
      <c r="H52">
        <v>258.98249076337999</v>
      </c>
      <c r="I52">
        <v>21.281872631533897</v>
      </c>
    </row>
    <row r="53" spans="1:9" x14ac:dyDescent="0.3">
      <c r="A53" t="s">
        <v>969</v>
      </c>
      <c r="B53" t="s">
        <v>1037</v>
      </c>
      <c r="C53">
        <v>4</v>
      </c>
      <c r="D53">
        <v>9</v>
      </c>
      <c r="E53">
        <v>8.1187377685151704E-2</v>
      </c>
      <c r="F53">
        <v>2.80946815792172</v>
      </c>
      <c r="G53">
        <v>2089.5138971825299</v>
      </c>
      <c r="H53">
        <v>180.739677158944</v>
      </c>
      <c r="I53">
        <v>26.950482206468397</v>
      </c>
    </row>
    <row r="54" spans="1:9" x14ac:dyDescent="0.3">
      <c r="A54" t="s">
        <v>970</v>
      </c>
      <c r="B54" t="s">
        <v>1037</v>
      </c>
      <c r="C54">
        <v>1</v>
      </c>
      <c r="D54">
        <v>9</v>
      </c>
      <c r="E54">
        <v>6.3192367009125505E-2</v>
      </c>
      <c r="F54">
        <v>4.7229327663165899</v>
      </c>
      <c r="G54">
        <v>603.96528516766602</v>
      </c>
      <c r="H54">
        <v>76.814872053886702</v>
      </c>
      <c r="I54">
        <v>14.0096472472586</v>
      </c>
    </row>
    <row r="55" spans="1:9" x14ac:dyDescent="0.3">
      <c r="A55" t="s">
        <v>971</v>
      </c>
      <c r="B55" t="s">
        <v>1037</v>
      </c>
      <c r="C55">
        <v>2</v>
      </c>
      <c r="D55">
        <v>9</v>
      </c>
      <c r="E55">
        <v>7.5832147928104693E-2</v>
      </c>
      <c r="F55">
        <v>3.1581431942866001</v>
      </c>
      <c r="G55">
        <v>754.56072851894601</v>
      </c>
      <c r="H55">
        <v>141.086192018069</v>
      </c>
      <c r="I55">
        <v>8.5548452816965508</v>
      </c>
    </row>
    <row r="56" spans="1:9" x14ac:dyDescent="0.3">
      <c r="A56" t="s">
        <v>972</v>
      </c>
      <c r="B56" t="s">
        <v>1037</v>
      </c>
      <c r="C56">
        <v>3</v>
      </c>
      <c r="D56">
        <v>9</v>
      </c>
      <c r="E56">
        <v>9.5546722515185201E-2</v>
      </c>
      <c r="F56">
        <v>3.7581273650090004</v>
      </c>
      <c r="G56">
        <v>640.56180777527197</v>
      </c>
      <c r="H56">
        <v>144.29088984253102</v>
      </c>
      <c r="I56">
        <v>20.166860747430498</v>
      </c>
    </row>
    <row r="57" spans="1:9" x14ac:dyDescent="0.3">
      <c r="A57" t="s">
        <v>973</v>
      </c>
      <c r="B57" t="s">
        <v>1037</v>
      </c>
      <c r="C57">
        <v>4</v>
      </c>
      <c r="D57">
        <v>9</v>
      </c>
      <c r="E57">
        <v>6.4984842291169201E-2</v>
      </c>
      <c r="F57">
        <v>3.5168228875398899</v>
      </c>
      <c r="G57">
        <v>577.556685170788</v>
      </c>
      <c r="H57">
        <v>75.576505736995998</v>
      </c>
      <c r="I57">
        <v>12.221989254575201</v>
      </c>
    </row>
    <row r="58" spans="1:9" x14ac:dyDescent="0.3">
      <c r="A58" t="s">
        <v>974</v>
      </c>
      <c r="B58" t="s">
        <v>1037</v>
      </c>
      <c r="C58">
        <v>1</v>
      </c>
      <c r="D58">
        <v>9.25</v>
      </c>
      <c r="E58">
        <v>0.10175198039962399</v>
      </c>
      <c r="F58">
        <v>2.1330312931377899</v>
      </c>
      <c r="G58">
        <v>921.92462276599895</v>
      </c>
      <c r="H58">
        <v>89.773800828866399</v>
      </c>
      <c r="I58">
        <v>20.6651513957442</v>
      </c>
    </row>
    <row r="59" spans="1:9" x14ac:dyDescent="0.3">
      <c r="A59" t="s">
        <v>975</v>
      </c>
      <c r="B59" t="s">
        <v>1037</v>
      </c>
      <c r="C59">
        <v>2</v>
      </c>
      <c r="D59">
        <v>9.25</v>
      </c>
      <c r="E59">
        <v>8.2120640990348298E-2</v>
      </c>
      <c r="F59">
        <v>2.6291801067503999</v>
      </c>
      <c r="G59">
        <v>1140.3142001630699</v>
      </c>
      <c r="H59">
        <v>170.34486239163999</v>
      </c>
      <c r="I59">
        <v>5.7822134029934098</v>
      </c>
    </row>
    <row r="60" spans="1:9" x14ac:dyDescent="0.3">
      <c r="A60" t="s">
        <v>976</v>
      </c>
      <c r="B60" t="s">
        <v>1037</v>
      </c>
      <c r="C60">
        <v>3</v>
      </c>
      <c r="D60">
        <v>9.25</v>
      </c>
      <c r="E60">
        <v>3.5941190205036298E-2</v>
      </c>
      <c r="F60">
        <v>3.0163658945286898</v>
      </c>
      <c r="G60">
        <v>976.99710584260197</v>
      </c>
      <c r="H60">
        <v>185.88970809513899</v>
      </c>
      <c r="I60">
        <v>12.085980060139201</v>
      </c>
    </row>
    <row r="61" spans="1:9" x14ac:dyDescent="0.3">
      <c r="A61" t="s">
        <v>977</v>
      </c>
      <c r="B61" t="s">
        <v>1037</v>
      </c>
      <c r="C61">
        <v>4</v>
      </c>
      <c r="D61">
        <v>9.25</v>
      </c>
      <c r="E61">
        <v>6.9743901462263905E-2</v>
      </c>
      <c r="F61">
        <v>3.0564375301842301</v>
      </c>
      <c r="G61">
        <v>870.425630563082</v>
      </c>
      <c r="H61">
        <v>89.621314136443885</v>
      </c>
      <c r="I61">
        <v>9.8454326832236809</v>
      </c>
    </row>
    <row r="62" spans="1:9" x14ac:dyDescent="0.3">
      <c r="A62" t="s">
        <v>978</v>
      </c>
      <c r="B62" t="s">
        <v>1037</v>
      </c>
      <c r="C62">
        <v>1</v>
      </c>
      <c r="D62">
        <v>10</v>
      </c>
      <c r="E62">
        <v>6.3790427174577599E-2</v>
      </c>
      <c r="F62">
        <v>1.21437765339515</v>
      </c>
      <c r="G62">
        <v>1656.3160112523301</v>
      </c>
      <c r="H62">
        <v>153.13489369493601</v>
      </c>
      <c r="I62">
        <v>9.82551800856033</v>
      </c>
    </row>
    <row r="63" spans="1:9" x14ac:dyDescent="0.3">
      <c r="A63" t="s">
        <v>979</v>
      </c>
      <c r="B63" t="s">
        <v>1037</v>
      </c>
      <c r="C63">
        <v>2</v>
      </c>
      <c r="D63">
        <v>10</v>
      </c>
      <c r="E63">
        <v>7.6612561915491095E-2</v>
      </c>
      <c r="F63">
        <v>1.2949454206009001</v>
      </c>
      <c r="G63">
        <v>1846.39229315272</v>
      </c>
      <c r="H63">
        <v>203.96448833737398</v>
      </c>
      <c r="I63">
        <v>29.326763201585702</v>
      </c>
    </row>
    <row r="64" spans="1:9" x14ac:dyDescent="0.3">
      <c r="A64" t="s">
        <v>980</v>
      </c>
      <c r="B64" t="s">
        <v>1037</v>
      </c>
      <c r="C64">
        <v>3</v>
      </c>
      <c r="D64">
        <v>10</v>
      </c>
      <c r="E64">
        <v>8.3512717335551295E-2</v>
      </c>
      <c r="F64">
        <v>1.39812522299401</v>
      </c>
      <c r="G64">
        <v>1758.33912593172</v>
      </c>
      <c r="H64">
        <v>259.31824895003297</v>
      </c>
      <c r="I64">
        <v>14.744366253914201</v>
      </c>
    </row>
    <row r="65" spans="1:9" x14ac:dyDescent="0.3">
      <c r="A65" t="s">
        <v>981</v>
      </c>
      <c r="B65" t="s">
        <v>1037</v>
      </c>
      <c r="C65">
        <v>4</v>
      </c>
      <c r="D65">
        <v>10</v>
      </c>
      <c r="E65">
        <v>0.111190510219949</v>
      </c>
      <c r="F65">
        <v>1.5895806911868098</v>
      </c>
      <c r="G65">
        <v>1486.9788069668498</v>
      </c>
      <c r="H65">
        <v>126.077357429633</v>
      </c>
      <c r="I65">
        <v>13.758423739683</v>
      </c>
    </row>
    <row r="66" spans="1:9" x14ac:dyDescent="0.3">
      <c r="A66" t="s">
        <v>982</v>
      </c>
      <c r="B66" t="s">
        <v>1037</v>
      </c>
      <c r="C66">
        <v>1</v>
      </c>
      <c r="D66">
        <v>10</v>
      </c>
      <c r="E66">
        <v>9.2876586373751902E-2</v>
      </c>
      <c r="F66">
        <v>3.5568590668707998</v>
      </c>
      <c r="G66">
        <v>650.67522850922296</v>
      </c>
      <c r="H66">
        <v>65.569172948994094</v>
      </c>
      <c r="I66">
        <v>7.9497896325992503</v>
      </c>
    </row>
    <row r="67" spans="1:9" x14ac:dyDescent="0.3">
      <c r="A67" t="s">
        <v>983</v>
      </c>
      <c r="B67" t="s">
        <v>1037</v>
      </c>
      <c r="C67">
        <v>2</v>
      </c>
      <c r="D67">
        <v>10</v>
      </c>
      <c r="E67">
        <v>7.3463178389415892E-2</v>
      </c>
      <c r="F67">
        <v>3.9649451120180501</v>
      </c>
      <c r="G67">
        <v>678.75700531452912</v>
      </c>
      <c r="H67">
        <v>72.946909672582308</v>
      </c>
      <c r="I67">
        <v>14.8039337522771</v>
      </c>
    </row>
    <row r="68" spans="1:9" x14ac:dyDescent="0.3">
      <c r="A68" t="s">
        <v>984</v>
      </c>
      <c r="B68" t="s">
        <v>1037</v>
      </c>
      <c r="C68">
        <v>3</v>
      </c>
      <c r="D68">
        <v>10</v>
      </c>
      <c r="E68">
        <v>6.6449202086838396E-2</v>
      </c>
      <c r="F68">
        <v>3.6949056760466998</v>
      </c>
      <c r="G68">
        <v>640.70300204037392</v>
      </c>
      <c r="H68">
        <v>102.758782442099</v>
      </c>
      <c r="I68">
        <v>8.3272207164815999</v>
      </c>
    </row>
    <row r="69" spans="1:9" x14ac:dyDescent="0.3">
      <c r="A69" t="s">
        <v>985</v>
      </c>
      <c r="B69" t="s">
        <v>1037</v>
      </c>
      <c r="C69">
        <v>4</v>
      </c>
      <c r="D69">
        <v>10</v>
      </c>
      <c r="E69">
        <v>4.86903559878301E-2</v>
      </c>
      <c r="F69">
        <v>3.9366395343885903</v>
      </c>
      <c r="G69">
        <v>498.59399831273299</v>
      </c>
      <c r="H69">
        <v>56.081685887761203</v>
      </c>
      <c r="I69">
        <v>9.4923020968941394</v>
      </c>
    </row>
    <row r="70" spans="1:9" x14ac:dyDescent="0.3">
      <c r="A70" t="s">
        <v>986</v>
      </c>
      <c r="B70" t="s">
        <v>1037</v>
      </c>
      <c r="C70">
        <v>1</v>
      </c>
      <c r="D70">
        <v>12</v>
      </c>
      <c r="E70">
        <v>0.111927996082457</v>
      </c>
      <c r="F70">
        <v>3.4952879198065001</v>
      </c>
      <c r="G70">
        <v>1879.5270649337601</v>
      </c>
      <c r="H70">
        <v>59.067701447594303</v>
      </c>
      <c r="I70">
        <v>12.4621950511488</v>
      </c>
    </row>
    <row r="71" spans="1:9" x14ac:dyDescent="0.3">
      <c r="A71" t="s">
        <v>987</v>
      </c>
      <c r="B71" t="s">
        <v>1037</v>
      </c>
      <c r="C71">
        <v>2</v>
      </c>
      <c r="D71">
        <v>12</v>
      </c>
      <c r="E71">
        <v>9.8469030041978808E-2</v>
      </c>
      <c r="F71">
        <v>6.4264365834217099</v>
      </c>
      <c r="G71">
        <v>1813.9592420833001</v>
      </c>
      <c r="H71">
        <v>58.343865949235592</v>
      </c>
      <c r="I71">
        <v>14.5820271081174</v>
      </c>
    </row>
    <row r="72" spans="1:9" x14ac:dyDescent="0.3">
      <c r="A72" t="s">
        <v>988</v>
      </c>
      <c r="B72" t="s">
        <v>1037</v>
      </c>
      <c r="C72">
        <v>3</v>
      </c>
      <c r="D72">
        <v>12</v>
      </c>
      <c r="E72">
        <v>7.5601986688790396E-2</v>
      </c>
      <c r="F72">
        <v>2.1552489996476201</v>
      </c>
      <c r="G72">
        <v>1555.53485972614</v>
      </c>
      <c r="H72">
        <v>141.501030864261</v>
      </c>
      <c r="I72">
        <v>34.376387934953499</v>
      </c>
    </row>
    <row r="73" spans="1:9" x14ac:dyDescent="0.3">
      <c r="A73" t="s">
        <v>989</v>
      </c>
      <c r="B73" t="s">
        <v>1037</v>
      </c>
      <c r="C73">
        <v>4</v>
      </c>
      <c r="D73">
        <v>12</v>
      </c>
      <c r="E73">
        <v>0.11077454695675301</v>
      </c>
      <c r="F73">
        <v>2.3872168941126</v>
      </c>
      <c r="G73">
        <v>1602.3234795685598</v>
      </c>
      <c r="H73">
        <v>36.9984022204738</v>
      </c>
      <c r="I73">
        <v>7.6589475470884505</v>
      </c>
    </row>
    <row r="74" spans="1:9" x14ac:dyDescent="0.3">
      <c r="A74" t="s">
        <v>990</v>
      </c>
      <c r="B74" t="s">
        <v>1037</v>
      </c>
      <c r="C74">
        <v>1</v>
      </c>
      <c r="D74">
        <v>12</v>
      </c>
      <c r="E74">
        <v>7.60816767210621E-2</v>
      </c>
      <c r="F74">
        <v>3.8537738327716395</v>
      </c>
      <c r="G74">
        <v>557.96865351892802</v>
      </c>
      <c r="H74">
        <v>40.569441446375201</v>
      </c>
      <c r="I74">
        <v>10.5528251417966</v>
      </c>
    </row>
    <row r="75" spans="1:9" x14ac:dyDescent="0.3">
      <c r="A75" t="s">
        <v>991</v>
      </c>
      <c r="B75" t="s">
        <v>1037</v>
      </c>
      <c r="C75">
        <v>2</v>
      </c>
      <c r="D75">
        <v>12</v>
      </c>
      <c r="E75">
        <v>9.3773838046858293E-2</v>
      </c>
      <c r="F75">
        <v>2.81262000880439</v>
      </c>
      <c r="G75">
        <v>719.01432823080791</v>
      </c>
      <c r="H75">
        <v>134.990301699562</v>
      </c>
      <c r="I75">
        <v>22.242945247920602</v>
      </c>
    </row>
    <row r="76" spans="1:9" x14ac:dyDescent="0.3">
      <c r="A76" t="s">
        <v>992</v>
      </c>
      <c r="B76" t="s">
        <v>1037</v>
      </c>
      <c r="C76">
        <v>3</v>
      </c>
      <c r="D76">
        <v>12</v>
      </c>
      <c r="E76">
        <v>4.8080314452100197E-2</v>
      </c>
      <c r="F76">
        <v>3.5088195189477203</v>
      </c>
      <c r="G76">
        <v>454.46613269445601</v>
      </c>
      <c r="H76">
        <v>63.150596118557701</v>
      </c>
      <c r="I76">
        <v>9.0502993675870798</v>
      </c>
    </row>
    <row r="77" spans="1:9" x14ac:dyDescent="0.3">
      <c r="A77" t="s">
        <v>993</v>
      </c>
      <c r="B77" t="s">
        <v>1037</v>
      </c>
      <c r="C77">
        <v>4</v>
      </c>
      <c r="D77">
        <v>12</v>
      </c>
      <c r="E77">
        <v>6.7504027083199705E-2</v>
      </c>
      <c r="F77">
        <v>3.4262335648352598</v>
      </c>
      <c r="G77">
        <v>471.99158932264999</v>
      </c>
      <c r="H77">
        <v>49.812263397880798</v>
      </c>
      <c r="I77">
        <v>8.0518458466677405</v>
      </c>
    </row>
    <row r="78" spans="1:9" x14ac:dyDescent="0.3">
      <c r="A78" t="s">
        <v>994</v>
      </c>
      <c r="B78" t="s">
        <v>1037</v>
      </c>
      <c r="C78">
        <v>1</v>
      </c>
      <c r="D78">
        <v>12.25</v>
      </c>
      <c r="E78">
        <v>6.8060272994583698E-2</v>
      </c>
      <c r="F78">
        <v>3.21819824435455</v>
      </c>
      <c r="G78">
        <v>839.53923006931404</v>
      </c>
      <c r="H78">
        <v>65.161658045574001</v>
      </c>
      <c r="I78">
        <v>19.756846575639699</v>
      </c>
    </row>
    <row r="79" spans="1:9" x14ac:dyDescent="0.3">
      <c r="A79" t="s">
        <v>995</v>
      </c>
      <c r="B79" t="s">
        <v>1037</v>
      </c>
      <c r="C79">
        <v>2</v>
      </c>
      <c r="D79">
        <v>12.25</v>
      </c>
      <c r="E79">
        <v>7.6578391596948597E-2</v>
      </c>
      <c r="F79">
        <v>2.09968751817423</v>
      </c>
      <c r="G79">
        <v>1092.1483885513599</v>
      </c>
      <c r="H79">
        <v>212.68529175382798</v>
      </c>
      <c r="I79">
        <v>14.390344292815101</v>
      </c>
    </row>
    <row r="80" spans="1:9" x14ac:dyDescent="0.3">
      <c r="A80" t="s">
        <v>996</v>
      </c>
      <c r="B80" t="s">
        <v>1037</v>
      </c>
      <c r="C80">
        <v>3</v>
      </c>
      <c r="D80">
        <v>12.25</v>
      </c>
      <c r="E80">
        <v>0.101122924277943</v>
      </c>
      <c r="F80">
        <v>2.9104202244119297</v>
      </c>
      <c r="G80">
        <v>601.48191127463303</v>
      </c>
      <c r="H80">
        <v>83.655911859018502</v>
      </c>
      <c r="I80">
        <v>9.362355575170211</v>
      </c>
    </row>
    <row r="81" spans="1:9" x14ac:dyDescent="0.3">
      <c r="A81" t="s">
        <v>997</v>
      </c>
      <c r="B81" t="s">
        <v>1037</v>
      </c>
      <c r="C81">
        <v>4</v>
      </c>
      <c r="D81">
        <v>12.25</v>
      </c>
      <c r="E81">
        <v>4.5011747945640196E-2</v>
      </c>
      <c r="F81">
        <v>2.94907432219782</v>
      </c>
      <c r="G81">
        <v>749.43904620420994</v>
      </c>
      <c r="H81">
        <v>67.940767197383693</v>
      </c>
      <c r="I81">
        <v>10.6893162680215</v>
      </c>
    </row>
    <row r="82" spans="1:9" x14ac:dyDescent="0.3">
      <c r="A82" t="s">
        <v>998</v>
      </c>
      <c r="B82" t="s">
        <v>1037</v>
      </c>
      <c r="C82">
        <v>1</v>
      </c>
      <c r="D82">
        <v>13</v>
      </c>
      <c r="E82">
        <v>0.11023834853371099</v>
      </c>
      <c r="F82">
        <v>1.66284079049668</v>
      </c>
      <c r="G82">
        <v>1392.89118030841</v>
      </c>
      <c r="H82">
        <v>92.6143866392608</v>
      </c>
      <c r="I82">
        <v>8.9359958552953298</v>
      </c>
    </row>
    <row r="83" spans="1:9" x14ac:dyDescent="0.3">
      <c r="A83" t="s">
        <v>999</v>
      </c>
      <c r="B83" t="s">
        <v>1037</v>
      </c>
      <c r="C83">
        <v>2</v>
      </c>
      <c r="D83">
        <v>13</v>
      </c>
      <c r="E83">
        <v>5.2652607991247602E-2</v>
      </c>
      <c r="F83">
        <v>1.6051366476995499</v>
      </c>
      <c r="G83">
        <v>1900.87203061831</v>
      </c>
      <c r="H83">
        <v>191.63471212573501</v>
      </c>
      <c r="I83">
        <v>55.008020569409901</v>
      </c>
    </row>
    <row r="84" spans="1:9" x14ac:dyDescent="0.3">
      <c r="A84" t="s">
        <v>1000</v>
      </c>
      <c r="B84" t="s">
        <v>1037</v>
      </c>
      <c r="C84">
        <v>3</v>
      </c>
      <c r="D84">
        <v>13</v>
      </c>
      <c r="E84">
        <v>0.10999050554720001</v>
      </c>
      <c r="F84">
        <v>3.1254739720672298</v>
      </c>
      <c r="G84">
        <v>1081.9254505808399</v>
      </c>
      <c r="H84">
        <v>113.655855545818</v>
      </c>
      <c r="I84">
        <v>10.6536399998571</v>
      </c>
    </row>
    <row r="85" spans="1:9" x14ac:dyDescent="0.3">
      <c r="A85" t="s">
        <v>1001</v>
      </c>
      <c r="B85" t="s">
        <v>1037</v>
      </c>
      <c r="C85">
        <v>4</v>
      </c>
      <c r="D85">
        <v>13</v>
      </c>
      <c r="E85">
        <v>7.51610927110994E-2</v>
      </c>
      <c r="F85">
        <v>2.39024564426497</v>
      </c>
      <c r="G85">
        <v>1368.7529211439301</v>
      </c>
      <c r="H85">
        <v>68.9607168456631</v>
      </c>
      <c r="I85">
        <v>10.5250143543026</v>
      </c>
    </row>
    <row r="86" spans="1:9" x14ac:dyDescent="0.3">
      <c r="A86" t="s">
        <v>1002</v>
      </c>
      <c r="B86" t="s">
        <v>1037</v>
      </c>
      <c r="C86">
        <v>1</v>
      </c>
      <c r="D86">
        <v>13</v>
      </c>
      <c r="E86">
        <v>3.9344996234448204E-2</v>
      </c>
      <c r="F86">
        <v>3.4184361064190698</v>
      </c>
      <c r="G86">
        <v>372.65411505487401</v>
      </c>
      <c r="H86">
        <v>39.446846369542499</v>
      </c>
      <c r="I86">
        <v>10.881882907371899</v>
      </c>
    </row>
    <row r="87" spans="1:9" x14ac:dyDescent="0.3">
      <c r="A87" t="s">
        <v>1003</v>
      </c>
      <c r="B87" t="s">
        <v>1037</v>
      </c>
      <c r="C87">
        <v>2</v>
      </c>
      <c r="D87">
        <v>13</v>
      </c>
      <c r="E87">
        <v>5.5841487200909597E-2</v>
      </c>
      <c r="F87">
        <v>2.9909589489932897</v>
      </c>
      <c r="G87">
        <v>656.91415649268504</v>
      </c>
      <c r="H87">
        <v>67.144886993664699</v>
      </c>
      <c r="I87">
        <v>17.213477762637098</v>
      </c>
    </row>
    <row r="88" spans="1:9" x14ac:dyDescent="0.3">
      <c r="A88" t="s">
        <v>1004</v>
      </c>
      <c r="B88" t="s">
        <v>1037</v>
      </c>
      <c r="C88">
        <v>3</v>
      </c>
      <c r="D88">
        <v>13</v>
      </c>
      <c r="E88">
        <v>5.9137501672934203E-2</v>
      </c>
      <c r="F88">
        <v>3.8409452848532299</v>
      </c>
      <c r="G88">
        <v>383.29888130681604</v>
      </c>
      <c r="H88">
        <v>53.5510705485204</v>
      </c>
      <c r="I88">
        <v>57.208569042861299</v>
      </c>
    </row>
    <row r="89" spans="1:9" x14ac:dyDescent="0.3">
      <c r="A89" t="s">
        <v>1005</v>
      </c>
      <c r="B89" t="s">
        <v>1037</v>
      </c>
      <c r="C89">
        <v>4</v>
      </c>
      <c r="D89">
        <v>13</v>
      </c>
      <c r="E89">
        <v>3.0514256831907199E-2</v>
      </c>
      <c r="F89">
        <v>3.4066440342430999</v>
      </c>
      <c r="G89">
        <v>453.274259428758</v>
      </c>
      <c r="H89">
        <v>45.814164231384602</v>
      </c>
      <c r="I89">
        <v>10.222670915512499</v>
      </c>
    </row>
    <row r="90" spans="1:9" x14ac:dyDescent="0.3">
      <c r="A90" t="s">
        <v>1006</v>
      </c>
      <c r="B90" t="s">
        <v>1037</v>
      </c>
      <c r="C90">
        <v>1</v>
      </c>
      <c r="D90">
        <v>15</v>
      </c>
      <c r="E90">
        <v>0.20062115806130401</v>
      </c>
      <c r="F90">
        <v>1.6781592371343301</v>
      </c>
      <c r="G90">
        <v>1568.6098140593001</v>
      </c>
      <c r="H90">
        <v>66.960376120239104</v>
      </c>
      <c r="I90">
        <v>16.102243916178402</v>
      </c>
    </row>
    <row r="91" spans="1:9" x14ac:dyDescent="0.3">
      <c r="A91" t="s">
        <v>1007</v>
      </c>
      <c r="B91" t="s">
        <v>1037</v>
      </c>
      <c r="C91">
        <v>2</v>
      </c>
      <c r="D91">
        <v>15</v>
      </c>
      <c r="E91">
        <v>0.121042185582051</v>
      </c>
      <c r="F91">
        <v>2.1236097984662599</v>
      </c>
      <c r="G91">
        <v>2032.9653848385999</v>
      </c>
      <c r="H91">
        <v>92.63548353928951</v>
      </c>
      <c r="I91">
        <v>25.179078587372899</v>
      </c>
    </row>
    <row r="92" spans="1:9" x14ac:dyDescent="0.3">
      <c r="A92" t="s">
        <v>1008</v>
      </c>
      <c r="B92" t="s">
        <v>1037</v>
      </c>
      <c r="C92">
        <v>3</v>
      </c>
      <c r="D92">
        <v>15</v>
      </c>
      <c r="E92">
        <v>9.5360389829008893E-2</v>
      </c>
      <c r="F92">
        <v>8.8693468506470001</v>
      </c>
      <c r="G92">
        <v>1491.6813149773798</v>
      </c>
      <c r="H92">
        <v>49.537493558782899</v>
      </c>
      <c r="I92">
        <v>12.575811453901899</v>
      </c>
    </row>
    <row r="93" spans="1:9" x14ac:dyDescent="0.3">
      <c r="A93" t="s">
        <v>1009</v>
      </c>
      <c r="B93" t="s">
        <v>1037</v>
      </c>
      <c r="C93">
        <v>4</v>
      </c>
      <c r="D93">
        <v>15</v>
      </c>
      <c r="E93">
        <v>9.8935782048981291E-2</v>
      </c>
      <c r="F93">
        <v>1.1099045613921801</v>
      </c>
      <c r="G93">
        <v>1467.87930753612</v>
      </c>
      <c r="H93">
        <v>31.253166540776899</v>
      </c>
      <c r="I93">
        <v>11.8875121107484</v>
      </c>
    </row>
    <row r="94" spans="1:9" x14ac:dyDescent="0.3">
      <c r="A94" t="s">
        <v>1010</v>
      </c>
      <c r="B94" t="s">
        <v>1037</v>
      </c>
      <c r="C94">
        <v>1</v>
      </c>
      <c r="D94">
        <v>15</v>
      </c>
      <c r="E94">
        <v>6.64528174690103E-2</v>
      </c>
      <c r="F94">
        <v>3.2121461437604899</v>
      </c>
      <c r="G94">
        <v>470.70347532012499</v>
      </c>
      <c r="H94">
        <v>33.867307817551897</v>
      </c>
      <c r="I94">
        <v>17.585743984874199</v>
      </c>
    </row>
    <row r="95" spans="1:9" x14ac:dyDescent="0.3">
      <c r="A95" t="s">
        <v>1011</v>
      </c>
      <c r="B95" t="s">
        <v>1037</v>
      </c>
      <c r="C95">
        <v>2</v>
      </c>
      <c r="D95">
        <v>15</v>
      </c>
      <c r="E95">
        <v>4.7237782157041303E-2</v>
      </c>
      <c r="F95">
        <v>2.3892899297460901</v>
      </c>
      <c r="G95">
        <v>525.38149206687297</v>
      </c>
      <c r="H95">
        <v>49.965555207377498</v>
      </c>
      <c r="I95">
        <v>10.2297683102246</v>
      </c>
    </row>
    <row r="96" spans="1:9" x14ac:dyDescent="0.3">
      <c r="A96" t="s">
        <v>1012</v>
      </c>
      <c r="B96" t="s">
        <v>1037</v>
      </c>
      <c r="C96">
        <v>3</v>
      </c>
      <c r="D96">
        <v>15</v>
      </c>
      <c r="E96">
        <v>7.1803892579870202E-2</v>
      </c>
      <c r="F96">
        <v>3.3841466340021897</v>
      </c>
      <c r="G96">
        <v>357.359115902535</v>
      </c>
      <c r="H96">
        <v>27.169547996171101</v>
      </c>
      <c r="I96">
        <v>24.085161652765898</v>
      </c>
    </row>
    <row r="97" spans="1:9" x14ac:dyDescent="0.3">
      <c r="A97" t="s">
        <v>1013</v>
      </c>
      <c r="B97" t="s">
        <v>1037</v>
      </c>
      <c r="C97">
        <v>4</v>
      </c>
      <c r="D97">
        <v>15</v>
      </c>
      <c r="E97">
        <v>5.1001235136468002E-2</v>
      </c>
      <c r="F97">
        <v>1.56059154985946</v>
      </c>
      <c r="G97">
        <v>371.96253676675394</v>
      </c>
      <c r="H97">
        <v>39.717889999141804</v>
      </c>
      <c r="I97">
        <v>14.7596771382469</v>
      </c>
    </row>
    <row r="98" spans="1:9" x14ac:dyDescent="0.3">
      <c r="A98" t="s">
        <v>1014</v>
      </c>
      <c r="B98" t="s">
        <v>1037</v>
      </c>
      <c r="C98">
        <v>1</v>
      </c>
      <c r="D98">
        <v>15.25</v>
      </c>
      <c r="E98">
        <v>6.0198462938871801E-2</v>
      </c>
      <c r="F98">
        <v>2.0511529279219403</v>
      </c>
      <c r="G98">
        <v>693.309411776866</v>
      </c>
      <c r="H98">
        <v>39.576264890313297</v>
      </c>
      <c r="I98">
        <v>11.431696270359</v>
      </c>
    </row>
    <row r="99" spans="1:9" x14ac:dyDescent="0.3">
      <c r="A99" t="s">
        <v>1015</v>
      </c>
      <c r="B99" t="s">
        <v>1037</v>
      </c>
      <c r="C99">
        <v>2</v>
      </c>
      <c r="D99">
        <v>15.25</v>
      </c>
      <c r="E99">
        <v>7.5482651397891398E-2</v>
      </c>
      <c r="F99">
        <v>2.4516541254623698</v>
      </c>
      <c r="G99">
        <v>807.18848131155198</v>
      </c>
      <c r="H99">
        <v>65.174682403728198</v>
      </c>
      <c r="I99">
        <v>16.053463678366999</v>
      </c>
    </row>
    <row r="100" spans="1:9" x14ac:dyDescent="0.3">
      <c r="A100" t="s">
        <v>1016</v>
      </c>
      <c r="B100" t="s">
        <v>1037</v>
      </c>
      <c r="C100">
        <v>3</v>
      </c>
      <c r="D100">
        <v>15.25</v>
      </c>
      <c r="E100">
        <v>0.109695476388722</v>
      </c>
      <c r="F100">
        <v>2.2899264776469299</v>
      </c>
      <c r="G100">
        <v>611.850111889765</v>
      </c>
      <c r="H100">
        <v>45.093897889050297</v>
      </c>
      <c r="I100">
        <v>12.3366313299928</v>
      </c>
    </row>
    <row r="101" spans="1:9" x14ac:dyDescent="0.3">
      <c r="A101" t="s">
        <v>1017</v>
      </c>
      <c r="B101" t="s">
        <v>1037</v>
      </c>
      <c r="C101">
        <v>4</v>
      </c>
      <c r="D101">
        <v>15.25</v>
      </c>
      <c r="E101">
        <v>5.1266310252540102E-2</v>
      </c>
      <c r="F101">
        <v>2.6980272066156203</v>
      </c>
      <c r="G101">
        <v>684.60048575295502</v>
      </c>
      <c r="H101">
        <v>59.036071201303699</v>
      </c>
      <c r="I101">
        <v>30.6945172709224</v>
      </c>
    </row>
    <row r="102" spans="1:9" x14ac:dyDescent="0.3">
      <c r="A102" t="s">
        <v>1018</v>
      </c>
      <c r="B102" t="s">
        <v>1037</v>
      </c>
      <c r="C102">
        <v>1</v>
      </c>
      <c r="D102">
        <v>16</v>
      </c>
      <c r="E102">
        <v>0.12908489478714599</v>
      </c>
      <c r="F102">
        <v>3.6250870013842302</v>
      </c>
      <c r="G102">
        <v>1178.7252098444301</v>
      </c>
      <c r="H102">
        <v>69.994891243212194</v>
      </c>
      <c r="I102">
        <v>15.5402338871402</v>
      </c>
    </row>
    <row r="103" spans="1:9" x14ac:dyDescent="0.3">
      <c r="A103" t="s">
        <v>1019</v>
      </c>
      <c r="B103" t="s">
        <v>1037</v>
      </c>
      <c r="C103">
        <v>2</v>
      </c>
      <c r="D103">
        <v>16</v>
      </c>
      <c r="E103">
        <v>8.7348871852368906E-2</v>
      </c>
      <c r="F103">
        <v>2.5008173884452201</v>
      </c>
      <c r="G103">
        <v>1363.9516620703198</v>
      </c>
      <c r="H103">
        <v>55.024655809519999</v>
      </c>
      <c r="I103">
        <v>13.648088056039999</v>
      </c>
    </row>
    <row r="104" spans="1:9" x14ac:dyDescent="0.3">
      <c r="A104" t="s">
        <v>1020</v>
      </c>
      <c r="B104" t="s">
        <v>1037</v>
      </c>
      <c r="C104">
        <v>3</v>
      </c>
      <c r="D104">
        <v>16</v>
      </c>
      <c r="E104">
        <v>5.1669898155250693E-2</v>
      </c>
      <c r="F104">
        <v>2.9389114582368903</v>
      </c>
      <c r="G104">
        <v>1162.55742744246</v>
      </c>
      <c r="H104">
        <v>87.387221160679488</v>
      </c>
      <c r="I104">
        <v>11.105741011645801</v>
      </c>
    </row>
    <row r="105" spans="1:9" x14ac:dyDescent="0.3">
      <c r="A105" t="s">
        <v>1021</v>
      </c>
      <c r="B105" t="s">
        <v>1037</v>
      </c>
      <c r="C105">
        <v>4</v>
      </c>
      <c r="D105">
        <v>16</v>
      </c>
      <c r="E105">
        <v>8.1492783913120787E-2</v>
      </c>
      <c r="F105">
        <v>1.5367367444158799</v>
      </c>
      <c r="G105">
        <v>1302.4093802743</v>
      </c>
      <c r="H105">
        <v>71.0777681347396</v>
      </c>
      <c r="I105">
        <v>10.2020733329741</v>
      </c>
    </row>
    <row r="106" spans="1:9" x14ac:dyDescent="0.3">
      <c r="A106" t="s">
        <v>1022</v>
      </c>
      <c r="B106" t="s">
        <v>1037</v>
      </c>
      <c r="C106">
        <v>1</v>
      </c>
      <c r="D106">
        <v>16</v>
      </c>
      <c r="E106">
        <v>7.25509543975143E-2</v>
      </c>
      <c r="F106">
        <v>3.2050940425938701</v>
      </c>
      <c r="G106">
        <v>323.32034246187396</v>
      </c>
      <c r="H106">
        <v>28.037289395683199</v>
      </c>
      <c r="I106">
        <v>18.2391183782129</v>
      </c>
    </row>
    <row r="107" spans="1:9" x14ac:dyDescent="0.3">
      <c r="A107" t="s">
        <v>1023</v>
      </c>
      <c r="B107" t="s">
        <v>1037</v>
      </c>
      <c r="C107">
        <v>2</v>
      </c>
      <c r="D107">
        <v>16</v>
      </c>
      <c r="E107">
        <v>6.0391438486154601E-2</v>
      </c>
      <c r="F107">
        <v>4.0889183133815097</v>
      </c>
      <c r="G107">
        <v>367.74467726051802</v>
      </c>
      <c r="H107">
        <v>31.309247049669203</v>
      </c>
      <c r="I107">
        <v>240.40243082336599</v>
      </c>
    </row>
    <row r="108" spans="1:9" x14ac:dyDescent="0.3">
      <c r="A108" t="s">
        <v>1024</v>
      </c>
      <c r="B108" t="s">
        <v>1037</v>
      </c>
      <c r="C108">
        <v>3</v>
      </c>
      <c r="D108">
        <v>16</v>
      </c>
      <c r="E108">
        <v>5.6434092670611308E-2</v>
      </c>
      <c r="F108">
        <v>4.7869064655055995</v>
      </c>
      <c r="G108">
        <v>324.41581596251405</v>
      </c>
      <c r="H108">
        <v>35.413853581176504</v>
      </c>
      <c r="I108">
        <v>11.516616331515399</v>
      </c>
    </row>
    <row r="109" spans="1:9" x14ac:dyDescent="0.3">
      <c r="A109" t="s">
        <v>1025</v>
      </c>
      <c r="B109" t="s">
        <v>1037</v>
      </c>
      <c r="C109">
        <v>4</v>
      </c>
      <c r="D109">
        <v>16</v>
      </c>
      <c r="E109">
        <v>4.5881100953235297E-2</v>
      </c>
      <c r="F109">
        <v>4.30502386999484</v>
      </c>
      <c r="G109">
        <v>314.36233096712704</v>
      </c>
      <c r="H109">
        <v>27.305821718447302</v>
      </c>
      <c r="I109">
        <v>18.4981692548496</v>
      </c>
    </row>
    <row r="110" spans="1:9" x14ac:dyDescent="0.3">
      <c r="A110" t="s">
        <v>1026</v>
      </c>
      <c r="B110" t="s">
        <v>1037</v>
      </c>
      <c r="C110">
        <v>1</v>
      </c>
      <c r="D110">
        <v>18</v>
      </c>
      <c r="E110">
        <v>6.4329780077787807E-2</v>
      </c>
      <c r="F110">
        <v>2.0555546060648897</v>
      </c>
      <c r="G110">
        <v>1149.85571971076</v>
      </c>
      <c r="H110">
        <v>26.466257551601302</v>
      </c>
      <c r="I110">
        <v>12.736635339037099</v>
      </c>
    </row>
    <row r="111" spans="1:9" x14ac:dyDescent="0.3">
      <c r="A111" t="s">
        <v>1027</v>
      </c>
      <c r="B111" t="s">
        <v>1037</v>
      </c>
      <c r="C111">
        <v>2</v>
      </c>
      <c r="D111">
        <v>18</v>
      </c>
      <c r="E111">
        <v>0.13830572826604701</v>
      </c>
      <c r="F111">
        <v>1.7589568494971299</v>
      </c>
      <c r="G111">
        <v>1545.9912064973</v>
      </c>
      <c r="H111">
        <v>42.020017129666797</v>
      </c>
      <c r="I111">
        <v>6.7718866694269595</v>
      </c>
    </row>
    <row r="112" spans="1:9" x14ac:dyDescent="0.3">
      <c r="A112" t="s">
        <v>1028</v>
      </c>
      <c r="B112" t="s">
        <v>1037</v>
      </c>
      <c r="C112">
        <v>3</v>
      </c>
      <c r="D112">
        <v>18</v>
      </c>
      <c r="E112">
        <v>0.12190645931873399</v>
      </c>
      <c r="F112">
        <v>2.2663490209757402</v>
      </c>
      <c r="G112">
        <v>1259.53369852982</v>
      </c>
      <c r="H112">
        <v>62.893048560875101</v>
      </c>
      <c r="I112">
        <v>170.72089548684102</v>
      </c>
    </row>
    <row r="113" spans="1:9" x14ac:dyDescent="0.3">
      <c r="A113" t="s">
        <v>1029</v>
      </c>
      <c r="B113" t="s">
        <v>1037</v>
      </c>
      <c r="C113">
        <v>4</v>
      </c>
      <c r="D113">
        <v>18</v>
      </c>
      <c r="E113">
        <v>0.119360296866207</v>
      </c>
      <c r="F113">
        <v>1.5740100472707199</v>
      </c>
      <c r="G113">
        <v>1568.2935148670799</v>
      </c>
      <c r="H113">
        <v>15.972345341111801</v>
      </c>
      <c r="I113">
        <v>12.962222836286902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background</vt:lpstr>
      <vt:lpstr>TK</vt:lpstr>
      <vt:lpstr>TK-water</vt:lpstr>
      <vt:lpstr>labeling</vt:lpstr>
      <vt:lpstr>non_label</vt:lpstr>
      <vt:lpstr>DGT</vt:lpstr>
      <vt:lpstr>AEM</vt:lpstr>
      <vt:lpstr>Bioa-overwater</vt:lpstr>
      <vt:lpstr>TD-overwater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suqijing@outlook.com</cp:lastModifiedBy>
  <dcterms:created xsi:type="dcterms:W3CDTF">2022-10-29T01:52:34Z</dcterms:created>
  <dcterms:modified xsi:type="dcterms:W3CDTF">2022-12-04T09:17:20Z</dcterms:modified>
</cp:coreProperties>
</file>