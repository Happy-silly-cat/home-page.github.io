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Nut\肖文赜\实验\04.花蛤\0.数据\"/>
    </mc:Choice>
  </mc:AlternateContent>
  <xr:revisionPtr revIDLastSave="0" documentId="13_ncr:1_{6EE11780-BC21-41D7-A084-AC9C91591A3E}" xr6:coauthVersionLast="47" xr6:coauthVersionMax="47" xr10:uidLastSave="{00000000-0000-0000-0000-000000000000}"/>
  <bookViews>
    <workbookView xWindow="-1114" yWindow="1071" windowWidth="16405" windowHeight="11289" tabRatio="926" activeTab="2" xr2:uid="{00000000-000D-0000-FFFF-FFFF00000000}"/>
  </bookViews>
  <sheets>
    <sheet name="Background" sheetId="6" r:id="rId1"/>
    <sheet name="合并表格" sheetId="12" state="hidden" r:id="rId2"/>
    <sheet name="TK-bioa" sheetId="1" r:id="rId3"/>
    <sheet name="TK-water" sheetId="9" r:id="rId4"/>
    <sheet name="TD-acc" sheetId="2" r:id="rId5"/>
    <sheet name="TD-death" sheetId="3" r:id="rId6"/>
    <sheet name="TD-water" sheetId="10" r:id="rId7"/>
    <sheet name="sed-label" sheetId="4" r:id="rId8"/>
    <sheet name="Sheet1" sheetId="15" r:id="rId9"/>
    <sheet name="sed-acc" sheetId="7" r:id="rId10"/>
    <sheet name="sed-ow" sheetId="8" r:id="rId11"/>
    <sheet name="sed-death" sheetId="5" r:id="rId12"/>
    <sheet name="sed_DGT" sheetId="14" r:id="rId13"/>
    <sheet name="water_label" sheetId="11" r:id="rId14"/>
    <sheet name="Sheet2" sheetId="16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25" i="2" l="1"/>
  <c r="X19" i="2"/>
  <c r="X13" i="2"/>
  <c r="X7" i="2"/>
  <c r="X31" i="2"/>
  <c r="R76" i="7"/>
  <c r="R73" i="7"/>
  <c r="U78" i="7" l="1"/>
  <c r="T73" i="7"/>
  <c r="T74" i="7"/>
  <c r="T75" i="7"/>
  <c r="T76" i="7"/>
  <c r="T77" i="7"/>
  <c r="T78" i="7"/>
  <c r="T79" i="7"/>
  <c r="T80" i="7"/>
  <c r="T81" i="7"/>
  <c r="T82" i="7"/>
  <c r="T72" i="7"/>
  <c r="R13" i="6"/>
  <c r="Q3" i="6"/>
  <c r="Q4" i="6"/>
  <c r="Q5" i="6"/>
  <c r="Q6" i="6"/>
  <c r="Q7" i="6"/>
  <c r="Q8" i="6"/>
  <c r="Q9" i="6"/>
  <c r="Q10" i="6"/>
  <c r="Q11" i="6"/>
  <c r="Q2" i="6"/>
  <c r="R51" i="11"/>
  <c r="R41" i="11"/>
  <c r="R31" i="11"/>
  <c r="R21" i="11"/>
  <c r="R11" i="1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2" i="11"/>
  <c r="Q23" i="11"/>
  <c r="Q24" i="11"/>
  <c r="Q25" i="11"/>
  <c r="Q26" i="11"/>
  <c r="Q27" i="11"/>
  <c r="Q28" i="11"/>
  <c r="Q29" i="11"/>
  <c r="Q30" i="11"/>
  <c r="Q31" i="11"/>
  <c r="Q32" i="11"/>
  <c r="Q33" i="11"/>
  <c r="Q34" i="11"/>
  <c r="Q35" i="11"/>
  <c r="Q36" i="11"/>
  <c r="Q37" i="11"/>
  <c r="Q38" i="11"/>
  <c r="Q39" i="11"/>
  <c r="Q40" i="11"/>
  <c r="Q41" i="11"/>
  <c r="Q42" i="11"/>
  <c r="Q43" i="11"/>
  <c r="Q44" i="11"/>
  <c r="Q45" i="11"/>
  <c r="Q46" i="11"/>
  <c r="Q47" i="11"/>
  <c r="Q48" i="11"/>
  <c r="Q49" i="11"/>
  <c r="Q50" i="11"/>
  <c r="Q51" i="11"/>
  <c r="Q2" i="11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2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2" i="3"/>
  <c r="P14" i="14"/>
  <c r="P15" i="14"/>
  <c r="P16" i="14"/>
  <c r="P17" i="14"/>
  <c r="P18" i="14"/>
  <c r="P19" i="14"/>
  <c r="P20" i="14"/>
  <c r="P21" i="14"/>
  <c r="P22" i="14"/>
  <c r="P23" i="14"/>
  <c r="P24" i="14"/>
  <c r="P25" i="14"/>
  <c r="P26" i="14"/>
  <c r="P27" i="14"/>
  <c r="P28" i="14"/>
  <c r="P29" i="14"/>
  <c r="P30" i="14"/>
  <c r="P31" i="14"/>
  <c r="P32" i="14"/>
  <c r="P33" i="14"/>
  <c r="P34" i="14"/>
  <c r="P35" i="14"/>
  <c r="P36" i="14"/>
  <c r="P37" i="14"/>
  <c r="P38" i="14"/>
  <c r="P39" i="14"/>
  <c r="P40" i="14"/>
  <c r="P41" i="14"/>
  <c r="P42" i="14"/>
  <c r="P43" i="14"/>
  <c r="P44" i="14"/>
  <c r="P45" i="14"/>
  <c r="P46" i="14"/>
  <c r="P47" i="14"/>
  <c r="P48" i="14"/>
  <c r="P49" i="14"/>
  <c r="P50" i="14"/>
  <c r="P51" i="14"/>
  <c r="P52" i="14"/>
  <c r="P53" i="14"/>
  <c r="P54" i="14"/>
  <c r="P55" i="14"/>
  <c r="P8" i="14"/>
  <c r="P9" i="14"/>
  <c r="P10" i="14"/>
  <c r="P11" i="14"/>
  <c r="P12" i="14"/>
  <c r="P13" i="14"/>
  <c r="P3" i="14"/>
  <c r="P4" i="14"/>
  <c r="P5" i="14"/>
  <c r="P6" i="14"/>
  <c r="P7" i="14"/>
  <c r="P2" i="14"/>
  <c r="O13" i="14"/>
  <c r="O14" i="14"/>
  <c r="O15" i="14"/>
  <c r="O16" i="14"/>
  <c r="O17" i="14"/>
  <c r="O18" i="14"/>
  <c r="O19" i="14"/>
  <c r="O20" i="14"/>
  <c r="O21" i="14"/>
  <c r="O22" i="14"/>
  <c r="O23" i="14"/>
  <c r="O24" i="14"/>
  <c r="O25" i="14"/>
  <c r="O26" i="14"/>
  <c r="O27" i="14"/>
  <c r="O28" i="14"/>
  <c r="O29" i="14"/>
  <c r="O30" i="14"/>
  <c r="O31" i="14"/>
  <c r="O32" i="14"/>
  <c r="O33" i="14"/>
  <c r="O34" i="14"/>
  <c r="O35" i="14"/>
  <c r="O36" i="14"/>
  <c r="O37" i="14"/>
  <c r="O38" i="14"/>
  <c r="O39" i="14"/>
  <c r="O40" i="14"/>
  <c r="O41" i="14"/>
  <c r="O42" i="14"/>
  <c r="O43" i="14"/>
  <c r="O44" i="14"/>
  <c r="O45" i="14"/>
  <c r="O46" i="14"/>
  <c r="O47" i="14"/>
  <c r="O48" i="14"/>
  <c r="O49" i="14"/>
  <c r="O50" i="14"/>
  <c r="O51" i="14"/>
  <c r="O52" i="14"/>
  <c r="O53" i="14"/>
  <c r="O54" i="14"/>
  <c r="O55" i="14"/>
  <c r="O3" i="14"/>
  <c r="O4" i="14"/>
  <c r="O5" i="14"/>
  <c r="O6" i="14"/>
  <c r="O7" i="14"/>
  <c r="O8" i="14"/>
  <c r="O9" i="14"/>
  <c r="O10" i="14"/>
  <c r="O11" i="14"/>
  <c r="O12" i="14"/>
  <c r="O2" i="14"/>
  <c r="K2" i="8"/>
  <c r="L2" i="8"/>
  <c r="M2" i="8"/>
  <c r="K3" i="8"/>
  <c r="M3" i="8" s="1"/>
  <c r="L3" i="8"/>
  <c r="K4" i="8"/>
  <c r="L4" i="8"/>
  <c r="M4" i="8" s="1"/>
  <c r="K5" i="8"/>
  <c r="L5" i="8"/>
  <c r="M5" i="8"/>
  <c r="K6" i="8"/>
  <c r="L6" i="8"/>
  <c r="M6" i="8" s="1"/>
  <c r="K7" i="8"/>
  <c r="M7" i="8" s="1"/>
  <c r="L7" i="8"/>
  <c r="K8" i="8"/>
  <c r="L8" i="8"/>
  <c r="M8" i="8" s="1"/>
  <c r="K9" i="8"/>
  <c r="M9" i="8" s="1"/>
  <c r="L9" i="8"/>
  <c r="K10" i="8"/>
  <c r="L10" i="8"/>
  <c r="M10" i="8"/>
  <c r="K11" i="8"/>
  <c r="L11" i="8"/>
  <c r="M11" i="8"/>
  <c r="K12" i="8"/>
  <c r="L12" i="8"/>
  <c r="M12" i="8" s="1"/>
  <c r="K13" i="8"/>
  <c r="L13" i="8"/>
  <c r="M13" i="8"/>
  <c r="I2" i="8"/>
  <c r="I3" i="8"/>
  <c r="I4" i="8"/>
  <c r="I5" i="8"/>
  <c r="I6" i="8"/>
  <c r="I7" i="8"/>
  <c r="I8" i="8"/>
  <c r="I9" i="8"/>
  <c r="I10" i="8"/>
  <c r="I11" i="8"/>
  <c r="I12" i="8"/>
  <c r="I13" i="8"/>
  <c r="J2" i="8"/>
  <c r="J3" i="8"/>
  <c r="J4" i="8"/>
  <c r="J5" i="8"/>
  <c r="J6" i="8"/>
  <c r="J7" i="8"/>
  <c r="J8" i="8"/>
  <c r="J9" i="8"/>
  <c r="J10" i="8"/>
  <c r="J11" i="8"/>
  <c r="J12" i="8"/>
  <c r="J13" i="8"/>
  <c r="I38" i="8"/>
  <c r="K38" i="8" s="1"/>
  <c r="J38" i="8"/>
  <c r="L38" i="8" s="1"/>
  <c r="I39" i="8"/>
  <c r="K39" i="8" s="1"/>
  <c r="J39" i="8"/>
  <c r="L39" i="8" s="1"/>
  <c r="I40" i="8"/>
  <c r="K40" i="8" s="1"/>
  <c r="J40" i="8"/>
  <c r="L40" i="8" s="1"/>
  <c r="I41" i="8"/>
  <c r="K41" i="8" s="1"/>
  <c r="J41" i="8"/>
  <c r="L41" i="8" s="1"/>
  <c r="I42" i="8"/>
  <c r="K42" i="8" s="1"/>
  <c r="J42" i="8"/>
  <c r="L42" i="8" s="1"/>
  <c r="I43" i="8"/>
  <c r="K43" i="8" s="1"/>
  <c r="J43" i="8"/>
  <c r="L43" i="8" s="1"/>
  <c r="I44" i="8"/>
  <c r="K44" i="8" s="1"/>
  <c r="J44" i="8"/>
  <c r="L44" i="8" s="1"/>
  <c r="M44" i="8" s="1"/>
  <c r="I45" i="8"/>
  <c r="K45" i="8" s="1"/>
  <c r="J45" i="8"/>
  <c r="L45" i="8" s="1"/>
  <c r="M45" i="8" s="1"/>
  <c r="I46" i="8"/>
  <c r="K46" i="8" s="1"/>
  <c r="J46" i="8"/>
  <c r="L46" i="8" s="1"/>
  <c r="I47" i="8"/>
  <c r="K47" i="8" s="1"/>
  <c r="J47" i="8"/>
  <c r="L47" i="8" s="1"/>
  <c r="I48" i="8"/>
  <c r="K48" i="8" s="1"/>
  <c r="J48" i="8"/>
  <c r="L48" i="8" s="1"/>
  <c r="I49" i="8"/>
  <c r="K49" i="8" s="1"/>
  <c r="J49" i="8"/>
  <c r="L49" i="8" s="1"/>
  <c r="I50" i="8"/>
  <c r="K50" i="8" s="1"/>
  <c r="J50" i="8"/>
  <c r="L50" i="8" s="1"/>
  <c r="I51" i="8"/>
  <c r="K51" i="8" s="1"/>
  <c r="J51" i="8"/>
  <c r="L51" i="8" s="1"/>
  <c r="I52" i="8"/>
  <c r="K52" i="8" s="1"/>
  <c r="J52" i="8"/>
  <c r="L52" i="8" s="1"/>
  <c r="M52" i="8" s="1"/>
  <c r="I53" i="8"/>
  <c r="K53" i="8" s="1"/>
  <c r="J53" i="8"/>
  <c r="L53" i="8" s="1"/>
  <c r="M53" i="8" s="1"/>
  <c r="I54" i="8"/>
  <c r="K54" i="8" s="1"/>
  <c r="J54" i="8"/>
  <c r="L54" i="8" s="1"/>
  <c r="I55" i="8"/>
  <c r="K55" i="8" s="1"/>
  <c r="J55" i="8"/>
  <c r="L55" i="8" s="1"/>
  <c r="I56" i="8"/>
  <c r="K56" i="8" s="1"/>
  <c r="J56" i="8"/>
  <c r="L56" i="8" s="1"/>
  <c r="I57" i="8"/>
  <c r="K57" i="8" s="1"/>
  <c r="J57" i="8"/>
  <c r="L57" i="8" s="1"/>
  <c r="I58" i="8"/>
  <c r="K58" i="8" s="1"/>
  <c r="J58" i="8"/>
  <c r="L58" i="8" s="1"/>
  <c r="I59" i="8"/>
  <c r="K59" i="8" s="1"/>
  <c r="J59" i="8"/>
  <c r="L59" i="8" s="1"/>
  <c r="I60" i="8"/>
  <c r="K60" i="8" s="1"/>
  <c r="J60" i="8"/>
  <c r="L60" i="8" s="1"/>
  <c r="M60" i="8" s="1"/>
  <c r="I61" i="8"/>
  <c r="K61" i="8" s="1"/>
  <c r="J61" i="8"/>
  <c r="L61" i="8" s="1"/>
  <c r="M61" i="8" s="1"/>
  <c r="I62" i="8"/>
  <c r="K62" i="8" s="1"/>
  <c r="J62" i="8"/>
  <c r="L62" i="8" s="1"/>
  <c r="I63" i="8"/>
  <c r="K63" i="8" s="1"/>
  <c r="J63" i="8"/>
  <c r="L63" i="8" s="1"/>
  <c r="I64" i="8"/>
  <c r="K64" i="8" s="1"/>
  <c r="J64" i="8"/>
  <c r="L64" i="8" s="1"/>
  <c r="I65" i="8"/>
  <c r="K65" i="8" s="1"/>
  <c r="J65" i="8"/>
  <c r="L65" i="8" s="1"/>
  <c r="I66" i="8"/>
  <c r="K66" i="8" s="1"/>
  <c r="J66" i="8"/>
  <c r="L66" i="8" s="1"/>
  <c r="I67" i="8"/>
  <c r="K67" i="8" s="1"/>
  <c r="J67" i="8"/>
  <c r="L67" i="8" s="1"/>
  <c r="I68" i="8"/>
  <c r="K68" i="8" s="1"/>
  <c r="J68" i="8"/>
  <c r="L68" i="8" s="1"/>
  <c r="M68" i="8" s="1"/>
  <c r="I69" i="8"/>
  <c r="K69" i="8" s="1"/>
  <c r="J69" i="8"/>
  <c r="L69" i="8" s="1"/>
  <c r="M69" i="8" s="1"/>
  <c r="I70" i="8"/>
  <c r="K70" i="8" s="1"/>
  <c r="J70" i="8"/>
  <c r="L70" i="8" s="1"/>
  <c r="I71" i="8"/>
  <c r="K71" i="8" s="1"/>
  <c r="J71" i="8"/>
  <c r="L71" i="8" s="1"/>
  <c r="I72" i="8"/>
  <c r="K72" i="8" s="1"/>
  <c r="J72" i="8"/>
  <c r="L72" i="8" s="1"/>
  <c r="I73" i="8"/>
  <c r="K73" i="8" s="1"/>
  <c r="J73" i="8"/>
  <c r="L73" i="8" s="1"/>
  <c r="I74" i="8"/>
  <c r="K74" i="8" s="1"/>
  <c r="J74" i="8"/>
  <c r="L74" i="8" s="1"/>
  <c r="I75" i="8"/>
  <c r="K75" i="8" s="1"/>
  <c r="J75" i="8"/>
  <c r="L75" i="8" s="1"/>
  <c r="I76" i="8"/>
  <c r="K76" i="8" s="1"/>
  <c r="J76" i="8"/>
  <c r="L76" i="8" s="1"/>
  <c r="M76" i="8" s="1"/>
  <c r="I77" i="8"/>
  <c r="K77" i="8" s="1"/>
  <c r="J77" i="8"/>
  <c r="L77" i="8" s="1"/>
  <c r="M77" i="8" s="1"/>
  <c r="I78" i="8"/>
  <c r="K78" i="8" s="1"/>
  <c r="J78" i="8"/>
  <c r="L78" i="8" s="1"/>
  <c r="I79" i="8"/>
  <c r="K79" i="8" s="1"/>
  <c r="J79" i="8"/>
  <c r="L79" i="8" s="1"/>
  <c r="I80" i="8"/>
  <c r="K80" i="8" s="1"/>
  <c r="J80" i="8"/>
  <c r="L80" i="8" s="1"/>
  <c r="I81" i="8"/>
  <c r="K81" i="8" s="1"/>
  <c r="J81" i="8"/>
  <c r="L81" i="8" s="1"/>
  <c r="I82" i="8"/>
  <c r="K82" i="8" s="1"/>
  <c r="J82" i="8"/>
  <c r="L82" i="8" s="1"/>
  <c r="I83" i="8"/>
  <c r="K83" i="8" s="1"/>
  <c r="J83" i="8"/>
  <c r="L83" i="8" s="1"/>
  <c r="I84" i="8"/>
  <c r="K84" i="8" s="1"/>
  <c r="J84" i="8"/>
  <c r="L84" i="8" s="1"/>
  <c r="M84" i="8" s="1"/>
  <c r="I85" i="8"/>
  <c r="K85" i="8" s="1"/>
  <c r="J85" i="8"/>
  <c r="L85" i="8" s="1"/>
  <c r="I86" i="8"/>
  <c r="K86" i="8" s="1"/>
  <c r="J86" i="8"/>
  <c r="L86" i="8" s="1"/>
  <c r="I87" i="8"/>
  <c r="K87" i="8" s="1"/>
  <c r="J87" i="8"/>
  <c r="L87" i="8" s="1"/>
  <c r="M87" i="8" s="1"/>
  <c r="I88" i="8"/>
  <c r="K88" i="8" s="1"/>
  <c r="J88" i="8"/>
  <c r="L88" i="8" s="1"/>
  <c r="I89" i="8"/>
  <c r="K89" i="8" s="1"/>
  <c r="J89" i="8"/>
  <c r="L89" i="8" s="1"/>
  <c r="I90" i="8"/>
  <c r="K90" i="8" s="1"/>
  <c r="J90" i="8"/>
  <c r="L90" i="8" s="1"/>
  <c r="I91" i="8"/>
  <c r="K91" i="8" s="1"/>
  <c r="J91" i="8"/>
  <c r="L91" i="8" s="1"/>
  <c r="I92" i="8"/>
  <c r="K92" i="8" s="1"/>
  <c r="J92" i="8"/>
  <c r="L92" i="8" s="1"/>
  <c r="M92" i="8" s="1"/>
  <c r="I93" i="8"/>
  <c r="K93" i="8" s="1"/>
  <c r="J93" i="8"/>
  <c r="L93" i="8" s="1"/>
  <c r="I94" i="8"/>
  <c r="K94" i="8" s="1"/>
  <c r="J94" i="8"/>
  <c r="L94" i="8" s="1"/>
  <c r="I95" i="8"/>
  <c r="K95" i="8" s="1"/>
  <c r="J95" i="8"/>
  <c r="L95" i="8" s="1"/>
  <c r="I96" i="8"/>
  <c r="K96" i="8" s="1"/>
  <c r="J96" i="8"/>
  <c r="L96" i="8" s="1"/>
  <c r="I97" i="8"/>
  <c r="K97" i="8" s="1"/>
  <c r="J97" i="8"/>
  <c r="L97" i="8" s="1"/>
  <c r="I98" i="8"/>
  <c r="K98" i="8" s="1"/>
  <c r="J98" i="8"/>
  <c r="L98" i="8" s="1"/>
  <c r="I99" i="8"/>
  <c r="K99" i="8" s="1"/>
  <c r="J99" i="8"/>
  <c r="L99" i="8" s="1"/>
  <c r="I100" i="8"/>
  <c r="K100" i="8" s="1"/>
  <c r="J100" i="8"/>
  <c r="L100" i="8" s="1"/>
  <c r="M100" i="8" s="1"/>
  <c r="I101" i="8"/>
  <c r="K101" i="8" s="1"/>
  <c r="J101" i="8"/>
  <c r="L101" i="8" s="1"/>
  <c r="M101" i="8" s="1"/>
  <c r="I102" i="8"/>
  <c r="K102" i="8" s="1"/>
  <c r="J102" i="8"/>
  <c r="L102" i="8" s="1"/>
  <c r="I103" i="8"/>
  <c r="K103" i="8" s="1"/>
  <c r="J103" i="8"/>
  <c r="L103" i="8" s="1"/>
  <c r="I104" i="8"/>
  <c r="K104" i="8" s="1"/>
  <c r="J104" i="8"/>
  <c r="L104" i="8" s="1"/>
  <c r="I105" i="8"/>
  <c r="K105" i="8" s="1"/>
  <c r="J105" i="8"/>
  <c r="L105" i="8" s="1"/>
  <c r="I107" i="8"/>
  <c r="K107" i="8" s="1"/>
  <c r="J107" i="8"/>
  <c r="L107" i="8" s="1"/>
  <c r="I108" i="8"/>
  <c r="K108" i="8" s="1"/>
  <c r="J108" i="8"/>
  <c r="L108" i="8" s="1"/>
  <c r="I109" i="8"/>
  <c r="K109" i="8" s="1"/>
  <c r="J109" i="8"/>
  <c r="L109" i="8" s="1"/>
  <c r="M109" i="8" s="1"/>
  <c r="I110" i="8"/>
  <c r="K110" i="8" s="1"/>
  <c r="J110" i="8"/>
  <c r="L110" i="8" s="1"/>
  <c r="M110" i="8" s="1"/>
  <c r="I111" i="8"/>
  <c r="K111" i="8" s="1"/>
  <c r="J111" i="8"/>
  <c r="L111" i="8" s="1"/>
  <c r="I112" i="8"/>
  <c r="K112" i="8" s="1"/>
  <c r="J112" i="8"/>
  <c r="L112" i="8" s="1"/>
  <c r="I113" i="8"/>
  <c r="K113" i="8" s="1"/>
  <c r="J113" i="8"/>
  <c r="L113" i="8" s="1"/>
  <c r="I114" i="8"/>
  <c r="K114" i="8" s="1"/>
  <c r="J114" i="8"/>
  <c r="L114" i="8" s="1"/>
  <c r="I115" i="8"/>
  <c r="K115" i="8" s="1"/>
  <c r="J115" i="8"/>
  <c r="L115" i="8" s="1"/>
  <c r="I116" i="8"/>
  <c r="K116" i="8" s="1"/>
  <c r="J116" i="8"/>
  <c r="L116" i="8" s="1"/>
  <c r="I117" i="8"/>
  <c r="K117" i="8" s="1"/>
  <c r="J117" i="8"/>
  <c r="L117" i="8" s="1"/>
  <c r="M117" i="8" s="1"/>
  <c r="I118" i="8"/>
  <c r="K118" i="8" s="1"/>
  <c r="J118" i="8"/>
  <c r="L118" i="8" s="1"/>
  <c r="I119" i="8"/>
  <c r="K119" i="8" s="1"/>
  <c r="J119" i="8"/>
  <c r="L119" i="8" s="1"/>
  <c r="I120" i="8"/>
  <c r="K120" i="8" s="1"/>
  <c r="J120" i="8"/>
  <c r="L120" i="8" s="1"/>
  <c r="I121" i="8"/>
  <c r="K121" i="8" s="1"/>
  <c r="J121" i="8"/>
  <c r="L121" i="8" s="1"/>
  <c r="I122" i="8"/>
  <c r="K122" i="8" s="1"/>
  <c r="J122" i="8"/>
  <c r="L122" i="8" s="1"/>
  <c r="I123" i="8"/>
  <c r="K123" i="8" s="1"/>
  <c r="J123" i="8"/>
  <c r="L123" i="8" s="1"/>
  <c r="I124" i="8"/>
  <c r="K124" i="8" s="1"/>
  <c r="J124" i="8"/>
  <c r="L124" i="8" s="1"/>
  <c r="I125" i="8"/>
  <c r="K125" i="8" s="1"/>
  <c r="J125" i="8"/>
  <c r="L125" i="8" s="1"/>
  <c r="M125" i="8" s="1"/>
  <c r="I126" i="8"/>
  <c r="K126" i="8" s="1"/>
  <c r="J126" i="8"/>
  <c r="L126" i="8" s="1"/>
  <c r="M126" i="8" s="1"/>
  <c r="I127" i="8"/>
  <c r="K127" i="8" s="1"/>
  <c r="J127" i="8"/>
  <c r="L127" i="8" s="1"/>
  <c r="I128" i="8"/>
  <c r="K128" i="8" s="1"/>
  <c r="J128" i="8"/>
  <c r="L128" i="8" s="1"/>
  <c r="I129" i="8"/>
  <c r="K129" i="8" s="1"/>
  <c r="J129" i="8"/>
  <c r="L129" i="8" s="1"/>
  <c r="I130" i="8"/>
  <c r="K130" i="8" s="1"/>
  <c r="J130" i="8"/>
  <c r="L130" i="8" s="1"/>
  <c r="I131" i="8"/>
  <c r="K131" i="8" s="1"/>
  <c r="J131" i="8"/>
  <c r="L131" i="8" s="1"/>
  <c r="I132" i="8"/>
  <c r="K132" i="8" s="1"/>
  <c r="J132" i="8"/>
  <c r="L132" i="8" s="1"/>
  <c r="I133" i="8"/>
  <c r="K133" i="8" s="1"/>
  <c r="J133" i="8"/>
  <c r="L133" i="8" s="1"/>
  <c r="M133" i="8" s="1"/>
  <c r="I134" i="8"/>
  <c r="K134" i="8" s="1"/>
  <c r="J134" i="8"/>
  <c r="L134" i="8" s="1"/>
  <c r="M134" i="8" s="1"/>
  <c r="I135" i="8"/>
  <c r="K135" i="8" s="1"/>
  <c r="J135" i="8"/>
  <c r="L135" i="8" s="1"/>
  <c r="I136" i="8"/>
  <c r="K136" i="8" s="1"/>
  <c r="J136" i="8"/>
  <c r="L136" i="8" s="1"/>
  <c r="M136" i="8" s="1"/>
  <c r="I137" i="8"/>
  <c r="K137" i="8" s="1"/>
  <c r="J137" i="8"/>
  <c r="L137" i="8" s="1"/>
  <c r="I138" i="8"/>
  <c r="K138" i="8" s="1"/>
  <c r="J138" i="8"/>
  <c r="L138" i="8" s="1"/>
  <c r="I139" i="8"/>
  <c r="K139" i="8" s="1"/>
  <c r="J139" i="8"/>
  <c r="L139" i="8" s="1"/>
  <c r="I140" i="8"/>
  <c r="K140" i="8" s="1"/>
  <c r="J140" i="8"/>
  <c r="L140" i="8" s="1"/>
  <c r="I141" i="8"/>
  <c r="K141" i="8" s="1"/>
  <c r="J141" i="8"/>
  <c r="L141" i="8" s="1"/>
  <c r="M141" i="8" s="1"/>
  <c r="I142" i="8"/>
  <c r="K142" i="8" s="1"/>
  <c r="J142" i="8"/>
  <c r="L142" i="8" s="1"/>
  <c r="I143" i="8"/>
  <c r="K143" i="8" s="1"/>
  <c r="J143" i="8"/>
  <c r="L143" i="8" s="1"/>
  <c r="I144" i="8"/>
  <c r="K144" i="8" s="1"/>
  <c r="J144" i="8"/>
  <c r="L144" i="8" s="1"/>
  <c r="I145" i="8"/>
  <c r="K145" i="8" s="1"/>
  <c r="J145" i="8"/>
  <c r="L145" i="8" s="1"/>
  <c r="I146" i="8"/>
  <c r="K146" i="8" s="1"/>
  <c r="J146" i="8"/>
  <c r="L146" i="8" s="1"/>
  <c r="I147" i="8"/>
  <c r="K147" i="8" s="1"/>
  <c r="J147" i="8"/>
  <c r="L147" i="8" s="1"/>
  <c r="I148" i="8"/>
  <c r="K148" i="8" s="1"/>
  <c r="J148" i="8"/>
  <c r="L148" i="8" s="1"/>
  <c r="I149" i="8"/>
  <c r="K149" i="8" s="1"/>
  <c r="J149" i="8"/>
  <c r="L149" i="8" s="1"/>
  <c r="M149" i="8" s="1"/>
  <c r="I150" i="8"/>
  <c r="K150" i="8" s="1"/>
  <c r="J150" i="8"/>
  <c r="L150" i="8" s="1"/>
  <c r="I151" i="8"/>
  <c r="K151" i="8" s="1"/>
  <c r="J151" i="8"/>
  <c r="L151" i="8" s="1"/>
  <c r="I152" i="8"/>
  <c r="K152" i="8" s="1"/>
  <c r="J152" i="8"/>
  <c r="L152" i="8" s="1"/>
  <c r="I153" i="8"/>
  <c r="K153" i="8" s="1"/>
  <c r="J153" i="8"/>
  <c r="L153" i="8" s="1"/>
  <c r="I154" i="8"/>
  <c r="K154" i="8" s="1"/>
  <c r="J154" i="8"/>
  <c r="L154" i="8" s="1"/>
  <c r="I155" i="8"/>
  <c r="K155" i="8" s="1"/>
  <c r="J155" i="8"/>
  <c r="L155" i="8" s="1"/>
  <c r="I156" i="8"/>
  <c r="K156" i="8" s="1"/>
  <c r="J156" i="8"/>
  <c r="L156" i="8" s="1"/>
  <c r="I157" i="8"/>
  <c r="K157" i="8" s="1"/>
  <c r="J157" i="8"/>
  <c r="L157" i="8" s="1"/>
  <c r="M157" i="8" s="1"/>
  <c r="I158" i="8"/>
  <c r="K158" i="8" s="1"/>
  <c r="J158" i="8"/>
  <c r="L158" i="8" s="1"/>
  <c r="M158" i="8" s="1"/>
  <c r="I159" i="8"/>
  <c r="K159" i="8" s="1"/>
  <c r="J159" i="8"/>
  <c r="L159" i="8" s="1"/>
  <c r="I160" i="8"/>
  <c r="K160" i="8" s="1"/>
  <c r="J160" i="8"/>
  <c r="L160" i="8" s="1"/>
  <c r="I161" i="8"/>
  <c r="K161" i="8" s="1"/>
  <c r="J161" i="8"/>
  <c r="L161" i="8" s="1"/>
  <c r="I162" i="8"/>
  <c r="K162" i="8" s="1"/>
  <c r="J162" i="8"/>
  <c r="L162" i="8" s="1"/>
  <c r="I163" i="8"/>
  <c r="K163" i="8" s="1"/>
  <c r="J163" i="8"/>
  <c r="L163" i="8" s="1"/>
  <c r="I164" i="8"/>
  <c r="K164" i="8" s="1"/>
  <c r="J164" i="8"/>
  <c r="L164" i="8" s="1"/>
  <c r="I165" i="8"/>
  <c r="K165" i="8" s="1"/>
  <c r="J165" i="8"/>
  <c r="L165" i="8" s="1"/>
  <c r="M165" i="8" s="1"/>
  <c r="I166" i="8"/>
  <c r="K166" i="8" s="1"/>
  <c r="J166" i="8"/>
  <c r="L166" i="8" s="1"/>
  <c r="M166" i="8" s="1"/>
  <c r="I167" i="8"/>
  <c r="K167" i="8" s="1"/>
  <c r="J167" i="8"/>
  <c r="L167" i="8" s="1"/>
  <c r="I168" i="8"/>
  <c r="K168" i="8" s="1"/>
  <c r="J168" i="8"/>
  <c r="L168" i="8" s="1"/>
  <c r="I169" i="8"/>
  <c r="K169" i="8" s="1"/>
  <c r="J169" i="8"/>
  <c r="L169" i="8" s="1"/>
  <c r="I170" i="8"/>
  <c r="K170" i="8" s="1"/>
  <c r="J170" i="8"/>
  <c r="L170" i="8" s="1"/>
  <c r="I171" i="8"/>
  <c r="K171" i="8" s="1"/>
  <c r="J171" i="8"/>
  <c r="L171" i="8" s="1"/>
  <c r="M171" i="8" s="1"/>
  <c r="I172" i="8"/>
  <c r="K172" i="8" s="1"/>
  <c r="J172" i="8"/>
  <c r="L172" i="8" s="1"/>
  <c r="I173" i="8"/>
  <c r="K173" i="8" s="1"/>
  <c r="J173" i="8"/>
  <c r="L173" i="8" s="1"/>
  <c r="M173" i="8" s="1"/>
  <c r="I174" i="8"/>
  <c r="K174" i="8" s="1"/>
  <c r="J174" i="8"/>
  <c r="L174" i="8" s="1"/>
  <c r="M174" i="8" s="1"/>
  <c r="I175" i="8"/>
  <c r="K175" i="8" s="1"/>
  <c r="J175" i="8"/>
  <c r="L175" i="8" s="1"/>
  <c r="I176" i="8"/>
  <c r="K176" i="8" s="1"/>
  <c r="J176" i="8"/>
  <c r="L176" i="8" s="1"/>
  <c r="I177" i="8"/>
  <c r="K177" i="8" s="1"/>
  <c r="J177" i="8"/>
  <c r="L177" i="8" s="1"/>
  <c r="I178" i="8"/>
  <c r="K178" i="8" s="1"/>
  <c r="J178" i="8"/>
  <c r="L178" i="8" s="1"/>
  <c r="I179" i="8"/>
  <c r="K179" i="8" s="1"/>
  <c r="J179" i="8"/>
  <c r="L179" i="8" s="1"/>
  <c r="I180" i="8"/>
  <c r="K180" i="8" s="1"/>
  <c r="J180" i="8"/>
  <c r="L180" i="8" s="1"/>
  <c r="I181" i="8"/>
  <c r="K181" i="8" s="1"/>
  <c r="J181" i="8"/>
  <c r="L181" i="8" s="1"/>
  <c r="M181" i="8" s="1"/>
  <c r="I182" i="8"/>
  <c r="K182" i="8" s="1"/>
  <c r="J182" i="8"/>
  <c r="L182" i="8" s="1"/>
  <c r="M182" i="8" s="1"/>
  <c r="I183" i="8"/>
  <c r="K183" i="8" s="1"/>
  <c r="J183" i="8"/>
  <c r="L183" i="8" s="1"/>
  <c r="I184" i="8"/>
  <c r="K184" i="8" s="1"/>
  <c r="J184" i="8"/>
  <c r="L184" i="8" s="1"/>
  <c r="M184" i="8" s="1"/>
  <c r="I185" i="8"/>
  <c r="K185" i="8" s="1"/>
  <c r="J185" i="8"/>
  <c r="L185" i="8" s="1"/>
  <c r="I186" i="8"/>
  <c r="K186" i="8" s="1"/>
  <c r="J186" i="8"/>
  <c r="L186" i="8" s="1"/>
  <c r="I187" i="8"/>
  <c r="K187" i="8" s="1"/>
  <c r="J187" i="8"/>
  <c r="L187" i="8" s="1"/>
  <c r="M187" i="8" s="1"/>
  <c r="I188" i="8"/>
  <c r="K188" i="8" s="1"/>
  <c r="J188" i="8"/>
  <c r="L188" i="8" s="1"/>
  <c r="I189" i="8"/>
  <c r="K189" i="8" s="1"/>
  <c r="J189" i="8"/>
  <c r="L189" i="8" s="1"/>
  <c r="M189" i="8" s="1"/>
  <c r="I190" i="8"/>
  <c r="K190" i="8" s="1"/>
  <c r="J190" i="8"/>
  <c r="L190" i="8" s="1"/>
  <c r="M190" i="8" s="1"/>
  <c r="I191" i="8"/>
  <c r="K191" i="8" s="1"/>
  <c r="J191" i="8"/>
  <c r="L191" i="8" s="1"/>
  <c r="I192" i="8"/>
  <c r="K192" i="8" s="1"/>
  <c r="J192" i="8"/>
  <c r="L192" i="8" s="1"/>
  <c r="I193" i="8"/>
  <c r="K193" i="8" s="1"/>
  <c r="J193" i="8"/>
  <c r="L193" i="8" s="1"/>
  <c r="I194" i="8"/>
  <c r="K194" i="8" s="1"/>
  <c r="J194" i="8"/>
  <c r="L194" i="8" s="1"/>
  <c r="M194" i="8" s="1"/>
  <c r="I195" i="8"/>
  <c r="K195" i="8" s="1"/>
  <c r="J195" i="8"/>
  <c r="L195" i="8" s="1"/>
  <c r="I196" i="8"/>
  <c r="K196" i="8" s="1"/>
  <c r="J196" i="8"/>
  <c r="L196" i="8" s="1"/>
  <c r="I197" i="8"/>
  <c r="K197" i="8" s="1"/>
  <c r="J197" i="8"/>
  <c r="L197" i="8" s="1"/>
  <c r="M197" i="8" s="1"/>
  <c r="I198" i="8"/>
  <c r="K198" i="8" s="1"/>
  <c r="J198" i="8"/>
  <c r="L198" i="8" s="1"/>
  <c r="M198" i="8" s="1"/>
  <c r="I199" i="8"/>
  <c r="K199" i="8" s="1"/>
  <c r="J199" i="8"/>
  <c r="L199" i="8" s="1"/>
  <c r="I200" i="8"/>
  <c r="K200" i="8" s="1"/>
  <c r="J200" i="8"/>
  <c r="L200" i="8" s="1"/>
  <c r="I201" i="8"/>
  <c r="K201" i="8" s="1"/>
  <c r="J201" i="8"/>
  <c r="L201" i="8" s="1"/>
  <c r="I202" i="8"/>
  <c r="K202" i="8" s="1"/>
  <c r="J202" i="8"/>
  <c r="L202" i="8" s="1"/>
  <c r="M202" i="8" s="1"/>
  <c r="I203" i="8"/>
  <c r="K203" i="8" s="1"/>
  <c r="J203" i="8"/>
  <c r="L203" i="8" s="1"/>
  <c r="M203" i="8" s="1"/>
  <c r="I204" i="8"/>
  <c r="K204" i="8" s="1"/>
  <c r="J204" i="8"/>
  <c r="L204" i="8" s="1"/>
  <c r="I205" i="8"/>
  <c r="K205" i="8" s="1"/>
  <c r="J205" i="8"/>
  <c r="L205" i="8" s="1"/>
  <c r="M205" i="8" s="1"/>
  <c r="I206" i="8"/>
  <c r="K206" i="8" s="1"/>
  <c r="J206" i="8"/>
  <c r="L206" i="8" s="1"/>
  <c r="I207" i="8"/>
  <c r="K207" i="8" s="1"/>
  <c r="J207" i="8"/>
  <c r="L207" i="8" s="1"/>
  <c r="I208" i="8"/>
  <c r="K208" i="8" s="1"/>
  <c r="J208" i="8"/>
  <c r="L208" i="8" s="1"/>
  <c r="I209" i="8"/>
  <c r="K209" i="8" s="1"/>
  <c r="J209" i="8"/>
  <c r="L209" i="8" s="1"/>
  <c r="I210" i="8"/>
  <c r="K210" i="8" s="1"/>
  <c r="J210" i="8"/>
  <c r="L210" i="8" s="1"/>
  <c r="I211" i="8"/>
  <c r="K211" i="8" s="1"/>
  <c r="J211" i="8"/>
  <c r="L211" i="8" s="1"/>
  <c r="I212" i="8"/>
  <c r="K212" i="8" s="1"/>
  <c r="J212" i="8"/>
  <c r="L212" i="8" s="1"/>
  <c r="I213" i="8"/>
  <c r="K213" i="8" s="1"/>
  <c r="J213" i="8"/>
  <c r="L213" i="8" s="1"/>
  <c r="M213" i="8" s="1"/>
  <c r="I214" i="8"/>
  <c r="K214" i="8" s="1"/>
  <c r="J214" i="8"/>
  <c r="L214" i="8" s="1"/>
  <c r="I215" i="8"/>
  <c r="K215" i="8" s="1"/>
  <c r="J215" i="8"/>
  <c r="L215" i="8" s="1"/>
  <c r="I216" i="8"/>
  <c r="K216" i="8" s="1"/>
  <c r="J216" i="8"/>
  <c r="L216" i="8" s="1"/>
  <c r="I217" i="8"/>
  <c r="K217" i="8" s="1"/>
  <c r="J217" i="8"/>
  <c r="L217" i="8" s="1"/>
  <c r="I218" i="8"/>
  <c r="K218" i="8" s="1"/>
  <c r="J218" i="8"/>
  <c r="L218" i="8" s="1"/>
  <c r="M218" i="8" s="1"/>
  <c r="I31" i="8"/>
  <c r="K31" i="8" s="1"/>
  <c r="J31" i="8"/>
  <c r="L31" i="8" s="1"/>
  <c r="I32" i="8"/>
  <c r="K32" i="8" s="1"/>
  <c r="J32" i="8"/>
  <c r="L32" i="8" s="1"/>
  <c r="I33" i="8"/>
  <c r="K33" i="8" s="1"/>
  <c r="J33" i="8"/>
  <c r="L33" i="8" s="1"/>
  <c r="M33" i="8" s="1"/>
  <c r="I34" i="8"/>
  <c r="K34" i="8" s="1"/>
  <c r="J34" i="8"/>
  <c r="L34" i="8" s="1"/>
  <c r="M34" i="8" s="1"/>
  <c r="I35" i="8"/>
  <c r="K35" i="8" s="1"/>
  <c r="J35" i="8"/>
  <c r="L35" i="8" s="1"/>
  <c r="I36" i="8"/>
  <c r="K36" i="8" s="1"/>
  <c r="J36" i="8"/>
  <c r="L36" i="8" s="1"/>
  <c r="I37" i="8"/>
  <c r="K37" i="8" s="1"/>
  <c r="J37" i="8"/>
  <c r="L37" i="8" s="1"/>
  <c r="I15" i="8"/>
  <c r="K15" i="8" s="1"/>
  <c r="J15" i="8"/>
  <c r="L15" i="8" s="1"/>
  <c r="M15" i="8" s="1"/>
  <c r="I16" i="8"/>
  <c r="K16" i="8" s="1"/>
  <c r="J16" i="8"/>
  <c r="L16" i="8" s="1"/>
  <c r="I17" i="8"/>
  <c r="K17" i="8" s="1"/>
  <c r="J17" i="8"/>
  <c r="L17" i="8" s="1"/>
  <c r="I18" i="8"/>
  <c r="K18" i="8" s="1"/>
  <c r="J18" i="8"/>
  <c r="L18" i="8" s="1"/>
  <c r="I19" i="8"/>
  <c r="K19" i="8" s="1"/>
  <c r="J19" i="8"/>
  <c r="L19" i="8" s="1"/>
  <c r="M19" i="8" s="1"/>
  <c r="I20" i="8"/>
  <c r="K20" i="8" s="1"/>
  <c r="J20" i="8"/>
  <c r="L20" i="8" s="1"/>
  <c r="I21" i="8"/>
  <c r="K21" i="8" s="1"/>
  <c r="J21" i="8"/>
  <c r="L21" i="8" s="1"/>
  <c r="I22" i="8"/>
  <c r="K22" i="8" s="1"/>
  <c r="J22" i="8"/>
  <c r="L22" i="8" s="1"/>
  <c r="I23" i="8"/>
  <c r="K23" i="8" s="1"/>
  <c r="J23" i="8"/>
  <c r="L23" i="8" s="1"/>
  <c r="I24" i="8"/>
  <c r="K24" i="8" s="1"/>
  <c r="J24" i="8"/>
  <c r="L24" i="8" s="1"/>
  <c r="I25" i="8"/>
  <c r="K25" i="8" s="1"/>
  <c r="J25" i="8"/>
  <c r="L25" i="8" s="1"/>
  <c r="I26" i="8"/>
  <c r="K26" i="8" s="1"/>
  <c r="J26" i="8"/>
  <c r="L26" i="8" s="1"/>
  <c r="M26" i="8" s="1"/>
  <c r="I27" i="8"/>
  <c r="K27" i="8" s="1"/>
  <c r="J27" i="8"/>
  <c r="L27" i="8" s="1"/>
  <c r="I28" i="8"/>
  <c r="K28" i="8" s="1"/>
  <c r="J28" i="8"/>
  <c r="L28" i="8" s="1"/>
  <c r="I29" i="8"/>
  <c r="K29" i="8" s="1"/>
  <c r="J29" i="8"/>
  <c r="L29" i="8" s="1"/>
  <c r="M29" i="8" s="1"/>
  <c r="I30" i="8"/>
  <c r="K30" i="8" s="1"/>
  <c r="J30" i="8"/>
  <c r="L30" i="8" s="1"/>
  <c r="J14" i="8"/>
  <c r="L14" i="8" s="1"/>
  <c r="I14" i="8"/>
  <c r="K14" i="8" s="1"/>
  <c r="E198" i="8"/>
  <c r="P3" i="6"/>
  <c r="P4" i="6"/>
  <c r="P5" i="6"/>
  <c r="P6" i="6"/>
  <c r="P7" i="6"/>
  <c r="P8" i="6"/>
  <c r="P9" i="6"/>
  <c r="P10" i="6"/>
  <c r="P11" i="6"/>
  <c r="P2" i="6"/>
  <c r="T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T35" i="7"/>
  <c r="T36" i="7"/>
  <c r="T37" i="7"/>
  <c r="T38" i="7"/>
  <c r="T39" i="7"/>
  <c r="T40" i="7"/>
  <c r="T41" i="7"/>
  <c r="T42" i="7"/>
  <c r="T43" i="7"/>
  <c r="T44" i="7"/>
  <c r="T45" i="7"/>
  <c r="T46" i="7"/>
  <c r="T47" i="7"/>
  <c r="T48" i="7"/>
  <c r="T49" i="7"/>
  <c r="T50" i="7"/>
  <c r="T51" i="7"/>
  <c r="T52" i="7"/>
  <c r="T53" i="7"/>
  <c r="T54" i="7"/>
  <c r="T55" i="7"/>
  <c r="T56" i="7"/>
  <c r="T57" i="7"/>
  <c r="T58" i="7"/>
  <c r="T59" i="7"/>
  <c r="T60" i="7"/>
  <c r="T62" i="7"/>
  <c r="T63" i="7"/>
  <c r="T64" i="7"/>
  <c r="T65" i="7"/>
  <c r="T66" i="7"/>
  <c r="T67" i="7"/>
  <c r="T68" i="7"/>
  <c r="T2" i="7"/>
  <c r="R3" i="7"/>
  <c r="S3" i="7"/>
  <c r="R4" i="7"/>
  <c r="S4" i="7"/>
  <c r="R5" i="7"/>
  <c r="S5" i="7"/>
  <c r="R6" i="7"/>
  <c r="S6" i="7"/>
  <c r="R7" i="7"/>
  <c r="S7" i="7"/>
  <c r="R8" i="7"/>
  <c r="S8" i="7"/>
  <c r="R9" i="7"/>
  <c r="S9" i="7"/>
  <c r="R10" i="7"/>
  <c r="S10" i="7"/>
  <c r="R11" i="7"/>
  <c r="S11" i="7"/>
  <c r="R12" i="7"/>
  <c r="S12" i="7"/>
  <c r="R13" i="7"/>
  <c r="S13" i="7"/>
  <c r="R14" i="7"/>
  <c r="S14" i="7"/>
  <c r="R15" i="7"/>
  <c r="S15" i="7"/>
  <c r="R16" i="7"/>
  <c r="S16" i="7"/>
  <c r="R17" i="7"/>
  <c r="S17" i="7"/>
  <c r="R18" i="7"/>
  <c r="S18" i="7"/>
  <c r="R19" i="7"/>
  <c r="S19" i="7"/>
  <c r="R20" i="7"/>
  <c r="S20" i="7"/>
  <c r="R22" i="7"/>
  <c r="S22" i="7"/>
  <c r="R23" i="7"/>
  <c r="S23" i="7"/>
  <c r="R24" i="7"/>
  <c r="S24" i="7"/>
  <c r="R25" i="7"/>
  <c r="S25" i="7"/>
  <c r="R26" i="7"/>
  <c r="S26" i="7"/>
  <c r="R27" i="7"/>
  <c r="S27" i="7"/>
  <c r="R28" i="7"/>
  <c r="S28" i="7"/>
  <c r="R29" i="7"/>
  <c r="S29" i="7"/>
  <c r="R30" i="7"/>
  <c r="S30" i="7"/>
  <c r="R31" i="7"/>
  <c r="S31" i="7"/>
  <c r="R32" i="7"/>
  <c r="S32" i="7"/>
  <c r="R33" i="7"/>
  <c r="S33" i="7"/>
  <c r="R34" i="7"/>
  <c r="S34" i="7"/>
  <c r="R35" i="7"/>
  <c r="S35" i="7"/>
  <c r="R36" i="7"/>
  <c r="S36" i="7"/>
  <c r="R37" i="7"/>
  <c r="S37" i="7"/>
  <c r="R38" i="7"/>
  <c r="S38" i="7"/>
  <c r="R39" i="7"/>
  <c r="S39" i="7"/>
  <c r="R40" i="7"/>
  <c r="S40" i="7"/>
  <c r="R41" i="7"/>
  <c r="S41" i="7"/>
  <c r="R42" i="7"/>
  <c r="S42" i="7"/>
  <c r="R43" i="7"/>
  <c r="S43" i="7"/>
  <c r="R44" i="7"/>
  <c r="S44" i="7"/>
  <c r="R45" i="7"/>
  <c r="S45" i="7"/>
  <c r="R46" i="7"/>
  <c r="S46" i="7"/>
  <c r="R47" i="7"/>
  <c r="S47" i="7"/>
  <c r="R48" i="7"/>
  <c r="S48" i="7"/>
  <c r="R49" i="7"/>
  <c r="S49" i="7"/>
  <c r="R50" i="7"/>
  <c r="S50" i="7"/>
  <c r="R51" i="7"/>
  <c r="S51" i="7"/>
  <c r="R52" i="7"/>
  <c r="S52" i="7"/>
  <c r="R53" i="7"/>
  <c r="S53" i="7"/>
  <c r="R54" i="7"/>
  <c r="S54" i="7"/>
  <c r="R55" i="7"/>
  <c r="S55" i="7"/>
  <c r="R56" i="7"/>
  <c r="S56" i="7"/>
  <c r="R57" i="7"/>
  <c r="S57" i="7"/>
  <c r="R58" i="7"/>
  <c r="S58" i="7"/>
  <c r="R59" i="7"/>
  <c r="S59" i="7"/>
  <c r="R60" i="7"/>
  <c r="S60" i="7"/>
  <c r="R62" i="7"/>
  <c r="S62" i="7"/>
  <c r="R63" i="7"/>
  <c r="S63" i="7"/>
  <c r="R64" i="7"/>
  <c r="S64" i="7"/>
  <c r="R65" i="7"/>
  <c r="S65" i="7"/>
  <c r="R66" i="7"/>
  <c r="S66" i="7"/>
  <c r="R67" i="7"/>
  <c r="S67" i="7"/>
  <c r="R68" i="7"/>
  <c r="S68" i="7"/>
  <c r="S2" i="7"/>
  <c r="R2" i="7"/>
  <c r="P3" i="7"/>
  <c r="Q3" i="7"/>
  <c r="P4" i="7"/>
  <c r="Q4" i="7"/>
  <c r="P5" i="7"/>
  <c r="Q5" i="7"/>
  <c r="P6" i="7"/>
  <c r="Q6" i="7"/>
  <c r="P7" i="7"/>
  <c r="Q7" i="7"/>
  <c r="P8" i="7"/>
  <c r="Q8" i="7"/>
  <c r="P9" i="7"/>
  <c r="Q9" i="7"/>
  <c r="P10" i="7"/>
  <c r="Q10" i="7"/>
  <c r="P11" i="7"/>
  <c r="Q11" i="7"/>
  <c r="P12" i="7"/>
  <c r="Q12" i="7"/>
  <c r="P13" i="7"/>
  <c r="Q13" i="7"/>
  <c r="P14" i="7"/>
  <c r="Q14" i="7"/>
  <c r="P15" i="7"/>
  <c r="Q15" i="7"/>
  <c r="P16" i="7"/>
  <c r="Q16" i="7"/>
  <c r="P17" i="7"/>
  <c r="Q17" i="7"/>
  <c r="P18" i="7"/>
  <c r="Q18" i="7"/>
  <c r="P19" i="7"/>
  <c r="Q19" i="7"/>
  <c r="P20" i="7"/>
  <c r="Q20" i="7"/>
  <c r="P22" i="7"/>
  <c r="Q22" i="7"/>
  <c r="P23" i="7"/>
  <c r="Q23" i="7"/>
  <c r="P24" i="7"/>
  <c r="Q24" i="7"/>
  <c r="P25" i="7"/>
  <c r="Q25" i="7"/>
  <c r="P26" i="7"/>
  <c r="Q26" i="7"/>
  <c r="P27" i="7"/>
  <c r="Q27" i="7"/>
  <c r="P28" i="7"/>
  <c r="Q28" i="7"/>
  <c r="P29" i="7"/>
  <c r="Q29" i="7"/>
  <c r="P30" i="7"/>
  <c r="Q30" i="7"/>
  <c r="P31" i="7"/>
  <c r="Q31" i="7"/>
  <c r="P32" i="7"/>
  <c r="Q32" i="7"/>
  <c r="P33" i="7"/>
  <c r="Q33" i="7"/>
  <c r="P34" i="7"/>
  <c r="Q34" i="7"/>
  <c r="P35" i="7"/>
  <c r="Q35" i="7"/>
  <c r="P36" i="7"/>
  <c r="Q36" i="7"/>
  <c r="P37" i="7"/>
  <c r="Q37" i="7"/>
  <c r="P38" i="7"/>
  <c r="Q38" i="7"/>
  <c r="P39" i="7"/>
  <c r="Q39" i="7"/>
  <c r="P40" i="7"/>
  <c r="Q40" i="7"/>
  <c r="P41" i="7"/>
  <c r="Q41" i="7"/>
  <c r="P42" i="7"/>
  <c r="Q42" i="7"/>
  <c r="P43" i="7"/>
  <c r="Q43" i="7"/>
  <c r="P44" i="7"/>
  <c r="Q44" i="7"/>
  <c r="P45" i="7"/>
  <c r="Q45" i="7"/>
  <c r="P46" i="7"/>
  <c r="Q46" i="7"/>
  <c r="P47" i="7"/>
  <c r="Q47" i="7"/>
  <c r="P48" i="7"/>
  <c r="Q48" i="7"/>
  <c r="P49" i="7"/>
  <c r="Q49" i="7"/>
  <c r="P50" i="7"/>
  <c r="Q50" i="7"/>
  <c r="P51" i="7"/>
  <c r="Q51" i="7"/>
  <c r="P52" i="7"/>
  <c r="Q52" i="7"/>
  <c r="P53" i="7"/>
  <c r="Q53" i="7"/>
  <c r="P54" i="7"/>
  <c r="Q54" i="7"/>
  <c r="P55" i="7"/>
  <c r="Q55" i="7"/>
  <c r="P56" i="7"/>
  <c r="Q56" i="7"/>
  <c r="P57" i="7"/>
  <c r="Q57" i="7"/>
  <c r="P58" i="7"/>
  <c r="Q58" i="7"/>
  <c r="P59" i="7"/>
  <c r="Q59" i="7"/>
  <c r="P60" i="7"/>
  <c r="Q60" i="7"/>
  <c r="P62" i="7"/>
  <c r="Q62" i="7"/>
  <c r="P63" i="7"/>
  <c r="Q63" i="7"/>
  <c r="P64" i="7"/>
  <c r="Q64" i="7"/>
  <c r="P65" i="7"/>
  <c r="Q65" i="7"/>
  <c r="P66" i="7"/>
  <c r="Q66" i="7"/>
  <c r="P67" i="7"/>
  <c r="Q67" i="7"/>
  <c r="P68" i="7"/>
  <c r="Q68" i="7"/>
  <c r="Q2" i="7"/>
  <c r="P2" i="7"/>
  <c r="S22" i="4"/>
  <c r="T22" i="4"/>
  <c r="S23" i="4"/>
  <c r="T23" i="4"/>
  <c r="S24" i="4"/>
  <c r="T24" i="4"/>
  <c r="S25" i="4"/>
  <c r="T25" i="4"/>
  <c r="S26" i="4"/>
  <c r="T26" i="4"/>
  <c r="S27" i="4"/>
  <c r="T27" i="4"/>
  <c r="S28" i="4"/>
  <c r="T28" i="4"/>
  <c r="S29" i="4"/>
  <c r="T29" i="4"/>
  <c r="S30" i="4"/>
  <c r="T30" i="4"/>
  <c r="S31" i="4"/>
  <c r="T31" i="4"/>
  <c r="S32" i="4"/>
  <c r="T32" i="4"/>
  <c r="S33" i="4"/>
  <c r="T33" i="4"/>
  <c r="S34" i="4"/>
  <c r="T34" i="4"/>
  <c r="S35" i="4"/>
  <c r="T35" i="4"/>
  <c r="S36" i="4"/>
  <c r="T36" i="4"/>
  <c r="S37" i="4"/>
  <c r="T37" i="4"/>
  <c r="S38" i="4"/>
  <c r="T38" i="4"/>
  <c r="S39" i="4"/>
  <c r="T39" i="4"/>
  <c r="S40" i="4"/>
  <c r="T40" i="4"/>
  <c r="S41" i="4"/>
  <c r="T41" i="4"/>
  <c r="S42" i="4"/>
  <c r="T42" i="4"/>
  <c r="S43" i="4"/>
  <c r="T43" i="4"/>
  <c r="S44" i="4"/>
  <c r="T44" i="4"/>
  <c r="S45" i="4"/>
  <c r="T45" i="4"/>
  <c r="S46" i="4"/>
  <c r="T46" i="4"/>
  <c r="S47" i="4"/>
  <c r="T47" i="4"/>
  <c r="S48" i="4"/>
  <c r="T48" i="4"/>
  <c r="S49" i="4"/>
  <c r="T49" i="4"/>
  <c r="S50" i="4"/>
  <c r="T50" i="4"/>
  <c r="S51" i="4"/>
  <c r="T51" i="4"/>
  <c r="S52" i="4"/>
  <c r="T52" i="4"/>
  <c r="S53" i="4"/>
  <c r="T53" i="4"/>
  <c r="S54" i="4"/>
  <c r="T54" i="4"/>
  <c r="S55" i="4"/>
  <c r="T55" i="4"/>
  <c r="S56" i="4"/>
  <c r="T56" i="4"/>
  <c r="S57" i="4"/>
  <c r="T57" i="4"/>
  <c r="S58" i="4"/>
  <c r="T58" i="4"/>
  <c r="S59" i="4"/>
  <c r="T59" i="4"/>
  <c r="S60" i="4"/>
  <c r="T60" i="4"/>
  <c r="S61" i="4"/>
  <c r="T61" i="4"/>
  <c r="S62" i="4"/>
  <c r="T62" i="4"/>
  <c r="S63" i="4"/>
  <c r="T63" i="4"/>
  <c r="S64" i="4"/>
  <c r="T64" i="4"/>
  <c r="S65" i="4"/>
  <c r="T65" i="4"/>
  <c r="S66" i="4"/>
  <c r="T66" i="4"/>
  <c r="S67" i="4"/>
  <c r="T67" i="4"/>
  <c r="S68" i="4"/>
  <c r="T68" i="4"/>
  <c r="S69" i="4"/>
  <c r="T69" i="4"/>
  <c r="S70" i="4"/>
  <c r="T70" i="4"/>
  <c r="S71" i="4"/>
  <c r="T71" i="4"/>
  <c r="S72" i="4"/>
  <c r="T72" i="4"/>
  <c r="S73" i="4"/>
  <c r="T73" i="4"/>
  <c r="S74" i="4"/>
  <c r="T74" i="4"/>
  <c r="S75" i="4"/>
  <c r="T75" i="4"/>
  <c r="S76" i="4"/>
  <c r="T76" i="4"/>
  <c r="S77" i="4"/>
  <c r="T77" i="4"/>
  <c r="S78" i="4"/>
  <c r="T78" i="4"/>
  <c r="S79" i="4"/>
  <c r="T79" i="4"/>
  <c r="S80" i="4"/>
  <c r="T80" i="4"/>
  <c r="S81" i="4"/>
  <c r="T81" i="4"/>
  <c r="S82" i="4"/>
  <c r="T82" i="4"/>
  <c r="S83" i="4"/>
  <c r="T83" i="4"/>
  <c r="S84" i="4"/>
  <c r="T84" i="4"/>
  <c r="S85" i="4"/>
  <c r="T85" i="4"/>
  <c r="S86" i="4"/>
  <c r="T86" i="4"/>
  <c r="S87" i="4"/>
  <c r="T87" i="4"/>
  <c r="S88" i="4"/>
  <c r="T88" i="4"/>
  <c r="S89" i="4"/>
  <c r="T89" i="4"/>
  <c r="S90" i="4"/>
  <c r="T90" i="4"/>
  <c r="S91" i="4"/>
  <c r="T91" i="4"/>
  <c r="S92" i="4"/>
  <c r="T92" i="4"/>
  <c r="S93" i="4"/>
  <c r="T93" i="4"/>
  <c r="S94" i="4"/>
  <c r="T94" i="4"/>
  <c r="S95" i="4"/>
  <c r="T95" i="4"/>
  <c r="S97" i="4"/>
  <c r="T97" i="4"/>
  <c r="S98" i="4"/>
  <c r="T98" i="4"/>
  <c r="S99" i="4"/>
  <c r="T99" i="4"/>
  <c r="S100" i="4"/>
  <c r="T100" i="4"/>
  <c r="S101" i="4"/>
  <c r="T101" i="4"/>
  <c r="S102" i="4"/>
  <c r="T102" i="4"/>
  <c r="S103" i="4"/>
  <c r="T103" i="4"/>
  <c r="S104" i="4"/>
  <c r="T104" i="4"/>
  <c r="S105" i="4"/>
  <c r="T105" i="4"/>
  <c r="S106" i="4"/>
  <c r="T106" i="4"/>
  <c r="S107" i="4"/>
  <c r="T107" i="4"/>
  <c r="S108" i="4"/>
  <c r="T108" i="4"/>
  <c r="S109" i="4"/>
  <c r="T109" i="4"/>
  <c r="S110" i="4"/>
  <c r="T110" i="4"/>
  <c r="S111" i="4"/>
  <c r="T111" i="4"/>
  <c r="S112" i="4"/>
  <c r="T112" i="4"/>
  <c r="S113" i="4"/>
  <c r="T113" i="4"/>
  <c r="S114" i="4"/>
  <c r="T114" i="4"/>
  <c r="S115" i="4"/>
  <c r="T115" i="4"/>
  <c r="S117" i="4"/>
  <c r="T117" i="4"/>
  <c r="S118" i="4"/>
  <c r="T118" i="4"/>
  <c r="S119" i="4"/>
  <c r="T119" i="4"/>
  <c r="S120" i="4"/>
  <c r="T120" i="4"/>
  <c r="S121" i="4"/>
  <c r="T121" i="4"/>
  <c r="S122" i="4"/>
  <c r="T122" i="4"/>
  <c r="S123" i="4"/>
  <c r="T123" i="4"/>
  <c r="S124" i="4"/>
  <c r="T124" i="4"/>
  <c r="S125" i="4"/>
  <c r="T125" i="4"/>
  <c r="S126" i="4"/>
  <c r="T126" i="4"/>
  <c r="S127" i="4"/>
  <c r="T127" i="4"/>
  <c r="S128" i="4"/>
  <c r="T128" i="4"/>
  <c r="S129" i="4"/>
  <c r="T129" i="4"/>
  <c r="S130" i="4"/>
  <c r="T130" i="4"/>
  <c r="S131" i="4"/>
  <c r="T131" i="4"/>
  <c r="S132" i="4"/>
  <c r="T132" i="4"/>
  <c r="S133" i="4"/>
  <c r="T133" i="4"/>
  <c r="S134" i="4"/>
  <c r="T134" i="4"/>
  <c r="S135" i="4"/>
  <c r="T135" i="4"/>
  <c r="S136" i="4"/>
  <c r="T136" i="4"/>
  <c r="S137" i="4"/>
  <c r="T137" i="4"/>
  <c r="S138" i="4"/>
  <c r="T138" i="4"/>
  <c r="S139" i="4"/>
  <c r="T139" i="4"/>
  <c r="S140" i="4"/>
  <c r="T140" i="4"/>
  <c r="S141" i="4"/>
  <c r="T141" i="4"/>
  <c r="S142" i="4"/>
  <c r="T142" i="4"/>
  <c r="S143" i="4"/>
  <c r="T143" i="4"/>
  <c r="S144" i="4"/>
  <c r="T144" i="4"/>
  <c r="S145" i="4"/>
  <c r="T145" i="4"/>
  <c r="S146" i="4"/>
  <c r="T146" i="4"/>
  <c r="S147" i="4"/>
  <c r="T147" i="4"/>
  <c r="S148" i="4"/>
  <c r="T148" i="4"/>
  <c r="S149" i="4"/>
  <c r="T149" i="4"/>
  <c r="S150" i="4"/>
  <c r="T150" i="4"/>
  <c r="S151" i="4"/>
  <c r="T151" i="4"/>
  <c r="S152" i="4"/>
  <c r="T152" i="4"/>
  <c r="S153" i="4"/>
  <c r="T153" i="4"/>
  <c r="S154" i="4"/>
  <c r="T154" i="4"/>
  <c r="S155" i="4"/>
  <c r="T155" i="4"/>
  <c r="S156" i="4"/>
  <c r="T156" i="4"/>
  <c r="S157" i="4"/>
  <c r="T157" i="4"/>
  <c r="S158" i="4"/>
  <c r="T158" i="4"/>
  <c r="S159" i="4"/>
  <c r="T159" i="4"/>
  <c r="S160" i="4"/>
  <c r="T160" i="4"/>
  <c r="S161" i="4"/>
  <c r="T161" i="4"/>
  <c r="S162" i="4"/>
  <c r="T162" i="4"/>
  <c r="S163" i="4"/>
  <c r="T163" i="4"/>
  <c r="S164" i="4"/>
  <c r="T164" i="4"/>
  <c r="S165" i="4"/>
  <c r="T165" i="4"/>
  <c r="S167" i="4"/>
  <c r="T167" i="4"/>
  <c r="S168" i="4"/>
  <c r="T168" i="4"/>
  <c r="S169" i="4"/>
  <c r="T169" i="4"/>
  <c r="S170" i="4"/>
  <c r="T170" i="4"/>
  <c r="S171" i="4"/>
  <c r="T171" i="4"/>
  <c r="S172" i="4"/>
  <c r="T172" i="4"/>
  <c r="S173" i="4"/>
  <c r="T173" i="4"/>
  <c r="S174" i="4"/>
  <c r="T174" i="4"/>
  <c r="S175" i="4"/>
  <c r="T175" i="4"/>
  <c r="S176" i="4"/>
  <c r="T176" i="4"/>
  <c r="S177" i="4"/>
  <c r="T177" i="4"/>
  <c r="S178" i="4"/>
  <c r="T178" i="4"/>
  <c r="S179" i="4"/>
  <c r="T179" i="4"/>
  <c r="S180" i="4"/>
  <c r="T180" i="4"/>
  <c r="S181" i="4"/>
  <c r="T181" i="4"/>
  <c r="S182" i="4"/>
  <c r="T182" i="4"/>
  <c r="S183" i="4"/>
  <c r="T183" i="4"/>
  <c r="S184" i="4"/>
  <c r="T184" i="4"/>
  <c r="S185" i="4"/>
  <c r="T185" i="4"/>
  <c r="S186" i="4"/>
  <c r="T186" i="4"/>
  <c r="S187" i="4"/>
  <c r="T187" i="4"/>
  <c r="S188" i="4"/>
  <c r="T188" i="4"/>
  <c r="S189" i="4"/>
  <c r="T189" i="4"/>
  <c r="S190" i="4"/>
  <c r="T190" i="4"/>
  <c r="S191" i="4"/>
  <c r="T191" i="4"/>
  <c r="S192" i="4"/>
  <c r="T192" i="4"/>
  <c r="S193" i="4"/>
  <c r="T193" i="4"/>
  <c r="S194" i="4"/>
  <c r="T194" i="4"/>
  <c r="S195" i="4"/>
  <c r="T195" i="4"/>
  <c r="S196" i="4"/>
  <c r="T196" i="4"/>
  <c r="S197" i="4"/>
  <c r="T197" i="4"/>
  <c r="S198" i="4"/>
  <c r="T198" i="4"/>
  <c r="S199" i="4"/>
  <c r="T199" i="4"/>
  <c r="S200" i="4"/>
  <c r="T200" i="4"/>
  <c r="S201" i="4"/>
  <c r="T201" i="4"/>
  <c r="S202" i="4"/>
  <c r="T202" i="4"/>
  <c r="S203" i="4"/>
  <c r="T203" i="4"/>
  <c r="S204" i="4"/>
  <c r="T204" i="4"/>
  <c r="S205" i="4"/>
  <c r="T205" i="4"/>
  <c r="S206" i="4"/>
  <c r="T206" i="4"/>
  <c r="S207" i="4"/>
  <c r="T207" i="4"/>
  <c r="S208" i="4"/>
  <c r="T208" i="4"/>
  <c r="S209" i="4"/>
  <c r="T209" i="4"/>
  <c r="S210" i="4"/>
  <c r="T210" i="4"/>
  <c r="S211" i="4"/>
  <c r="T211" i="4"/>
  <c r="S212" i="4"/>
  <c r="T212" i="4"/>
  <c r="S213" i="4"/>
  <c r="T213" i="4"/>
  <c r="S214" i="4"/>
  <c r="T214" i="4"/>
  <c r="S215" i="4"/>
  <c r="T215" i="4"/>
  <c r="S216" i="4"/>
  <c r="T216" i="4"/>
  <c r="S217" i="4"/>
  <c r="T217" i="4"/>
  <c r="S218" i="4"/>
  <c r="T218" i="4"/>
  <c r="S219" i="4"/>
  <c r="T219" i="4"/>
  <c r="S220" i="4"/>
  <c r="T220" i="4"/>
  <c r="S221" i="4"/>
  <c r="T221" i="4"/>
  <c r="S222" i="4"/>
  <c r="T222" i="4"/>
  <c r="S223" i="4"/>
  <c r="T223" i="4"/>
  <c r="S224" i="4"/>
  <c r="T224" i="4"/>
  <c r="S225" i="4"/>
  <c r="T225" i="4"/>
  <c r="S226" i="4"/>
  <c r="T226" i="4"/>
  <c r="S227" i="4"/>
  <c r="T227" i="4"/>
  <c r="S228" i="4"/>
  <c r="T228" i="4"/>
  <c r="S229" i="4"/>
  <c r="T229" i="4"/>
  <c r="S230" i="4"/>
  <c r="T230" i="4"/>
  <c r="S231" i="4"/>
  <c r="T231" i="4"/>
  <c r="S232" i="4"/>
  <c r="T232" i="4"/>
  <c r="S233" i="4"/>
  <c r="T233" i="4"/>
  <c r="S234" i="4"/>
  <c r="T234" i="4"/>
  <c r="S235" i="4"/>
  <c r="T235" i="4"/>
  <c r="S236" i="4"/>
  <c r="T236" i="4"/>
  <c r="S237" i="4"/>
  <c r="T237" i="4"/>
  <c r="S238" i="4"/>
  <c r="T238" i="4"/>
  <c r="S239" i="4"/>
  <c r="T239" i="4"/>
  <c r="S240" i="4"/>
  <c r="T240" i="4"/>
  <c r="S241" i="4"/>
  <c r="T241" i="4"/>
  <c r="S242" i="4"/>
  <c r="T242" i="4"/>
  <c r="S243" i="4"/>
  <c r="T243" i="4"/>
  <c r="S244" i="4"/>
  <c r="T244" i="4"/>
  <c r="S245" i="4"/>
  <c r="T245" i="4"/>
  <c r="S246" i="4"/>
  <c r="T246" i="4"/>
  <c r="S248" i="4"/>
  <c r="T248" i="4"/>
  <c r="S249" i="4"/>
  <c r="T249" i="4"/>
  <c r="S250" i="4"/>
  <c r="T250" i="4"/>
  <c r="S251" i="4"/>
  <c r="T251" i="4"/>
  <c r="S253" i="4"/>
  <c r="T253" i="4"/>
  <c r="S254" i="4"/>
  <c r="T254" i="4"/>
  <c r="S255" i="4"/>
  <c r="T255" i="4"/>
  <c r="S256" i="4"/>
  <c r="T256" i="4"/>
  <c r="S257" i="4"/>
  <c r="T257" i="4"/>
  <c r="S258" i="4"/>
  <c r="T258" i="4"/>
  <c r="S259" i="4"/>
  <c r="T259" i="4"/>
  <c r="S260" i="4"/>
  <c r="T260" i="4"/>
  <c r="S261" i="4"/>
  <c r="T261" i="4"/>
  <c r="S262" i="4"/>
  <c r="T262" i="4"/>
  <c r="S263" i="4"/>
  <c r="T263" i="4"/>
  <c r="S264" i="4"/>
  <c r="T264" i="4"/>
  <c r="S265" i="4"/>
  <c r="T265" i="4"/>
  <c r="S266" i="4"/>
  <c r="T266" i="4"/>
  <c r="S267" i="4"/>
  <c r="T267" i="4"/>
  <c r="S268" i="4"/>
  <c r="T268" i="4"/>
  <c r="S269" i="4"/>
  <c r="T269" i="4"/>
  <c r="S270" i="4"/>
  <c r="T270" i="4"/>
  <c r="S271" i="4"/>
  <c r="T271" i="4"/>
  <c r="S272" i="4"/>
  <c r="T272" i="4"/>
  <c r="S3" i="4"/>
  <c r="T3" i="4"/>
  <c r="S4" i="4"/>
  <c r="T4" i="4"/>
  <c r="S5" i="4"/>
  <c r="T5" i="4"/>
  <c r="S6" i="4"/>
  <c r="T6" i="4"/>
  <c r="S7" i="4"/>
  <c r="T7" i="4"/>
  <c r="S8" i="4"/>
  <c r="T8" i="4"/>
  <c r="S9" i="4"/>
  <c r="T9" i="4"/>
  <c r="S10" i="4"/>
  <c r="T10" i="4"/>
  <c r="S11" i="4"/>
  <c r="T11" i="4"/>
  <c r="S12" i="4"/>
  <c r="T12" i="4"/>
  <c r="S13" i="4"/>
  <c r="T13" i="4"/>
  <c r="S14" i="4"/>
  <c r="T14" i="4"/>
  <c r="S15" i="4"/>
  <c r="T15" i="4"/>
  <c r="S16" i="4"/>
  <c r="T16" i="4"/>
  <c r="S17" i="4"/>
  <c r="T17" i="4"/>
  <c r="S18" i="4"/>
  <c r="T18" i="4"/>
  <c r="S19" i="4"/>
  <c r="T19" i="4"/>
  <c r="S20" i="4"/>
  <c r="T20" i="4"/>
  <c r="T2" i="4"/>
  <c r="S2" i="4"/>
  <c r="Q19" i="4"/>
  <c r="R19" i="4"/>
  <c r="Q20" i="4"/>
  <c r="R20" i="4"/>
  <c r="Q22" i="4"/>
  <c r="R22" i="4"/>
  <c r="Q23" i="4"/>
  <c r="R23" i="4"/>
  <c r="Q24" i="4"/>
  <c r="R24" i="4"/>
  <c r="Q25" i="4"/>
  <c r="R25" i="4"/>
  <c r="Q26" i="4"/>
  <c r="R26" i="4"/>
  <c r="Q27" i="4"/>
  <c r="R27" i="4"/>
  <c r="Q28" i="4"/>
  <c r="R28" i="4"/>
  <c r="Q29" i="4"/>
  <c r="R29" i="4"/>
  <c r="Q30" i="4"/>
  <c r="R30" i="4"/>
  <c r="Q31" i="4"/>
  <c r="R31" i="4"/>
  <c r="Q32" i="4"/>
  <c r="R32" i="4"/>
  <c r="Q33" i="4"/>
  <c r="R33" i="4"/>
  <c r="Q34" i="4"/>
  <c r="R34" i="4"/>
  <c r="Q35" i="4"/>
  <c r="R35" i="4"/>
  <c r="Q36" i="4"/>
  <c r="R36" i="4"/>
  <c r="Q37" i="4"/>
  <c r="R37" i="4"/>
  <c r="Q38" i="4"/>
  <c r="R38" i="4"/>
  <c r="Q39" i="4"/>
  <c r="R39" i="4"/>
  <c r="Q40" i="4"/>
  <c r="R40" i="4"/>
  <c r="Q41" i="4"/>
  <c r="R41" i="4"/>
  <c r="Q42" i="4"/>
  <c r="R42" i="4"/>
  <c r="Q43" i="4"/>
  <c r="R43" i="4"/>
  <c r="Q44" i="4"/>
  <c r="R44" i="4"/>
  <c r="Q45" i="4"/>
  <c r="R45" i="4"/>
  <c r="Q46" i="4"/>
  <c r="R46" i="4"/>
  <c r="Q47" i="4"/>
  <c r="R47" i="4"/>
  <c r="Q48" i="4"/>
  <c r="R48" i="4"/>
  <c r="Q49" i="4"/>
  <c r="R49" i="4"/>
  <c r="Q50" i="4"/>
  <c r="R50" i="4"/>
  <c r="Q51" i="4"/>
  <c r="R51" i="4"/>
  <c r="Q52" i="4"/>
  <c r="R52" i="4"/>
  <c r="Q53" i="4"/>
  <c r="R53" i="4"/>
  <c r="Q54" i="4"/>
  <c r="R54" i="4"/>
  <c r="Q55" i="4"/>
  <c r="R55" i="4"/>
  <c r="Q56" i="4"/>
  <c r="R56" i="4"/>
  <c r="Q57" i="4"/>
  <c r="R57" i="4"/>
  <c r="Q58" i="4"/>
  <c r="R58" i="4"/>
  <c r="Q59" i="4"/>
  <c r="R59" i="4"/>
  <c r="Q60" i="4"/>
  <c r="R60" i="4"/>
  <c r="Q61" i="4"/>
  <c r="R61" i="4"/>
  <c r="Q62" i="4"/>
  <c r="R62" i="4"/>
  <c r="Q63" i="4"/>
  <c r="R63" i="4"/>
  <c r="Q64" i="4"/>
  <c r="R64" i="4"/>
  <c r="Q65" i="4"/>
  <c r="R65" i="4"/>
  <c r="Q66" i="4"/>
  <c r="R66" i="4"/>
  <c r="Q67" i="4"/>
  <c r="R67" i="4"/>
  <c r="Q68" i="4"/>
  <c r="R68" i="4"/>
  <c r="Q69" i="4"/>
  <c r="R69" i="4"/>
  <c r="Q70" i="4"/>
  <c r="R70" i="4"/>
  <c r="Q71" i="4"/>
  <c r="R71" i="4"/>
  <c r="Q72" i="4"/>
  <c r="R72" i="4"/>
  <c r="Q73" i="4"/>
  <c r="R73" i="4"/>
  <c r="Q74" i="4"/>
  <c r="R74" i="4"/>
  <c r="Q75" i="4"/>
  <c r="R75" i="4"/>
  <c r="Q76" i="4"/>
  <c r="R76" i="4"/>
  <c r="Q77" i="4"/>
  <c r="R77" i="4"/>
  <c r="Q78" i="4"/>
  <c r="R78" i="4"/>
  <c r="Q79" i="4"/>
  <c r="R79" i="4"/>
  <c r="Q80" i="4"/>
  <c r="R80" i="4"/>
  <c r="Q81" i="4"/>
  <c r="R81" i="4"/>
  <c r="Q82" i="4"/>
  <c r="R82" i="4"/>
  <c r="Q83" i="4"/>
  <c r="R83" i="4"/>
  <c r="Q84" i="4"/>
  <c r="R84" i="4"/>
  <c r="Q85" i="4"/>
  <c r="R85" i="4"/>
  <c r="Q86" i="4"/>
  <c r="R86" i="4"/>
  <c r="Q87" i="4"/>
  <c r="R87" i="4"/>
  <c r="Q88" i="4"/>
  <c r="R88" i="4"/>
  <c r="Q89" i="4"/>
  <c r="R89" i="4"/>
  <c r="Q90" i="4"/>
  <c r="R90" i="4"/>
  <c r="Q91" i="4"/>
  <c r="R91" i="4"/>
  <c r="Q92" i="4"/>
  <c r="R92" i="4"/>
  <c r="Q93" i="4"/>
  <c r="R93" i="4"/>
  <c r="Q94" i="4"/>
  <c r="R94" i="4"/>
  <c r="Q95" i="4"/>
  <c r="R95" i="4"/>
  <c r="Q97" i="4"/>
  <c r="R97" i="4"/>
  <c r="Q98" i="4"/>
  <c r="R98" i="4"/>
  <c r="Q99" i="4"/>
  <c r="R99" i="4"/>
  <c r="Q100" i="4"/>
  <c r="R100" i="4"/>
  <c r="Q101" i="4"/>
  <c r="R101" i="4"/>
  <c r="Q102" i="4"/>
  <c r="R102" i="4"/>
  <c r="Q103" i="4"/>
  <c r="R103" i="4"/>
  <c r="Q104" i="4"/>
  <c r="R104" i="4"/>
  <c r="Q105" i="4"/>
  <c r="R105" i="4"/>
  <c r="Q106" i="4"/>
  <c r="R106" i="4"/>
  <c r="Q107" i="4"/>
  <c r="R107" i="4"/>
  <c r="Q108" i="4"/>
  <c r="R108" i="4"/>
  <c r="Q109" i="4"/>
  <c r="R109" i="4"/>
  <c r="Q110" i="4"/>
  <c r="R110" i="4"/>
  <c r="Q111" i="4"/>
  <c r="R111" i="4"/>
  <c r="Q112" i="4"/>
  <c r="R112" i="4"/>
  <c r="Q113" i="4"/>
  <c r="R113" i="4"/>
  <c r="Q114" i="4"/>
  <c r="R114" i="4"/>
  <c r="Q115" i="4"/>
  <c r="R115" i="4"/>
  <c r="Q117" i="4"/>
  <c r="R117" i="4"/>
  <c r="Q118" i="4"/>
  <c r="R118" i="4"/>
  <c r="Q119" i="4"/>
  <c r="R119" i="4"/>
  <c r="Q120" i="4"/>
  <c r="R120" i="4"/>
  <c r="Q121" i="4"/>
  <c r="R121" i="4"/>
  <c r="Q122" i="4"/>
  <c r="R122" i="4"/>
  <c r="Q123" i="4"/>
  <c r="R123" i="4"/>
  <c r="Q124" i="4"/>
  <c r="R124" i="4"/>
  <c r="Q125" i="4"/>
  <c r="R125" i="4"/>
  <c r="Q126" i="4"/>
  <c r="R126" i="4"/>
  <c r="Q127" i="4"/>
  <c r="R127" i="4"/>
  <c r="Q128" i="4"/>
  <c r="R128" i="4"/>
  <c r="Q129" i="4"/>
  <c r="R129" i="4"/>
  <c r="Q130" i="4"/>
  <c r="R130" i="4"/>
  <c r="Q131" i="4"/>
  <c r="R131" i="4"/>
  <c r="Q132" i="4"/>
  <c r="R132" i="4"/>
  <c r="Q133" i="4"/>
  <c r="R133" i="4"/>
  <c r="Q134" i="4"/>
  <c r="R134" i="4"/>
  <c r="Q135" i="4"/>
  <c r="R135" i="4"/>
  <c r="Q136" i="4"/>
  <c r="R136" i="4"/>
  <c r="Q137" i="4"/>
  <c r="R137" i="4"/>
  <c r="Q138" i="4"/>
  <c r="R138" i="4"/>
  <c r="Q139" i="4"/>
  <c r="R139" i="4"/>
  <c r="Q140" i="4"/>
  <c r="R140" i="4"/>
  <c r="Q141" i="4"/>
  <c r="R141" i="4"/>
  <c r="Q142" i="4"/>
  <c r="R142" i="4"/>
  <c r="Q143" i="4"/>
  <c r="R143" i="4"/>
  <c r="Q144" i="4"/>
  <c r="R144" i="4"/>
  <c r="Q145" i="4"/>
  <c r="R145" i="4"/>
  <c r="Q146" i="4"/>
  <c r="R146" i="4"/>
  <c r="Q147" i="4"/>
  <c r="R147" i="4"/>
  <c r="Q148" i="4"/>
  <c r="R148" i="4"/>
  <c r="Q149" i="4"/>
  <c r="R149" i="4"/>
  <c r="Q150" i="4"/>
  <c r="R150" i="4"/>
  <c r="Q151" i="4"/>
  <c r="R151" i="4"/>
  <c r="Q152" i="4"/>
  <c r="R152" i="4"/>
  <c r="Q153" i="4"/>
  <c r="R153" i="4"/>
  <c r="Q154" i="4"/>
  <c r="R154" i="4"/>
  <c r="Q155" i="4"/>
  <c r="R155" i="4"/>
  <c r="Q156" i="4"/>
  <c r="R156" i="4"/>
  <c r="Q157" i="4"/>
  <c r="R157" i="4"/>
  <c r="Q158" i="4"/>
  <c r="R158" i="4"/>
  <c r="Q159" i="4"/>
  <c r="R159" i="4"/>
  <c r="Q160" i="4"/>
  <c r="R160" i="4"/>
  <c r="Q161" i="4"/>
  <c r="R161" i="4"/>
  <c r="Q162" i="4"/>
  <c r="R162" i="4"/>
  <c r="Q163" i="4"/>
  <c r="R163" i="4"/>
  <c r="Q164" i="4"/>
  <c r="R164" i="4"/>
  <c r="Q165" i="4"/>
  <c r="R165" i="4"/>
  <c r="Q167" i="4"/>
  <c r="R167" i="4"/>
  <c r="Q168" i="4"/>
  <c r="R168" i="4"/>
  <c r="Q169" i="4"/>
  <c r="R169" i="4"/>
  <c r="Q170" i="4"/>
  <c r="R170" i="4"/>
  <c r="Q171" i="4"/>
  <c r="R171" i="4"/>
  <c r="Q172" i="4"/>
  <c r="R172" i="4"/>
  <c r="Q173" i="4"/>
  <c r="R173" i="4"/>
  <c r="Q174" i="4"/>
  <c r="R174" i="4"/>
  <c r="Q175" i="4"/>
  <c r="R175" i="4"/>
  <c r="Q176" i="4"/>
  <c r="R176" i="4"/>
  <c r="Q177" i="4"/>
  <c r="R177" i="4"/>
  <c r="Q178" i="4"/>
  <c r="R178" i="4"/>
  <c r="Q179" i="4"/>
  <c r="R179" i="4"/>
  <c r="Q180" i="4"/>
  <c r="R180" i="4"/>
  <c r="Q181" i="4"/>
  <c r="R181" i="4"/>
  <c r="Q182" i="4"/>
  <c r="R182" i="4"/>
  <c r="Q183" i="4"/>
  <c r="R183" i="4"/>
  <c r="Q184" i="4"/>
  <c r="R184" i="4"/>
  <c r="Q185" i="4"/>
  <c r="R185" i="4"/>
  <c r="Q186" i="4"/>
  <c r="R186" i="4"/>
  <c r="Q187" i="4"/>
  <c r="R187" i="4"/>
  <c r="Q188" i="4"/>
  <c r="R188" i="4"/>
  <c r="Q189" i="4"/>
  <c r="R189" i="4"/>
  <c r="Q190" i="4"/>
  <c r="R190" i="4"/>
  <c r="Q191" i="4"/>
  <c r="R191" i="4"/>
  <c r="Q192" i="4"/>
  <c r="R192" i="4"/>
  <c r="Q193" i="4"/>
  <c r="R193" i="4"/>
  <c r="Q194" i="4"/>
  <c r="R194" i="4"/>
  <c r="Q195" i="4"/>
  <c r="R195" i="4"/>
  <c r="Q196" i="4"/>
  <c r="R196" i="4"/>
  <c r="Q197" i="4"/>
  <c r="R197" i="4"/>
  <c r="Q198" i="4"/>
  <c r="R198" i="4"/>
  <c r="Q199" i="4"/>
  <c r="R199" i="4"/>
  <c r="Q200" i="4"/>
  <c r="R200" i="4"/>
  <c r="Q201" i="4"/>
  <c r="R201" i="4"/>
  <c r="Q202" i="4"/>
  <c r="R202" i="4"/>
  <c r="Q203" i="4"/>
  <c r="R203" i="4"/>
  <c r="Q204" i="4"/>
  <c r="R204" i="4"/>
  <c r="Q205" i="4"/>
  <c r="R205" i="4"/>
  <c r="Q206" i="4"/>
  <c r="R206" i="4"/>
  <c r="Q207" i="4"/>
  <c r="R207" i="4"/>
  <c r="Q208" i="4"/>
  <c r="R208" i="4"/>
  <c r="Q209" i="4"/>
  <c r="R209" i="4"/>
  <c r="Q210" i="4"/>
  <c r="R210" i="4"/>
  <c r="Q211" i="4"/>
  <c r="R211" i="4"/>
  <c r="Q212" i="4"/>
  <c r="R212" i="4"/>
  <c r="Q213" i="4"/>
  <c r="R213" i="4"/>
  <c r="Q214" i="4"/>
  <c r="R214" i="4"/>
  <c r="Q215" i="4"/>
  <c r="R215" i="4"/>
  <c r="Q216" i="4"/>
  <c r="R216" i="4"/>
  <c r="Q217" i="4"/>
  <c r="R217" i="4"/>
  <c r="Q218" i="4"/>
  <c r="R218" i="4"/>
  <c r="Q219" i="4"/>
  <c r="R219" i="4"/>
  <c r="Q220" i="4"/>
  <c r="R220" i="4"/>
  <c r="Q221" i="4"/>
  <c r="R221" i="4"/>
  <c r="Q222" i="4"/>
  <c r="R222" i="4"/>
  <c r="Q223" i="4"/>
  <c r="R223" i="4"/>
  <c r="Q224" i="4"/>
  <c r="R224" i="4"/>
  <c r="Q225" i="4"/>
  <c r="R225" i="4"/>
  <c r="Q226" i="4"/>
  <c r="R226" i="4"/>
  <c r="Q227" i="4"/>
  <c r="R227" i="4"/>
  <c r="Q228" i="4"/>
  <c r="R228" i="4"/>
  <c r="Q229" i="4"/>
  <c r="R229" i="4"/>
  <c r="Q230" i="4"/>
  <c r="R230" i="4"/>
  <c r="Q231" i="4"/>
  <c r="R231" i="4"/>
  <c r="Q232" i="4"/>
  <c r="R232" i="4"/>
  <c r="Q233" i="4"/>
  <c r="R233" i="4"/>
  <c r="Q234" i="4"/>
  <c r="R234" i="4"/>
  <c r="Q235" i="4"/>
  <c r="R235" i="4"/>
  <c r="Q236" i="4"/>
  <c r="R236" i="4"/>
  <c r="Q237" i="4"/>
  <c r="R237" i="4"/>
  <c r="Q238" i="4"/>
  <c r="R238" i="4"/>
  <c r="Q239" i="4"/>
  <c r="R239" i="4"/>
  <c r="Q240" i="4"/>
  <c r="R240" i="4"/>
  <c r="Q241" i="4"/>
  <c r="R241" i="4"/>
  <c r="Q242" i="4"/>
  <c r="R242" i="4"/>
  <c r="Q243" i="4"/>
  <c r="R243" i="4"/>
  <c r="Q244" i="4"/>
  <c r="R244" i="4"/>
  <c r="Q245" i="4"/>
  <c r="R245" i="4"/>
  <c r="Q246" i="4"/>
  <c r="R246" i="4"/>
  <c r="Q248" i="4"/>
  <c r="R248" i="4"/>
  <c r="Q249" i="4"/>
  <c r="R249" i="4"/>
  <c r="Q250" i="4"/>
  <c r="R250" i="4"/>
  <c r="Q251" i="4"/>
  <c r="R251" i="4"/>
  <c r="Q253" i="4"/>
  <c r="R253" i="4"/>
  <c r="Q254" i="4"/>
  <c r="R254" i="4"/>
  <c r="Q255" i="4"/>
  <c r="R255" i="4"/>
  <c r="Q256" i="4"/>
  <c r="R256" i="4"/>
  <c r="Q257" i="4"/>
  <c r="R257" i="4"/>
  <c r="Q258" i="4"/>
  <c r="R258" i="4"/>
  <c r="Q259" i="4"/>
  <c r="R259" i="4"/>
  <c r="Q260" i="4"/>
  <c r="R260" i="4"/>
  <c r="Q261" i="4"/>
  <c r="R261" i="4"/>
  <c r="Q262" i="4"/>
  <c r="R262" i="4"/>
  <c r="Q263" i="4"/>
  <c r="R263" i="4"/>
  <c r="Q264" i="4"/>
  <c r="R264" i="4"/>
  <c r="Q265" i="4"/>
  <c r="R265" i="4"/>
  <c r="Q266" i="4"/>
  <c r="R266" i="4"/>
  <c r="Q267" i="4"/>
  <c r="R267" i="4"/>
  <c r="Q268" i="4"/>
  <c r="R268" i="4"/>
  <c r="Q269" i="4"/>
  <c r="R269" i="4"/>
  <c r="Q270" i="4"/>
  <c r="R270" i="4"/>
  <c r="Q271" i="4"/>
  <c r="R271" i="4"/>
  <c r="Q272" i="4"/>
  <c r="R272" i="4"/>
  <c r="Q3" i="4"/>
  <c r="R3" i="4"/>
  <c r="Q4" i="4"/>
  <c r="R4" i="4"/>
  <c r="Q5" i="4"/>
  <c r="R5" i="4"/>
  <c r="Q6" i="4"/>
  <c r="R6" i="4"/>
  <c r="Q7" i="4"/>
  <c r="R7" i="4"/>
  <c r="Q8" i="4"/>
  <c r="R8" i="4"/>
  <c r="Q9" i="4"/>
  <c r="R9" i="4"/>
  <c r="Q10" i="4"/>
  <c r="R10" i="4"/>
  <c r="Q11" i="4"/>
  <c r="R11" i="4"/>
  <c r="Q12" i="4"/>
  <c r="R12" i="4"/>
  <c r="Q13" i="4"/>
  <c r="R13" i="4"/>
  <c r="Q14" i="4"/>
  <c r="R14" i="4"/>
  <c r="Q15" i="4"/>
  <c r="R15" i="4"/>
  <c r="Q16" i="4"/>
  <c r="R16" i="4"/>
  <c r="Q17" i="4"/>
  <c r="R17" i="4"/>
  <c r="Q18" i="4"/>
  <c r="R18" i="4"/>
  <c r="R2" i="4"/>
  <c r="Q2" i="4"/>
  <c r="N3" i="6"/>
  <c r="O3" i="6"/>
  <c r="N4" i="6"/>
  <c r="O4" i="6"/>
  <c r="N5" i="6"/>
  <c r="O5" i="6"/>
  <c r="N6" i="6"/>
  <c r="O6" i="6"/>
  <c r="N7" i="6"/>
  <c r="O7" i="6"/>
  <c r="N8" i="6"/>
  <c r="O8" i="6"/>
  <c r="N9" i="6"/>
  <c r="O9" i="6"/>
  <c r="N10" i="6"/>
  <c r="O10" i="6"/>
  <c r="N11" i="6"/>
  <c r="O11" i="6"/>
  <c r="O2" i="6"/>
  <c r="N2" i="6"/>
  <c r="L3" i="6"/>
  <c r="M3" i="6"/>
  <c r="L4" i="6"/>
  <c r="M4" i="6"/>
  <c r="L5" i="6"/>
  <c r="M5" i="6"/>
  <c r="L6" i="6"/>
  <c r="M6" i="6"/>
  <c r="L7" i="6"/>
  <c r="M7" i="6"/>
  <c r="L8" i="6"/>
  <c r="M8" i="6"/>
  <c r="L9" i="6"/>
  <c r="M9" i="6"/>
  <c r="L10" i="6"/>
  <c r="M10" i="6"/>
  <c r="L11" i="6"/>
  <c r="M11" i="6"/>
  <c r="M2" i="6"/>
  <c r="L2" i="6"/>
  <c r="O3" i="11"/>
  <c r="P3" i="11"/>
  <c r="O4" i="11"/>
  <c r="P4" i="11"/>
  <c r="O5" i="11"/>
  <c r="P5" i="11"/>
  <c r="O6" i="11"/>
  <c r="P6" i="11"/>
  <c r="O7" i="11"/>
  <c r="P7" i="11"/>
  <c r="O8" i="11"/>
  <c r="P8" i="11"/>
  <c r="O9" i="11"/>
  <c r="P9" i="11"/>
  <c r="O10" i="11"/>
  <c r="P10" i="11"/>
  <c r="O11" i="11"/>
  <c r="P11" i="11"/>
  <c r="O12" i="11"/>
  <c r="P12" i="11"/>
  <c r="O13" i="11"/>
  <c r="P13" i="11"/>
  <c r="O14" i="11"/>
  <c r="P14" i="11"/>
  <c r="O15" i="11"/>
  <c r="P15" i="11"/>
  <c r="O16" i="11"/>
  <c r="P16" i="11"/>
  <c r="O17" i="11"/>
  <c r="P17" i="11"/>
  <c r="O18" i="11"/>
  <c r="P18" i="11"/>
  <c r="O19" i="11"/>
  <c r="P19" i="11"/>
  <c r="O20" i="11"/>
  <c r="P20" i="11"/>
  <c r="O21" i="11"/>
  <c r="P21" i="11"/>
  <c r="O22" i="11"/>
  <c r="P22" i="11"/>
  <c r="O23" i="11"/>
  <c r="P23" i="11"/>
  <c r="O24" i="11"/>
  <c r="P24" i="11"/>
  <c r="O25" i="11"/>
  <c r="P25" i="11"/>
  <c r="O26" i="11"/>
  <c r="P26" i="11"/>
  <c r="O27" i="11"/>
  <c r="P27" i="11"/>
  <c r="O28" i="11"/>
  <c r="P28" i="11"/>
  <c r="O29" i="11"/>
  <c r="P29" i="11"/>
  <c r="O30" i="11"/>
  <c r="P30" i="11"/>
  <c r="O31" i="11"/>
  <c r="P31" i="11"/>
  <c r="O32" i="11"/>
  <c r="P32" i="11"/>
  <c r="O33" i="11"/>
  <c r="P33" i="11"/>
  <c r="O34" i="11"/>
  <c r="P34" i="11"/>
  <c r="O35" i="11"/>
  <c r="P35" i="11"/>
  <c r="O36" i="11"/>
  <c r="P36" i="11"/>
  <c r="O37" i="11"/>
  <c r="P37" i="11"/>
  <c r="O38" i="11"/>
  <c r="P38" i="11"/>
  <c r="O39" i="11"/>
  <c r="P39" i="11"/>
  <c r="O40" i="11"/>
  <c r="P40" i="11"/>
  <c r="O41" i="11"/>
  <c r="P41" i="11"/>
  <c r="O42" i="11"/>
  <c r="P42" i="11"/>
  <c r="O43" i="11"/>
  <c r="P43" i="11"/>
  <c r="O44" i="11"/>
  <c r="P44" i="11"/>
  <c r="O45" i="11"/>
  <c r="P45" i="11"/>
  <c r="O46" i="11"/>
  <c r="P46" i="11"/>
  <c r="O47" i="11"/>
  <c r="P47" i="11"/>
  <c r="O48" i="11"/>
  <c r="P48" i="11"/>
  <c r="O49" i="11"/>
  <c r="P49" i="11"/>
  <c r="O50" i="11"/>
  <c r="P50" i="11"/>
  <c r="O51" i="11"/>
  <c r="P51" i="11"/>
  <c r="M3" i="11"/>
  <c r="N3" i="11"/>
  <c r="M4" i="11"/>
  <c r="N4" i="11"/>
  <c r="M5" i="11"/>
  <c r="N5" i="11"/>
  <c r="M6" i="11"/>
  <c r="N6" i="11"/>
  <c r="M7" i="11"/>
  <c r="N7" i="11"/>
  <c r="M8" i="11"/>
  <c r="N8" i="11"/>
  <c r="M9" i="11"/>
  <c r="N9" i="11"/>
  <c r="M10" i="11"/>
  <c r="N10" i="11"/>
  <c r="M11" i="11"/>
  <c r="N11" i="11"/>
  <c r="M12" i="11"/>
  <c r="N12" i="11"/>
  <c r="M13" i="11"/>
  <c r="N13" i="11"/>
  <c r="M14" i="11"/>
  <c r="N14" i="11"/>
  <c r="M15" i="11"/>
  <c r="N15" i="11"/>
  <c r="M16" i="11"/>
  <c r="N16" i="11"/>
  <c r="M17" i="11"/>
  <c r="N17" i="11"/>
  <c r="M18" i="11"/>
  <c r="N18" i="11"/>
  <c r="M19" i="11"/>
  <c r="N19" i="11"/>
  <c r="M20" i="11"/>
  <c r="N20" i="11"/>
  <c r="M21" i="11"/>
  <c r="N21" i="11"/>
  <c r="M22" i="11"/>
  <c r="N22" i="11"/>
  <c r="M23" i="11"/>
  <c r="N23" i="11"/>
  <c r="M24" i="11"/>
  <c r="N24" i="11"/>
  <c r="M25" i="11"/>
  <c r="N25" i="11"/>
  <c r="M26" i="11"/>
  <c r="N26" i="11"/>
  <c r="M27" i="11"/>
  <c r="N27" i="11"/>
  <c r="M28" i="11"/>
  <c r="N28" i="11"/>
  <c r="M29" i="11"/>
  <c r="N29" i="11"/>
  <c r="M30" i="11"/>
  <c r="N30" i="11"/>
  <c r="M31" i="11"/>
  <c r="N31" i="11"/>
  <c r="M32" i="11"/>
  <c r="N32" i="11"/>
  <c r="M33" i="11"/>
  <c r="N33" i="11"/>
  <c r="M34" i="11"/>
  <c r="N34" i="11"/>
  <c r="M35" i="11"/>
  <c r="N35" i="11"/>
  <c r="M36" i="11"/>
  <c r="N36" i="11"/>
  <c r="M37" i="11"/>
  <c r="N37" i="11"/>
  <c r="M38" i="11"/>
  <c r="N38" i="11"/>
  <c r="M39" i="11"/>
  <c r="N39" i="11"/>
  <c r="M40" i="11"/>
  <c r="N40" i="11"/>
  <c r="M41" i="11"/>
  <c r="N41" i="11"/>
  <c r="M42" i="11"/>
  <c r="N42" i="11"/>
  <c r="M43" i="11"/>
  <c r="N43" i="11"/>
  <c r="M44" i="11"/>
  <c r="N44" i="11"/>
  <c r="M45" i="11"/>
  <c r="N45" i="11"/>
  <c r="M46" i="11"/>
  <c r="N46" i="11"/>
  <c r="M47" i="11"/>
  <c r="N47" i="11"/>
  <c r="M48" i="11"/>
  <c r="N48" i="11"/>
  <c r="M49" i="11"/>
  <c r="N49" i="11"/>
  <c r="M50" i="11"/>
  <c r="N50" i="11"/>
  <c r="M51" i="11"/>
  <c r="N51" i="11"/>
  <c r="O2" i="11"/>
  <c r="P2" i="11"/>
  <c r="N2" i="11"/>
  <c r="M2" i="11"/>
  <c r="U11" i="2"/>
  <c r="U12" i="2"/>
  <c r="U13" i="2"/>
  <c r="V13" i="2" s="1"/>
  <c r="U14" i="2"/>
  <c r="V14" i="2" s="1"/>
  <c r="U16" i="2"/>
  <c r="V16" i="2" s="1"/>
  <c r="U17" i="2"/>
  <c r="U18" i="2"/>
  <c r="U19" i="2"/>
  <c r="U20" i="2"/>
  <c r="U21" i="2"/>
  <c r="V21" i="2" s="1"/>
  <c r="U22" i="2"/>
  <c r="V22" i="2" s="1"/>
  <c r="U23" i="2"/>
  <c r="U24" i="2"/>
  <c r="V24" i="2" s="1"/>
  <c r="U25" i="2"/>
  <c r="V25" i="2" s="1"/>
  <c r="U26" i="2"/>
  <c r="V26" i="2" s="1"/>
  <c r="U27" i="2"/>
  <c r="U28" i="2"/>
  <c r="U29" i="2"/>
  <c r="V29" i="2" s="1"/>
  <c r="U30" i="2"/>
  <c r="V30" i="2" s="1"/>
  <c r="U31" i="2"/>
  <c r="U3" i="2"/>
  <c r="U4" i="2"/>
  <c r="V4" i="2" s="1"/>
  <c r="U5" i="2"/>
  <c r="U6" i="2"/>
  <c r="U7" i="2"/>
  <c r="U8" i="2"/>
  <c r="U9" i="2"/>
  <c r="U2" i="2"/>
  <c r="V3" i="2"/>
  <c r="V5" i="2"/>
  <c r="V6" i="2"/>
  <c r="V7" i="2"/>
  <c r="V8" i="2"/>
  <c r="V9" i="2"/>
  <c r="V11" i="2"/>
  <c r="V12" i="2"/>
  <c r="V17" i="2"/>
  <c r="V18" i="2"/>
  <c r="V19" i="2"/>
  <c r="V20" i="2"/>
  <c r="V23" i="2"/>
  <c r="V27" i="2"/>
  <c r="V28" i="2"/>
  <c r="V31" i="2"/>
  <c r="V2" i="2"/>
  <c r="T12" i="2"/>
  <c r="T13" i="2"/>
  <c r="T14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" i="2"/>
  <c r="T4" i="2"/>
  <c r="T5" i="2"/>
  <c r="T6" i="2"/>
  <c r="T7" i="2"/>
  <c r="T8" i="2"/>
  <c r="T9" i="2"/>
  <c r="T11" i="2"/>
  <c r="T2" i="2"/>
  <c r="I3" i="10"/>
  <c r="I4" i="10"/>
  <c r="I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2" i="10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2" i="10"/>
  <c r="F3" i="10"/>
  <c r="G3" i="10"/>
  <c r="F4" i="10"/>
  <c r="G4" i="10"/>
  <c r="F5" i="10"/>
  <c r="G5" i="10"/>
  <c r="F6" i="10"/>
  <c r="G6" i="10"/>
  <c r="F7" i="10"/>
  <c r="G7" i="10"/>
  <c r="F8" i="10"/>
  <c r="G8" i="10"/>
  <c r="F9" i="10"/>
  <c r="G9" i="10"/>
  <c r="F10" i="10"/>
  <c r="G10" i="10"/>
  <c r="F11" i="10"/>
  <c r="G11" i="10"/>
  <c r="F12" i="10"/>
  <c r="G12" i="10"/>
  <c r="F13" i="10"/>
  <c r="G13" i="10"/>
  <c r="F14" i="10"/>
  <c r="G14" i="10"/>
  <c r="F15" i="10"/>
  <c r="G15" i="10"/>
  <c r="F16" i="10"/>
  <c r="G16" i="10"/>
  <c r="F17" i="10"/>
  <c r="G17" i="10"/>
  <c r="F18" i="10"/>
  <c r="G18" i="10"/>
  <c r="F19" i="10"/>
  <c r="G19" i="10"/>
  <c r="F20" i="10"/>
  <c r="G20" i="10"/>
  <c r="F21" i="10"/>
  <c r="G21" i="10"/>
  <c r="F22" i="10"/>
  <c r="G22" i="10"/>
  <c r="F23" i="10"/>
  <c r="G23" i="10"/>
  <c r="F24" i="10"/>
  <c r="G24" i="10"/>
  <c r="F25" i="10"/>
  <c r="G25" i="10"/>
  <c r="F26" i="10"/>
  <c r="G26" i="10"/>
  <c r="F27" i="10"/>
  <c r="G27" i="10"/>
  <c r="F28" i="10"/>
  <c r="G28" i="10"/>
  <c r="F29" i="10"/>
  <c r="G29" i="10"/>
  <c r="F30" i="10"/>
  <c r="G30" i="10"/>
  <c r="F31" i="10"/>
  <c r="G31" i="10"/>
  <c r="G2" i="10"/>
  <c r="F2" i="10"/>
  <c r="L3" i="9"/>
  <c r="L4" i="9"/>
  <c r="L5" i="9"/>
  <c r="L6" i="9"/>
  <c r="L7" i="9"/>
  <c r="L2" i="9"/>
  <c r="K3" i="9"/>
  <c r="K4" i="9"/>
  <c r="K5" i="9"/>
  <c r="K6" i="9"/>
  <c r="K7" i="9"/>
  <c r="K8" i="9"/>
  <c r="K9" i="9"/>
  <c r="K10" i="9"/>
  <c r="K11" i="9"/>
  <c r="K12" i="9"/>
  <c r="K13" i="9"/>
  <c r="K14" i="9"/>
  <c r="K15" i="9"/>
  <c r="J3" i="9"/>
  <c r="J4" i="9"/>
  <c r="J5" i="9"/>
  <c r="J6" i="9"/>
  <c r="J7" i="9"/>
  <c r="J8" i="9"/>
  <c r="J9" i="9"/>
  <c r="J10" i="9"/>
  <c r="J11" i="9"/>
  <c r="J12" i="9"/>
  <c r="J13" i="9"/>
  <c r="J14" i="9"/>
  <c r="J15" i="9"/>
  <c r="K2" i="9"/>
  <c r="J2" i="9"/>
  <c r="G8" i="9"/>
  <c r="C8" i="9"/>
  <c r="C2" i="9"/>
  <c r="J3" i="1"/>
  <c r="K3" i="1" s="1"/>
  <c r="J4" i="1"/>
  <c r="K4" i="1"/>
  <c r="J5" i="1"/>
  <c r="K5" i="1" s="1"/>
  <c r="J6" i="1"/>
  <c r="K6" i="1" s="1"/>
  <c r="J7" i="1"/>
  <c r="K7" i="1" s="1"/>
  <c r="J8" i="1"/>
  <c r="K8" i="1" s="1"/>
  <c r="J9" i="1"/>
  <c r="K9" i="1"/>
  <c r="J10" i="1"/>
  <c r="K10" i="1"/>
  <c r="J11" i="1"/>
  <c r="K11" i="1" s="1"/>
  <c r="J12" i="1"/>
  <c r="K12" i="1"/>
  <c r="J13" i="1"/>
  <c r="K13" i="1" s="1"/>
  <c r="J14" i="1"/>
  <c r="K14" i="1" s="1"/>
  <c r="J15" i="1"/>
  <c r="K15" i="1" s="1"/>
  <c r="J16" i="1"/>
  <c r="K16" i="1" s="1"/>
  <c r="J17" i="1"/>
  <c r="K17" i="1"/>
  <c r="J18" i="1"/>
  <c r="K18" i="1"/>
  <c r="J19" i="1"/>
  <c r="K19" i="1" s="1"/>
  <c r="J20" i="1"/>
  <c r="K20" i="1"/>
  <c r="J21" i="1"/>
  <c r="K21" i="1" s="1"/>
  <c r="J22" i="1"/>
  <c r="K22" i="1" s="1"/>
  <c r="J23" i="1"/>
  <c r="K23" i="1" s="1"/>
  <c r="J24" i="1"/>
  <c r="K24" i="1" s="1"/>
  <c r="J25" i="1"/>
  <c r="K25" i="1"/>
  <c r="J26" i="1"/>
  <c r="K26" i="1"/>
  <c r="J27" i="1"/>
  <c r="K27" i="1" s="1"/>
  <c r="J28" i="1"/>
  <c r="K28" i="1"/>
  <c r="J29" i="1"/>
  <c r="K29" i="1" s="1"/>
  <c r="J30" i="1"/>
  <c r="K30" i="1" s="1"/>
  <c r="J31" i="1"/>
  <c r="K31" i="1" s="1"/>
  <c r="J32" i="1"/>
  <c r="K32" i="1" s="1"/>
  <c r="J33" i="1"/>
  <c r="K33" i="1"/>
  <c r="J34" i="1"/>
  <c r="K34" i="1"/>
  <c r="J35" i="1"/>
  <c r="K35" i="1" s="1"/>
  <c r="J36" i="1"/>
  <c r="K36" i="1"/>
  <c r="J37" i="1"/>
  <c r="K37" i="1" s="1"/>
  <c r="J38" i="1"/>
  <c r="K38" i="1" s="1"/>
  <c r="J39" i="1"/>
  <c r="K39" i="1" s="1"/>
  <c r="J40" i="1"/>
  <c r="K40" i="1" s="1"/>
  <c r="J41" i="1"/>
  <c r="K41" i="1"/>
  <c r="J42" i="1"/>
  <c r="K42" i="1"/>
  <c r="J43" i="1"/>
  <c r="K43" i="1" s="1"/>
  <c r="J44" i="1"/>
  <c r="K44" i="1"/>
  <c r="J45" i="1"/>
  <c r="K45" i="1" s="1"/>
  <c r="J46" i="1"/>
  <c r="K46" i="1" s="1"/>
  <c r="J47" i="1"/>
  <c r="K47" i="1" s="1"/>
  <c r="J48" i="1"/>
  <c r="K48" i="1" s="1"/>
  <c r="J49" i="1"/>
  <c r="K49" i="1"/>
  <c r="J50" i="1"/>
  <c r="K50" i="1"/>
  <c r="J51" i="1"/>
  <c r="K51" i="1" s="1"/>
  <c r="J52" i="1"/>
  <c r="K52" i="1"/>
  <c r="J53" i="1"/>
  <c r="K53" i="1" s="1"/>
  <c r="J54" i="1"/>
  <c r="K54" i="1" s="1"/>
  <c r="J55" i="1"/>
  <c r="K55" i="1" s="1"/>
  <c r="J56" i="1"/>
  <c r="K56" i="1" s="1"/>
  <c r="J57" i="1"/>
  <c r="K57" i="1"/>
  <c r="J58" i="1"/>
  <c r="K58" i="1"/>
  <c r="J59" i="1"/>
  <c r="K59" i="1" s="1"/>
  <c r="J60" i="1"/>
  <c r="K60" i="1"/>
  <c r="J61" i="1"/>
  <c r="K61" i="1" s="1"/>
  <c r="J62" i="1"/>
  <c r="K62" i="1" s="1"/>
  <c r="J63" i="1"/>
  <c r="K63" i="1" s="1"/>
  <c r="J64" i="1"/>
  <c r="K64" i="1" s="1"/>
  <c r="J65" i="1"/>
  <c r="K65" i="1"/>
  <c r="J66" i="1"/>
  <c r="K66" i="1"/>
  <c r="J67" i="1"/>
  <c r="K67" i="1" s="1"/>
  <c r="J68" i="1"/>
  <c r="K68" i="1"/>
  <c r="J69" i="1"/>
  <c r="K69" i="1" s="1"/>
  <c r="J70" i="1"/>
  <c r="K70" i="1" s="1"/>
  <c r="J71" i="1"/>
  <c r="K71" i="1" s="1"/>
  <c r="J72" i="1"/>
  <c r="K72" i="1" s="1"/>
  <c r="J73" i="1"/>
  <c r="K73" i="1"/>
  <c r="J74" i="1"/>
  <c r="K74" i="1"/>
  <c r="J75" i="1"/>
  <c r="K75" i="1" s="1"/>
  <c r="J76" i="1"/>
  <c r="K76" i="1"/>
  <c r="J77" i="1"/>
  <c r="K77" i="1" s="1"/>
  <c r="J78" i="1"/>
  <c r="K78" i="1" s="1"/>
  <c r="J79" i="1"/>
  <c r="K79" i="1" s="1"/>
  <c r="K2" i="1"/>
  <c r="J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3" i="1"/>
  <c r="V4" i="1"/>
  <c r="V5" i="1"/>
  <c r="V6" i="1"/>
  <c r="V7" i="1"/>
  <c r="V8" i="1"/>
  <c r="V9" i="1"/>
  <c r="V10" i="1"/>
  <c r="V11" i="1"/>
  <c r="V12" i="1"/>
  <c r="V2" i="1"/>
  <c r="T32" i="1"/>
  <c r="U32" i="1"/>
  <c r="T33" i="1"/>
  <c r="U33" i="1"/>
  <c r="T34" i="1"/>
  <c r="U34" i="1"/>
  <c r="T35" i="1"/>
  <c r="U35" i="1"/>
  <c r="T36" i="1"/>
  <c r="U36" i="1"/>
  <c r="T37" i="1"/>
  <c r="U37" i="1"/>
  <c r="T38" i="1"/>
  <c r="U38" i="1"/>
  <c r="T39" i="1"/>
  <c r="U39" i="1"/>
  <c r="T40" i="1"/>
  <c r="U40" i="1"/>
  <c r="T41" i="1"/>
  <c r="U41" i="1"/>
  <c r="T42" i="1"/>
  <c r="U42" i="1"/>
  <c r="T43" i="1"/>
  <c r="U43" i="1"/>
  <c r="T44" i="1"/>
  <c r="U44" i="1"/>
  <c r="T45" i="1"/>
  <c r="U45" i="1"/>
  <c r="T46" i="1"/>
  <c r="U46" i="1"/>
  <c r="T47" i="1"/>
  <c r="U47" i="1"/>
  <c r="T48" i="1"/>
  <c r="U48" i="1"/>
  <c r="T49" i="1"/>
  <c r="U49" i="1"/>
  <c r="T50" i="1"/>
  <c r="U50" i="1"/>
  <c r="T51" i="1"/>
  <c r="U51" i="1"/>
  <c r="T52" i="1"/>
  <c r="U52" i="1"/>
  <c r="T53" i="1"/>
  <c r="U53" i="1"/>
  <c r="T54" i="1"/>
  <c r="U54" i="1"/>
  <c r="T55" i="1"/>
  <c r="U55" i="1"/>
  <c r="T56" i="1"/>
  <c r="U56" i="1"/>
  <c r="T57" i="1"/>
  <c r="U57" i="1"/>
  <c r="T58" i="1"/>
  <c r="U58" i="1"/>
  <c r="T59" i="1"/>
  <c r="U59" i="1"/>
  <c r="T60" i="1"/>
  <c r="U60" i="1"/>
  <c r="T62" i="1"/>
  <c r="U62" i="1"/>
  <c r="T63" i="1"/>
  <c r="U63" i="1"/>
  <c r="T64" i="1"/>
  <c r="U64" i="1"/>
  <c r="T65" i="1"/>
  <c r="U65" i="1"/>
  <c r="T66" i="1"/>
  <c r="U66" i="1"/>
  <c r="T67" i="1"/>
  <c r="U67" i="1"/>
  <c r="T68" i="1"/>
  <c r="U68" i="1"/>
  <c r="T69" i="1"/>
  <c r="U69" i="1"/>
  <c r="T70" i="1"/>
  <c r="U70" i="1"/>
  <c r="T71" i="1"/>
  <c r="U71" i="1"/>
  <c r="T72" i="1"/>
  <c r="U72" i="1"/>
  <c r="T73" i="1"/>
  <c r="U73" i="1"/>
  <c r="T74" i="1"/>
  <c r="U74" i="1"/>
  <c r="T75" i="1"/>
  <c r="U75" i="1"/>
  <c r="T76" i="1"/>
  <c r="U76" i="1"/>
  <c r="T77" i="1"/>
  <c r="U77" i="1"/>
  <c r="T78" i="1"/>
  <c r="U78" i="1"/>
  <c r="T79" i="1"/>
  <c r="U79" i="1"/>
  <c r="T19" i="1"/>
  <c r="U19" i="1"/>
  <c r="T20" i="1"/>
  <c r="U20" i="1"/>
  <c r="T21" i="1"/>
  <c r="U21" i="1"/>
  <c r="T22" i="1"/>
  <c r="U22" i="1"/>
  <c r="T23" i="1"/>
  <c r="U23" i="1"/>
  <c r="T24" i="1"/>
  <c r="U24" i="1"/>
  <c r="T25" i="1"/>
  <c r="U25" i="1"/>
  <c r="T26" i="1"/>
  <c r="U26" i="1"/>
  <c r="T27" i="1"/>
  <c r="U27" i="1"/>
  <c r="T28" i="1"/>
  <c r="U28" i="1"/>
  <c r="T29" i="1"/>
  <c r="U29" i="1"/>
  <c r="T30" i="1"/>
  <c r="U30" i="1"/>
  <c r="T31" i="1"/>
  <c r="U31" i="1"/>
  <c r="T3" i="1"/>
  <c r="U3" i="1"/>
  <c r="T4" i="1"/>
  <c r="U4" i="1"/>
  <c r="T5" i="1"/>
  <c r="U5" i="1"/>
  <c r="T6" i="1"/>
  <c r="U6" i="1"/>
  <c r="T7" i="1"/>
  <c r="U7" i="1"/>
  <c r="T8" i="1"/>
  <c r="U8" i="1"/>
  <c r="T9" i="1"/>
  <c r="U9" i="1"/>
  <c r="T10" i="1"/>
  <c r="U10" i="1"/>
  <c r="T11" i="1"/>
  <c r="U11" i="1"/>
  <c r="T12" i="1"/>
  <c r="U12" i="1"/>
  <c r="T13" i="1"/>
  <c r="U13" i="1"/>
  <c r="T14" i="1"/>
  <c r="U14" i="1"/>
  <c r="T15" i="1"/>
  <c r="U15" i="1"/>
  <c r="T16" i="1"/>
  <c r="U16" i="1"/>
  <c r="T17" i="1"/>
  <c r="U17" i="1"/>
  <c r="T18" i="1"/>
  <c r="U18" i="1"/>
  <c r="U2" i="1"/>
  <c r="T2" i="1"/>
  <c r="I31" i="14"/>
  <c r="I44" i="14"/>
  <c r="I46" i="14"/>
  <c r="J55" i="14"/>
  <c r="K55" i="14" s="1"/>
  <c r="J54" i="14"/>
  <c r="K54" i="14" s="1"/>
  <c r="J53" i="14"/>
  <c r="K53" i="14" s="1"/>
  <c r="J52" i="14"/>
  <c r="K52" i="14" s="1"/>
  <c r="J51" i="14"/>
  <c r="K51" i="14" s="1"/>
  <c r="J50" i="14"/>
  <c r="K50" i="14" s="1"/>
  <c r="J49" i="14"/>
  <c r="K49" i="14" s="1"/>
  <c r="J48" i="14"/>
  <c r="K48" i="14" s="1"/>
  <c r="J47" i="14"/>
  <c r="K47" i="14" s="1"/>
  <c r="J46" i="14"/>
  <c r="K46" i="14" s="1"/>
  <c r="J45" i="14"/>
  <c r="K45" i="14" s="1"/>
  <c r="J44" i="14"/>
  <c r="K44" i="14" s="1"/>
  <c r="J43" i="14"/>
  <c r="K43" i="14" s="1"/>
  <c r="J42" i="14"/>
  <c r="K42" i="14" s="1"/>
  <c r="J41" i="14"/>
  <c r="K41" i="14" s="1"/>
  <c r="J40" i="14"/>
  <c r="K40" i="14" s="1"/>
  <c r="J39" i="14"/>
  <c r="K39" i="14" s="1"/>
  <c r="J38" i="14"/>
  <c r="K38" i="14" s="1"/>
  <c r="J37" i="14"/>
  <c r="K37" i="14" s="1"/>
  <c r="J36" i="14"/>
  <c r="K36" i="14" s="1"/>
  <c r="J35" i="14"/>
  <c r="K35" i="14" s="1"/>
  <c r="J34" i="14"/>
  <c r="K34" i="14" s="1"/>
  <c r="J33" i="14"/>
  <c r="K33" i="14" s="1"/>
  <c r="J32" i="14"/>
  <c r="K32" i="14" s="1"/>
  <c r="J31" i="14"/>
  <c r="K31" i="14" s="1"/>
  <c r="J30" i="14"/>
  <c r="K30" i="14" s="1"/>
  <c r="J29" i="14"/>
  <c r="K29" i="14" s="1"/>
  <c r="J28" i="14"/>
  <c r="K28" i="14" s="1"/>
  <c r="J27" i="14"/>
  <c r="K27" i="14" s="1"/>
  <c r="J26" i="14"/>
  <c r="K26" i="14" s="1"/>
  <c r="J25" i="14"/>
  <c r="K25" i="14" s="1"/>
  <c r="J24" i="14"/>
  <c r="K24" i="14" s="1"/>
  <c r="J23" i="14"/>
  <c r="K23" i="14" s="1"/>
  <c r="J22" i="14"/>
  <c r="K22" i="14" s="1"/>
  <c r="J21" i="14"/>
  <c r="K21" i="14" s="1"/>
  <c r="J20" i="14"/>
  <c r="K20" i="14" s="1"/>
  <c r="J19" i="14"/>
  <c r="K19" i="14" s="1"/>
  <c r="J18" i="14"/>
  <c r="K18" i="14" s="1"/>
  <c r="J17" i="14"/>
  <c r="K17" i="14" s="1"/>
  <c r="J16" i="14"/>
  <c r="K16" i="14" s="1"/>
  <c r="J15" i="14"/>
  <c r="K15" i="14" s="1"/>
  <c r="J14" i="14"/>
  <c r="K14" i="14" s="1"/>
  <c r="J13" i="14"/>
  <c r="K13" i="14" s="1"/>
  <c r="J12" i="14"/>
  <c r="K12" i="14" s="1"/>
  <c r="J11" i="14"/>
  <c r="K11" i="14" s="1"/>
  <c r="J10" i="14"/>
  <c r="K10" i="14" s="1"/>
  <c r="J9" i="14"/>
  <c r="K9" i="14" s="1"/>
  <c r="J8" i="14"/>
  <c r="K8" i="14" s="1"/>
  <c r="J7" i="14"/>
  <c r="K7" i="14" s="1"/>
  <c r="J6" i="14"/>
  <c r="K6" i="14" s="1"/>
  <c r="J5" i="14"/>
  <c r="K5" i="14" s="1"/>
  <c r="J4" i="14"/>
  <c r="K4" i="14" s="1"/>
  <c r="J3" i="14"/>
  <c r="K3" i="14" s="1"/>
  <c r="J2" i="14"/>
  <c r="K2" i="14" s="1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2" i="3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2" i="5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2" i="10"/>
  <c r="E218" i="8"/>
  <c r="E217" i="8"/>
  <c r="E216" i="8"/>
  <c r="E215" i="8"/>
  <c r="E214" i="8"/>
  <c r="E213" i="8"/>
  <c r="E212" i="8"/>
  <c r="E211" i="8"/>
  <c r="E210" i="8"/>
  <c r="E209" i="8"/>
  <c r="E208" i="8"/>
  <c r="E207" i="8"/>
  <c r="E206" i="8"/>
  <c r="E205" i="8"/>
  <c r="E204" i="8"/>
  <c r="E203" i="8"/>
  <c r="E202" i="8"/>
  <c r="E201" i="8"/>
  <c r="E200" i="8"/>
  <c r="E199" i="8"/>
  <c r="E191" i="8"/>
  <c r="E190" i="8"/>
  <c r="E189" i="8"/>
  <c r="E188" i="8"/>
  <c r="E187" i="8"/>
  <c r="E186" i="8"/>
  <c r="E185" i="8"/>
  <c r="E184" i="8"/>
  <c r="E183" i="8"/>
  <c r="E182" i="8"/>
  <c r="E181" i="8"/>
  <c r="E180" i="8"/>
  <c r="E179" i="8"/>
  <c r="E178" i="8"/>
  <c r="E177" i="8"/>
  <c r="E176" i="8"/>
  <c r="E175" i="8"/>
  <c r="E174" i="8"/>
  <c r="E173" i="8"/>
  <c r="E172" i="8"/>
  <c r="E171" i="8"/>
  <c r="E170" i="8"/>
  <c r="E169" i="8"/>
  <c r="E168" i="8"/>
  <c r="E167" i="8"/>
  <c r="E166" i="8"/>
  <c r="E165" i="8"/>
  <c r="E164" i="8"/>
  <c r="E163" i="8"/>
  <c r="E162" i="8"/>
  <c r="E161" i="8"/>
  <c r="E160" i="8"/>
  <c r="E159" i="8"/>
  <c r="E158" i="8"/>
  <c r="E157" i="8"/>
  <c r="E156" i="8"/>
  <c r="E155" i="8"/>
  <c r="E154" i="8"/>
  <c r="E153" i="8"/>
  <c r="E152" i="8"/>
  <c r="E151" i="8"/>
  <c r="E150" i="8"/>
  <c r="E149" i="8"/>
  <c r="E148" i="8"/>
  <c r="E147" i="8"/>
  <c r="E146" i="8"/>
  <c r="E145" i="8"/>
  <c r="E144" i="8"/>
  <c r="E143" i="8"/>
  <c r="E142" i="8"/>
  <c r="E141" i="8"/>
  <c r="E140" i="8"/>
  <c r="E139" i="8"/>
  <c r="E138" i="8"/>
  <c r="E137" i="8"/>
  <c r="E136" i="8"/>
  <c r="E135" i="8"/>
  <c r="E134" i="8"/>
  <c r="E133" i="8"/>
  <c r="E132" i="8"/>
  <c r="E131" i="8"/>
  <c r="E130" i="8"/>
  <c r="E129" i="8"/>
  <c r="E128" i="8"/>
  <c r="E127" i="8"/>
  <c r="E126" i="8"/>
  <c r="E125" i="8"/>
  <c r="E124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111" i="8"/>
  <c r="E110" i="8"/>
  <c r="E109" i="8"/>
  <c r="E108" i="8"/>
  <c r="E107" i="8"/>
  <c r="E105" i="8"/>
  <c r="E104" i="8"/>
  <c r="E103" i="8"/>
  <c r="E102" i="8"/>
  <c r="E101" i="8"/>
  <c r="E100" i="8"/>
  <c r="E99" i="8"/>
  <c r="E98" i="8"/>
  <c r="E97" i="8"/>
  <c r="E96" i="8"/>
  <c r="E95" i="8"/>
  <c r="E94" i="8"/>
  <c r="E93" i="8"/>
  <c r="E92" i="8"/>
  <c r="E91" i="8"/>
  <c r="E90" i="8"/>
  <c r="E89" i="8"/>
  <c r="E88" i="8"/>
  <c r="E87" i="8"/>
  <c r="E86" i="8"/>
  <c r="E85" i="8"/>
  <c r="E84" i="8"/>
  <c r="E83" i="8"/>
  <c r="E82" i="8"/>
  <c r="E81" i="8"/>
  <c r="E80" i="8"/>
  <c r="E79" i="8"/>
  <c r="E78" i="8"/>
  <c r="E77" i="8"/>
  <c r="E76" i="8"/>
  <c r="E75" i="8"/>
  <c r="E74" i="8"/>
  <c r="E73" i="8"/>
  <c r="E72" i="8"/>
  <c r="E71" i="8"/>
  <c r="E70" i="8"/>
  <c r="E69" i="8"/>
  <c r="E68" i="8"/>
  <c r="E67" i="8"/>
  <c r="E66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5" i="8"/>
  <c r="E33" i="8"/>
  <c r="E31" i="8"/>
  <c r="E29" i="8"/>
  <c r="E27" i="8"/>
  <c r="E25" i="8"/>
  <c r="E23" i="8"/>
  <c r="E21" i="8"/>
  <c r="E19" i="8"/>
  <c r="E17" i="8"/>
  <c r="E18" i="8"/>
  <c r="E15" i="8"/>
  <c r="E16" i="8"/>
  <c r="E20" i="8"/>
  <c r="E22" i="8"/>
  <c r="E24" i="8"/>
  <c r="E26" i="8"/>
  <c r="E28" i="8"/>
  <c r="E30" i="8"/>
  <c r="E32" i="8"/>
  <c r="E34" i="8"/>
  <c r="E36" i="8"/>
  <c r="E14" i="8"/>
  <c r="J68" i="7"/>
  <c r="K68" i="7" s="1"/>
  <c r="J67" i="7"/>
  <c r="K67" i="7" s="1"/>
  <c r="J66" i="7"/>
  <c r="K66" i="7" s="1"/>
  <c r="J65" i="7"/>
  <c r="K65" i="7" s="1"/>
  <c r="J64" i="7"/>
  <c r="K64" i="7" s="1"/>
  <c r="J63" i="7"/>
  <c r="K63" i="7" s="1"/>
  <c r="J62" i="7"/>
  <c r="K62" i="7" s="1"/>
  <c r="J61" i="7"/>
  <c r="K61" i="7" s="1"/>
  <c r="J60" i="7"/>
  <c r="K60" i="7" s="1"/>
  <c r="J59" i="7"/>
  <c r="K59" i="7" s="1"/>
  <c r="J58" i="7"/>
  <c r="K58" i="7" s="1"/>
  <c r="J57" i="7"/>
  <c r="K57" i="7" s="1"/>
  <c r="J56" i="7"/>
  <c r="K56" i="7" s="1"/>
  <c r="J55" i="7"/>
  <c r="K55" i="7" s="1"/>
  <c r="J54" i="7"/>
  <c r="K54" i="7" s="1"/>
  <c r="J53" i="7"/>
  <c r="K53" i="7" s="1"/>
  <c r="J52" i="7"/>
  <c r="K52" i="7" s="1"/>
  <c r="J51" i="7"/>
  <c r="K51" i="7" s="1"/>
  <c r="J50" i="7"/>
  <c r="K50" i="7" s="1"/>
  <c r="J49" i="7"/>
  <c r="K49" i="7" s="1"/>
  <c r="J48" i="7"/>
  <c r="K48" i="7" s="1"/>
  <c r="J47" i="7"/>
  <c r="K47" i="7" s="1"/>
  <c r="J46" i="7"/>
  <c r="K46" i="7" s="1"/>
  <c r="J45" i="7"/>
  <c r="K45" i="7" s="1"/>
  <c r="J44" i="7"/>
  <c r="K44" i="7" s="1"/>
  <c r="J43" i="7"/>
  <c r="K43" i="7" s="1"/>
  <c r="J42" i="7"/>
  <c r="K42" i="7" s="1"/>
  <c r="J41" i="7"/>
  <c r="K41" i="7" s="1"/>
  <c r="J40" i="7"/>
  <c r="K40" i="7" s="1"/>
  <c r="J39" i="7"/>
  <c r="K39" i="7" s="1"/>
  <c r="J38" i="7"/>
  <c r="K38" i="7" s="1"/>
  <c r="J37" i="7"/>
  <c r="K37" i="7" s="1"/>
  <c r="J36" i="7"/>
  <c r="K36" i="7" s="1"/>
  <c r="J35" i="7"/>
  <c r="K35" i="7" s="1"/>
  <c r="J34" i="7"/>
  <c r="K34" i="7" s="1"/>
  <c r="J33" i="7"/>
  <c r="K33" i="7" s="1"/>
  <c r="J32" i="7"/>
  <c r="K32" i="7" s="1"/>
  <c r="J31" i="7"/>
  <c r="K31" i="7" s="1"/>
  <c r="J30" i="7"/>
  <c r="K30" i="7" s="1"/>
  <c r="J29" i="7"/>
  <c r="K29" i="7" s="1"/>
  <c r="J28" i="7"/>
  <c r="K28" i="7" s="1"/>
  <c r="J27" i="7"/>
  <c r="K27" i="7" s="1"/>
  <c r="J26" i="7"/>
  <c r="K26" i="7" s="1"/>
  <c r="J25" i="7"/>
  <c r="K25" i="7" s="1"/>
  <c r="J24" i="7"/>
  <c r="K24" i="7" s="1"/>
  <c r="J23" i="7"/>
  <c r="K23" i="7" s="1"/>
  <c r="J22" i="7"/>
  <c r="K22" i="7" s="1"/>
  <c r="J21" i="7"/>
  <c r="K21" i="7" s="1"/>
  <c r="J20" i="7"/>
  <c r="K20" i="7" s="1"/>
  <c r="J19" i="7"/>
  <c r="K19" i="7" s="1"/>
  <c r="J18" i="7"/>
  <c r="K18" i="7" s="1"/>
  <c r="J17" i="7"/>
  <c r="K17" i="7" s="1"/>
  <c r="J16" i="7"/>
  <c r="K16" i="7" s="1"/>
  <c r="J15" i="7"/>
  <c r="K15" i="7" s="1"/>
  <c r="J14" i="7"/>
  <c r="K14" i="7" s="1"/>
  <c r="J13" i="7"/>
  <c r="K13" i="7" s="1"/>
  <c r="J12" i="7"/>
  <c r="K12" i="7" s="1"/>
  <c r="J11" i="7"/>
  <c r="K11" i="7" s="1"/>
  <c r="J10" i="7"/>
  <c r="K10" i="7" s="1"/>
  <c r="J9" i="7"/>
  <c r="K9" i="7" s="1"/>
  <c r="J8" i="7"/>
  <c r="K8" i="7" s="1"/>
  <c r="J7" i="7"/>
  <c r="K7" i="7" s="1"/>
  <c r="J6" i="7"/>
  <c r="K6" i="7" s="1"/>
  <c r="J5" i="7"/>
  <c r="K5" i="7" s="1"/>
  <c r="J4" i="7"/>
  <c r="K4" i="7" s="1"/>
  <c r="J3" i="7"/>
  <c r="K3" i="7" s="1"/>
  <c r="J2" i="7"/>
  <c r="K2" i="7" s="1"/>
  <c r="K229" i="4"/>
  <c r="L229" i="4" s="1"/>
  <c r="K230" i="4"/>
  <c r="L230" i="4" s="1"/>
  <c r="K231" i="4"/>
  <c r="L231" i="4" s="1"/>
  <c r="K232" i="4"/>
  <c r="L232" i="4" s="1"/>
  <c r="K233" i="4"/>
  <c r="L233" i="4" s="1"/>
  <c r="K234" i="4"/>
  <c r="L234" i="4" s="1"/>
  <c r="K235" i="4"/>
  <c r="L235" i="4" s="1"/>
  <c r="K236" i="4"/>
  <c r="L236" i="4" s="1"/>
  <c r="K237" i="4"/>
  <c r="L237" i="4" s="1"/>
  <c r="K238" i="4"/>
  <c r="L238" i="4" s="1"/>
  <c r="K239" i="4"/>
  <c r="L239" i="4" s="1"/>
  <c r="K240" i="4"/>
  <c r="L240" i="4" s="1"/>
  <c r="K241" i="4"/>
  <c r="L241" i="4" s="1"/>
  <c r="K242" i="4"/>
  <c r="L242" i="4" s="1"/>
  <c r="K243" i="4"/>
  <c r="L243" i="4" s="1"/>
  <c r="K244" i="4"/>
  <c r="L244" i="4" s="1"/>
  <c r="K245" i="4"/>
  <c r="L245" i="4" s="1"/>
  <c r="K246" i="4"/>
  <c r="L246" i="4" s="1"/>
  <c r="K247" i="4"/>
  <c r="L247" i="4" s="1"/>
  <c r="K248" i="4"/>
  <c r="L248" i="4" s="1"/>
  <c r="K249" i="4"/>
  <c r="L249" i="4"/>
  <c r="K250" i="4"/>
  <c r="L250" i="4" s="1"/>
  <c r="K251" i="4"/>
  <c r="L251" i="4" s="1"/>
  <c r="K252" i="4"/>
  <c r="L252" i="4" s="1"/>
  <c r="K253" i="4"/>
  <c r="L253" i="4" s="1"/>
  <c r="K254" i="4"/>
  <c r="L254" i="4"/>
  <c r="K255" i="4"/>
  <c r="L255" i="4" s="1"/>
  <c r="K256" i="4"/>
  <c r="L256" i="4" s="1"/>
  <c r="K257" i="4"/>
  <c r="L257" i="4" s="1"/>
  <c r="K258" i="4"/>
  <c r="L258" i="4" s="1"/>
  <c r="K259" i="4"/>
  <c r="L259" i="4" s="1"/>
  <c r="K260" i="4"/>
  <c r="L260" i="4" s="1"/>
  <c r="K261" i="4"/>
  <c r="L261" i="4" s="1"/>
  <c r="K262" i="4"/>
  <c r="L262" i="4" s="1"/>
  <c r="K263" i="4"/>
  <c r="L263" i="4" s="1"/>
  <c r="K264" i="4"/>
  <c r="L264" i="4" s="1"/>
  <c r="K265" i="4"/>
  <c r="L265" i="4"/>
  <c r="K266" i="4"/>
  <c r="L266" i="4" s="1"/>
  <c r="K267" i="4"/>
  <c r="L267" i="4"/>
  <c r="K268" i="4"/>
  <c r="L268" i="4" s="1"/>
  <c r="K269" i="4"/>
  <c r="L269" i="4" s="1"/>
  <c r="K270" i="4"/>
  <c r="L270" i="4" s="1"/>
  <c r="K271" i="4"/>
  <c r="L271" i="4"/>
  <c r="K272" i="4"/>
  <c r="L272" i="4" s="1"/>
  <c r="K228" i="4"/>
  <c r="L228" i="4" s="1"/>
  <c r="K183" i="4"/>
  <c r="L183" i="4" s="1"/>
  <c r="K184" i="4"/>
  <c r="L184" i="4" s="1"/>
  <c r="K185" i="4"/>
  <c r="L185" i="4" s="1"/>
  <c r="K186" i="4"/>
  <c r="L186" i="4" s="1"/>
  <c r="K187" i="4"/>
  <c r="L187" i="4" s="1"/>
  <c r="K188" i="4"/>
  <c r="L188" i="4"/>
  <c r="K189" i="4"/>
  <c r="L189" i="4" s="1"/>
  <c r="K190" i="4"/>
  <c r="L190" i="4" s="1"/>
  <c r="K191" i="4"/>
  <c r="L191" i="4" s="1"/>
  <c r="K192" i="4"/>
  <c r="L192" i="4" s="1"/>
  <c r="K193" i="4"/>
  <c r="L193" i="4" s="1"/>
  <c r="K194" i="4"/>
  <c r="L194" i="4" s="1"/>
  <c r="K195" i="4"/>
  <c r="L195" i="4"/>
  <c r="K196" i="4"/>
  <c r="L196" i="4" s="1"/>
  <c r="K197" i="4"/>
  <c r="L197" i="4"/>
  <c r="K198" i="4"/>
  <c r="L198" i="4" s="1"/>
  <c r="K199" i="4"/>
  <c r="L199" i="4" s="1"/>
  <c r="K200" i="4"/>
  <c r="L200" i="4" s="1"/>
  <c r="K201" i="4"/>
  <c r="L201" i="4" s="1"/>
  <c r="K202" i="4"/>
  <c r="L202" i="4" s="1"/>
  <c r="K203" i="4"/>
  <c r="L203" i="4" s="1"/>
  <c r="K204" i="4"/>
  <c r="L204" i="4" s="1"/>
  <c r="K205" i="4"/>
  <c r="L205" i="4" s="1"/>
  <c r="K206" i="4"/>
  <c r="L206" i="4"/>
  <c r="K207" i="4"/>
  <c r="L207" i="4" s="1"/>
  <c r="K208" i="4"/>
  <c r="L208" i="4" s="1"/>
  <c r="K209" i="4"/>
  <c r="L209" i="4" s="1"/>
  <c r="K210" i="4"/>
  <c r="L210" i="4" s="1"/>
  <c r="K211" i="4"/>
  <c r="L211" i="4" s="1"/>
  <c r="K212" i="4"/>
  <c r="L212" i="4" s="1"/>
  <c r="K213" i="4"/>
  <c r="L213" i="4" s="1"/>
  <c r="K214" i="4"/>
  <c r="L214" i="4"/>
  <c r="K215" i="4"/>
  <c r="L215" i="4" s="1"/>
  <c r="K216" i="4"/>
  <c r="L216" i="4" s="1"/>
  <c r="K217" i="4"/>
  <c r="L217" i="4" s="1"/>
  <c r="K218" i="4"/>
  <c r="L218" i="4" s="1"/>
  <c r="K219" i="4"/>
  <c r="L219" i="4" s="1"/>
  <c r="K220" i="4"/>
  <c r="L220" i="4" s="1"/>
  <c r="K221" i="4"/>
  <c r="L221" i="4" s="1"/>
  <c r="K222" i="4"/>
  <c r="L222" i="4" s="1"/>
  <c r="K223" i="4"/>
  <c r="L223" i="4" s="1"/>
  <c r="K224" i="4"/>
  <c r="L224" i="4" s="1"/>
  <c r="K225" i="4"/>
  <c r="L225" i="4" s="1"/>
  <c r="K226" i="4"/>
  <c r="L226" i="4" s="1"/>
  <c r="K227" i="4"/>
  <c r="L227" i="4" s="1"/>
  <c r="K182" i="4"/>
  <c r="L182" i="4" s="1"/>
  <c r="K123" i="4"/>
  <c r="L123" i="4" s="1"/>
  <c r="K124" i="4"/>
  <c r="L124" i="4" s="1"/>
  <c r="K125" i="4"/>
  <c r="L125" i="4" s="1"/>
  <c r="K126" i="4"/>
  <c r="L126" i="4" s="1"/>
  <c r="K127" i="4"/>
  <c r="L127" i="4" s="1"/>
  <c r="K128" i="4"/>
  <c r="L128" i="4" s="1"/>
  <c r="K129" i="4"/>
  <c r="L129" i="4" s="1"/>
  <c r="K130" i="4"/>
  <c r="L130" i="4" s="1"/>
  <c r="K131" i="4"/>
  <c r="L131" i="4" s="1"/>
  <c r="K132" i="4"/>
  <c r="L132" i="4" s="1"/>
  <c r="K133" i="4"/>
  <c r="L133" i="4" s="1"/>
  <c r="K134" i="4"/>
  <c r="L134" i="4" s="1"/>
  <c r="K135" i="4"/>
  <c r="L135" i="4" s="1"/>
  <c r="K136" i="4"/>
  <c r="L136" i="4" s="1"/>
  <c r="K137" i="4"/>
  <c r="L137" i="4" s="1"/>
  <c r="K138" i="4"/>
  <c r="L138" i="4" s="1"/>
  <c r="K139" i="4"/>
  <c r="L139" i="4" s="1"/>
  <c r="K140" i="4"/>
  <c r="L140" i="4" s="1"/>
  <c r="K141" i="4"/>
  <c r="L141" i="4" s="1"/>
  <c r="K142" i="4"/>
  <c r="L142" i="4" s="1"/>
  <c r="K143" i="4"/>
  <c r="L143" i="4" s="1"/>
  <c r="K144" i="4"/>
  <c r="L144" i="4" s="1"/>
  <c r="K145" i="4"/>
  <c r="L145" i="4" s="1"/>
  <c r="K146" i="4"/>
  <c r="L146" i="4" s="1"/>
  <c r="K147" i="4"/>
  <c r="L147" i="4" s="1"/>
  <c r="K148" i="4"/>
  <c r="L148" i="4" s="1"/>
  <c r="K149" i="4"/>
  <c r="L149" i="4" s="1"/>
  <c r="K150" i="4"/>
  <c r="L150" i="4" s="1"/>
  <c r="K151" i="4"/>
  <c r="L151" i="4" s="1"/>
  <c r="K152" i="4"/>
  <c r="L152" i="4" s="1"/>
  <c r="K153" i="4"/>
  <c r="L153" i="4" s="1"/>
  <c r="K154" i="4"/>
  <c r="L154" i="4" s="1"/>
  <c r="K155" i="4"/>
  <c r="L155" i="4" s="1"/>
  <c r="K156" i="4"/>
  <c r="L156" i="4" s="1"/>
  <c r="K157" i="4"/>
  <c r="L157" i="4"/>
  <c r="K158" i="4"/>
  <c r="L158" i="4" s="1"/>
  <c r="K159" i="4"/>
  <c r="L159" i="4" s="1"/>
  <c r="K160" i="4"/>
  <c r="L160" i="4" s="1"/>
  <c r="K161" i="4"/>
  <c r="L161" i="4" s="1"/>
  <c r="K162" i="4"/>
  <c r="L162" i="4" s="1"/>
  <c r="K163" i="4"/>
  <c r="L163" i="4" s="1"/>
  <c r="K164" i="4"/>
  <c r="L164" i="4"/>
  <c r="K165" i="4"/>
  <c r="L165" i="4" s="1"/>
  <c r="K166" i="4"/>
  <c r="L166" i="4" s="1"/>
  <c r="K167" i="4"/>
  <c r="L167" i="4" s="1"/>
  <c r="K168" i="4"/>
  <c r="L168" i="4" s="1"/>
  <c r="K169" i="4"/>
  <c r="L169" i="4" s="1"/>
  <c r="K170" i="4"/>
  <c r="L170" i="4" s="1"/>
  <c r="K171" i="4"/>
  <c r="L171" i="4" s="1"/>
  <c r="K172" i="4"/>
  <c r="L172" i="4"/>
  <c r="K173" i="4"/>
  <c r="L173" i="4"/>
  <c r="K174" i="4"/>
  <c r="L174" i="4" s="1"/>
  <c r="K175" i="4"/>
  <c r="L175" i="4" s="1"/>
  <c r="K176" i="4"/>
  <c r="L176" i="4" s="1"/>
  <c r="K177" i="4"/>
  <c r="L177" i="4"/>
  <c r="K178" i="4"/>
  <c r="L178" i="4" s="1"/>
  <c r="K179" i="4"/>
  <c r="L179" i="4" s="1"/>
  <c r="K180" i="4"/>
  <c r="L180" i="4" s="1"/>
  <c r="K181" i="4"/>
  <c r="L181" i="4"/>
  <c r="K122" i="4"/>
  <c r="L122" i="4"/>
  <c r="K63" i="4"/>
  <c r="L63" i="4" s="1"/>
  <c r="K64" i="4"/>
  <c r="L64" i="4" s="1"/>
  <c r="K65" i="4"/>
  <c r="L65" i="4" s="1"/>
  <c r="K66" i="4"/>
  <c r="L66" i="4"/>
  <c r="K67" i="4"/>
  <c r="L67" i="4" s="1"/>
  <c r="K68" i="4"/>
  <c r="L68" i="4" s="1"/>
  <c r="K69" i="4"/>
  <c r="L69" i="4" s="1"/>
  <c r="K70" i="4"/>
  <c r="L70" i="4" s="1"/>
  <c r="K71" i="4"/>
  <c r="L71" i="4" s="1"/>
  <c r="K72" i="4"/>
  <c r="L72" i="4" s="1"/>
  <c r="K73" i="4"/>
  <c r="L73" i="4" s="1"/>
  <c r="K74" i="4"/>
  <c r="L74" i="4" s="1"/>
  <c r="K75" i="4"/>
  <c r="L75" i="4" s="1"/>
  <c r="K76" i="4"/>
  <c r="L76" i="4"/>
  <c r="K77" i="4"/>
  <c r="L77" i="4" s="1"/>
  <c r="K78" i="4"/>
  <c r="L78" i="4" s="1"/>
  <c r="K79" i="4"/>
  <c r="L79" i="4" s="1"/>
  <c r="K80" i="4"/>
  <c r="L80" i="4" s="1"/>
  <c r="K81" i="4"/>
  <c r="L81" i="4" s="1"/>
  <c r="K82" i="4"/>
  <c r="L82" i="4"/>
  <c r="K83" i="4"/>
  <c r="L83" i="4" s="1"/>
  <c r="K84" i="4"/>
  <c r="L84" i="4" s="1"/>
  <c r="K85" i="4"/>
  <c r="L85" i="4"/>
  <c r="K86" i="4"/>
  <c r="L86" i="4" s="1"/>
  <c r="K87" i="4"/>
  <c r="L87" i="4" s="1"/>
  <c r="K88" i="4"/>
  <c r="L88" i="4" s="1"/>
  <c r="K89" i="4"/>
  <c r="L89" i="4" s="1"/>
  <c r="K90" i="4"/>
  <c r="L90" i="4"/>
  <c r="K91" i="4"/>
  <c r="L91" i="4" s="1"/>
  <c r="K92" i="4"/>
  <c r="L92" i="4" s="1"/>
  <c r="K93" i="4"/>
  <c r="L93" i="4" s="1"/>
  <c r="K94" i="4"/>
  <c r="L94" i="4" s="1"/>
  <c r="K95" i="4"/>
  <c r="L95" i="4" s="1"/>
  <c r="K96" i="4"/>
  <c r="L96" i="4" s="1"/>
  <c r="K97" i="4"/>
  <c r="L97" i="4" s="1"/>
  <c r="K98" i="4"/>
  <c r="L98" i="4" s="1"/>
  <c r="K99" i="4"/>
  <c r="L99" i="4" s="1"/>
  <c r="K100" i="4"/>
  <c r="L100" i="4"/>
  <c r="K101" i="4"/>
  <c r="L101" i="4" s="1"/>
  <c r="K102" i="4"/>
  <c r="L102" i="4" s="1"/>
  <c r="K103" i="4"/>
  <c r="L103" i="4" s="1"/>
  <c r="K104" i="4"/>
  <c r="L104" i="4" s="1"/>
  <c r="K105" i="4"/>
  <c r="L105" i="4" s="1"/>
  <c r="K106" i="4"/>
  <c r="L106" i="4" s="1"/>
  <c r="K107" i="4"/>
  <c r="L107" i="4" s="1"/>
  <c r="K108" i="4"/>
  <c r="L108" i="4" s="1"/>
  <c r="K109" i="4"/>
  <c r="L109" i="4" s="1"/>
  <c r="K110" i="4"/>
  <c r="L110" i="4" s="1"/>
  <c r="K111" i="4"/>
  <c r="L111" i="4"/>
  <c r="K112" i="4"/>
  <c r="L112" i="4" s="1"/>
  <c r="K113" i="4"/>
  <c r="L113" i="4" s="1"/>
  <c r="K114" i="4"/>
  <c r="L114" i="4" s="1"/>
  <c r="K115" i="4"/>
  <c r="L115" i="4"/>
  <c r="K116" i="4"/>
  <c r="L116" i="4" s="1"/>
  <c r="K117" i="4"/>
  <c r="L117" i="4" s="1"/>
  <c r="K118" i="4"/>
  <c r="L118" i="4" s="1"/>
  <c r="K119" i="4"/>
  <c r="L119" i="4" s="1"/>
  <c r="K120" i="4"/>
  <c r="L120" i="4" s="1"/>
  <c r="K121" i="4"/>
  <c r="L121" i="4" s="1"/>
  <c r="K62" i="4"/>
  <c r="L62" i="4" s="1"/>
  <c r="K32" i="4"/>
  <c r="L32" i="4" s="1"/>
  <c r="K33" i="4"/>
  <c r="L33" i="4" s="1"/>
  <c r="K34" i="4"/>
  <c r="L34" i="4" s="1"/>
  <c r="K35" i="4"/>
  <c r="L35" i="4"/>
  <c r="K36" i="4"/>
  <c r="L36" i="4" s="1"/>
  <c r="K37" i="4"/>
  <c r="L37" i="4" s="1"/>
  <c r="K38" i="4"/>
  <c r="L38" i="4" s="1"/>
  <c r="K39" i="4"/>
  <c r="L39" i="4" s="1"/>
  <c r="K40" i="4"/>
  <c r="L40" i="4" s="1"/>
  <c r="K41" i="4"/>
  <c r="L41" i="4" s="1"/>
  <c r="K42" i="4"/>
  <c r="L42" i="4" s="1"/>
  <c r="K43" i="4"/>
  <c r="L43" i="4" s="1"/>
  <c r="K44" i="4"/>
  <c r="L44" i="4"/>
  <c r="K45" i="4"/>
  <c r="L45" i="4" s="1"/>
  <c r="K46" i="4"/>
  <c r="L46" i="4" s="1"/>
  <c r="K47" i="4"/>
  <c r="L47" i="4" s="1"/>
  <c r="K48" i="4"/>
  <c r="L48" i="4" s="1"/>
  <c r="K49" i="4"/>
  <c r="L49" i="4" s="1"/>
  <c r="K50" i="4"/>
  <c r="L50" i="4"/>
  <c r="K51" i="4"/>
  <c r="L51" i="4" s="1"/>
  <c r="K52" i="4"/>
  <c r="L52" i="4" s="1"/>
  <c r="K53" i="4"/>
  <c r="L53" i="4" s="1"/>
  <c r="K54" i="4"/>
  <c r="L54" i="4" s="1"/>
  <c r="K55" i="4"/>
  <c r="L55" i="4" s="1"/>
  <c r="K56" i="4"/>
  <c r="L56" i="4" s="1"/>
  <c r="K57" i="4"/>
  <c r="L57" i="4" s="1"/>
  <c r="K58" i="4"/>
  <c r="L58" i="4"/>
  <c r="K59" i="4"/>
  <c r="L59" i="4"/>
  <c r="K60" i="4"/>
  <c r="L60" i="4" s="1"/>
  <c r="K61" i="4"/>
  <c r="L61" i="4" s="1"/>
  <c r="K31" i="4"/>
  <c r="L31" i="4" s="1"/>
  <c r="K30" i="4"/>
  <c r="L30" i="4" s="1"/>
  <c r="K29" i="4"/>
  <c r="L29" i="4" s="1"/>
  <c r="K28" i="4"/>
  <c r="L28" i="4" s="1"/>
  <c r="K27" i="4"/>
  <c r="L27" i="4" s="1"/>
  <c r="K26" i="4"/>
  <c r="L26" i="4" s="1"/>
  <c r="K25" i="4"/>
  <c r="L25" i="4" s="1"/>
  <c r="K24" i="4"/>
  <c r="L24" i="4" s="1"/>
  <c r="K23" i="4"/>
  <c r="L23" i="4" s="1"/>
  <c r="K22" i="4"/>
  <c r="L22" i="4" s="1"/>
  <c r="K21" i="4"/>
  <c r="L21" i="4" s="1"/>
  <c r="K20" i="4"/>
  <c r="L20" i="4" s="1"/>
  <c r="K19" i="4"/>
  <c r="L19" i="4" s="1"/>
  <c r="K18" i="4"/>
  <c r="L18" i="4" s="1"/>
  <c r="K17" i="4"/>
  <c r="L17" i="4" s="1"/>
  <c r="K16" i="4"/>
  <c r="L16" i="4" s="1"/>
  <c r="K15" i="4"/>
  <c r="L15" i="4" s="1"/>
  <c r="K14" i="4"/>
  <c r="L14" i="4" s="1"/>
  <c r="K13" i="4"/>
  <c r="L13" i="4" s="1"/>
  <c r="K12" i="4"/>
  <c r="L12" i="4" s="1"/>
  <c r="K11" i="4"/>
  <c r="L11" i="4" s="1"/>
  <c r="K10" i="4"/>
  <c r="L10" i="4" s="1"/>
  <c r="K9" i="4"/>
  <c r="L9" i="4" s="1"/>
  <c r="K8" i="4"/>
  <c r="L8" i="4" s="1"/>
  <c r="K7" i="4"/>
  <c r="L7" i="4" s="1"/>
  <c r="K6" i="4"/>
  <c r="L6" i="4" s="1"/>
  <c r="K5" i="4"/>
  <c r="L5" i="4" s="1"/>
  <c r="K4" i="4"/>
  <c r="L4" i="4" s="1"/>
  <c r="K3" i="4"/>
  <c r="L3" i="4" s="1"/>
  <c r="K2" i="4"/>
  <c r="L2" i="4" s="1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" i="3"/>
  <c r="E4" i="3"/>
  <c r="E5" i="3"/>
  <c r="E6" i="3"/>
  <c r="E7" i="3"/>
  <c r="E8" i="3"/>
  <c r="E9" i="3"/>
  <c r="E10" i="3"/>
  <c r="E11" i="3"/>
  <c r="E2" i="3"/>
  <c r="F15" i="9"/>
  <c r="G15" i="9" s="1"/>
  <c r="B15" i="9"/>
  <c r="F14" i="9"/>
  <c r="G14" i="9" s="1"/>
  <c r="B14" i="9"/>
  <c r="F13" i="9"/>
  <c r="G13" i="9" s="1"/>
  <c r="B13" i="9"/>
  <c r="F12" i="9"/>
  <c r="G12" i="9" s="1"/>
  <c r="B12" i="9"/>
  <c r="F11" i="9"/>
  <c r="G11" i="9" s="1"/>
  <c r="B11" i="9"/>
  <c r="F10" i="9"/>
  <c r="G10" i="9" s="1"/>
  <c r="B10" i="9"/>
  <c r="F9" i="9"/>
  <c r="G9" i="9" s="1"/>
  <c r="B9" i="9"/>
  <c r="F7" i="9"/>
  <c r="G7" i="9" s="1"/>
  <c r="C7" i="9"/>
  <c r="F6" i="9"/>
  <c r="G6" i="9" s="1"/>
  <c r="C6" i="9"/>
  <c r="F5" i="9"/>
  <c r="G5" i="9" s="1"/>
  <c r="C5" i="9"/>
  <c r="F4" i="9"/>
  <c r="G4" i="9" s="1"/>
  <c r="C4" i="9"/>
  <c r="F3" i="9"/>
  <c r="G3" i="9" s="1"/>
  <c r="C3" i="9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I27" i="14" l="1"/>
  <c r="I9" i="14"/>
  <c r="I42" i="14"/>
  <c r="I28" i="14"/>
  <c r="I26" i="14"/>
  <c r="I25" i="14"/>
  <c r="I15" i="14"/>
  <c r="I43" i="14"/>
  <c r="I41" i="14"/>
  <c r="I30" i="14"/>
  <c r="I14" i="14"/>
  <c r="I12" i="14"/>
  <c r="I11" i="14"/>
  <c r="I47" i="14"/>
  <c r="I10" i="14"/>
  <c r="I8" i="14"/>
  <c r="I51" i="14"/>
  <c r="I35" i="14"/>
  <c r="I19" i="14"/>
  <c r="I3" i="14"/>
  <c r="I50" i="14"/>
  <c r="I34" i="14"/>
  <c r="I18" i="14"/>
  <c r="I49" i="14"/>
  <c r="I33" i="14"/>
  <c r="I17" i="14"/>
  <c r="I48" i="14"/>
  <c r="I32" i="14"/>
  <c r="I16" i="14"/>
  <c r="I45" i="14"/>
  <c r="I29" i="14"/>
  <c r="I13" i="14"/>
  <c r="I2" i="14"/>
  <c r="I24" i="14"/>
  <c r="I55" i="14"/>
  <c r="I39" i="14"/>
  <c r="I23" i="14"/>
  <c r="I7" i="14"/>
  <c r="I54" i="14"/>
  <c r="I38" i="14"/>
  <c r="I22" i="14"/>
  <c r="I6" i="14"/>
  <c r="I53" i="14"/>
  <c r="I37" i="14"/>
  <c r="I21" i="14"/>
  <c r="I5" i="14"/>
  <c r="I40" i="14"/>
  <c r="I52" i="14"/>
  <c r="I36" i="14"/>
  <c r="I20" i="14"/>
  <c r="I4" i="14"/>
  <c r="M28" i="8"/>
  <c r="M35" i="8"/>
  <c r="M215" i="8"/>
  <c r="M20" i="8"/>
  <c r="M170" i="8"/>
  <c r="M162" i="8"/>
  <c r="M154" i="8"/>
  <c r="M138" i="8"/>
  <c r="M207" i="8"/>
  <c r="M199" i="8"/>
  <c r="M175" i="8"/>
  <c r="M167" i="8"/>
  <c r="M159" i="8"/>
  <c r="M151" i="8"/>
  <c r="M135" i="8"/>
  <c r="M127" i="8"/>
  <c r="M111" i="8"/>
  <c r="M102" i="8"/>
  <c r="M94" i="8"/>
  <c r="M86" i="8"/>
  <c r="M78" i="8"/>
  <c r="M70" i="8"/>
  <c r="M62" i="8"/>
  <c r="M46" i="8"/>
  <c r="M91" i="8"/>
  <c r="M27" i="8"/>
  <c r="M172" i="8"/>
  <c r="M93" i="8"/>
  <c r="M17" i="8"/>
  <c r="M14" i="8"/>
  <c r="M18" i="8"/>
  <c r="M118" i="8"/>
  <c r="M204" i="8"/>
  <c r="M188" i="8"/>
  <c r="M156" i="8"/>
  <c r="M124" i="8"/>
  <c r="M108" i="8"/>
  <c r="M59" i="8"/>
  <c r="M24" i="8"/>
  <c r="M143" i="8"/>
  <c r="M200" i="8"/>
  <c r="M71" i="8"/>
  <c r="M37" i="8"/>
  <c r="M216" i="8"/>
  <c r="M152" i="8"/>
  <c r="M103" i="8"/>
  <c r="M191" i="8"/>
  <c r="M55" i="8"/>
  <c r="M25" i="8"/>
  <c r="M140" i="8"/>
  <c r="M75" i="8"/>
  <c r="M43" i="8"/>
  <c r="M120" i="8"/>
  <c r="M206" i="8"/>
  <c r="M142" i="8"/>
  <c r="M23" i="8"/>
  <c r="M168" i="8"/>
  <c r="M39" i="8"/>
  <c r="M30" i="8"/>
  <c r="M22" i="8"/>
  <c r="M217" i="8"/>
  <c r="M209" i="8"/>
  <c r="M201" i="8"/>
  <c r="M193" i="8"/>
  <c r="M185" i="8"/>
  <c r="M177" i="8"/>
  <c r="M169" i="8"/>
  <c r="M161" i="8"/>
  <c r="M153" i="8"/>
  <c r="M145" i="8"/>
  <c r="M137" i="8"/>
  <c r="M129" i="8"/>
  <c r="M121" i="8"/>
  <c r="M212" i="8"/>
  <c r="M180" i="8"/>
  <c r="M148" i="8"/>
  <c r="M116" i="8"/>
  <c r="M83" i="8"/>
  <c r="M67" i="8"/>
  <c r="M32" i="8"/>
  <c r="M196" i="8"/>
  <c r="M164" i="8"/>
  <c r="M132" i="8"/>
  <c r="M99" i="8"/>
  <c r="M51" i="8"/>
  <c r="M16" i="8"/>
  <c r="M31" i="8"/>
  <c r="M211" i="8"/>
  <c r="M195" i="8"/>
  <c r="M179" i="8"/>
  <c r="M163" i="8"/>
  <c r="M155" i="8"/>
  <c r="M147" i="8"/>
  <c r="M139" i="8"/>
  <c r="M131" i="8"/>
  <c r="M123" i="8"/>
  <c r="M115" i="8"/>
  <c r="M107" i="8"/>
  <c r="M98" i="8"/>
  <c r="M90" i="8"/>
  <c r="M82" i="8"/>
  <c r="M74" i="8"/>
  <c r="M66" i="8"/>
  <c r="M58" i="8"/>
  <c r="M50" i="8"/>
  <c r="M42" i="8"/>
  <c r="M214" i="8"/>
  <c r="M150" i="8"/>
  <c r="M85" i="8"/>
  <c r="M210" i="8"/>
  <c r="M186" i="8"/>
  <c r="M178" i="8"/>
  <c r="M146" i="8"/>
  <c r="M130" i="8"/>
  <c r="M122" i="8"/>
  <c r="M114" i="8"/>
  <c r="M105" i="8"/>
  <c r="M97" i="8"/>
  <c r="M89" i="8"/>
  <c r="M81" i="8"/>
  <c r="M73" i="8"/>
  <c r="M65" i="8"/>
  <c r="M57" i="8"/>
  <c r="M49" i="8"/>
  <c r="M41" i="8"/>
  <c r="M38" i="8"/>
  <c r="M113" i="8"/>
  <c r="M104" i="8"/>
  <c r="M96" i="8"/>
  <c r="M88" i="8"/>
  <c r="M80" i="8"/>
  <c r="M72" i="8"/>
  <c r="M64" i="8"/>
  <c r="M56" i="8"/>
  <c r="M48" i="8"/>
  <c r="M40" i="8"/>
  <c r="M21" i="8"/>
  <c r="M36" i="8"/>
  <c r="M208" i="8"/>
  <c r="M192" i="8"/>
  <c r="M176" i="8"/>
  <c r="M160" i="8"/>
  <c r="M144" i="8"/>
  <c r="M128" i="8"/>
  <c r="M112" i="8"/>
  <c r="M95" i="8"/>
  <c r="M79" i="8"/>
  <c r="M63" i="8"/>
  <c r="M47" i="8"/>
  <c r="M183" i="8"/>
  <c r="M119" i="8"/>
  <c r="M54" i="8"/>
</calcChain>
</file>

<file path=xl/sharedStrings.xml><?xml version="1.0" encoding="utf-8"?>
<sst xmlns="http://schemas.openxmlformats.org/spreadsheetml/2006/main" count="2493" uniqueCount="629">
  <si>
    <t>class</t>
  </si>
  <si>
    <t>label</t>
  </si>
  <si>
    <t>rep</t>
  </si>
  <si>
    <t>length</t>
  </si>
  <si>
    <t>width</t>
  </si>
  <si>
    <t>height</t>
  </si>
  <si>
    <t>ww_mg</t>
  </si>
  <si>
    <t>dw_mg</t>
  </si>
  <si>
    <t>Background</t>
  </si>
  <si>
    <t>Background-Bioa-1</t>
  </si>
  <si>
    <t>Background-Bioa-2</t>
  </si>
  <si>
    <t>Background-Bioa-3</t>
  </si>
  <si>
    <t>Background-Bioa-4</t>
  </si>
  <si>
    <t>Background-Bioa-5</t>
  </si>
  <si>
    <t>Background-Bioa-6</t>
  </si>
  <si>
    <t>Background-Bioa-7</t>
  </si>
  <si>
    <t>Background-Bioa-8</t>
  </si>
  <si>
    <t>Background-Bioa-9</t>
  </si>
  <si>
    <t>Background-Bioa-10</t>
  </si>
  <si>
    <t>TK-Bioa-3h-1-1</t>
  </si>
  <si>
    <t>TK-Bioa-3h-1-2</t>
  </si>
  <si>
    <t>TK-Bioa-3h-2-1</t>
  </si>
  <si>
    <t>TK-Bioa-3h-2-2</t>
  </si>
  <si>
    <t>TK-Bioa-3h-3-1</t>
  </si>
  <si>
    <t>TK-Bioa-3h-3-2</t>
  </si>
  <si>
    <t>TK-Bioa-6h-1-1</t>
  </si>
  <si>
    <t>TK-Bioa-6h-1-2</t>
  </si>
  <si>
    <t>TK-Bioa-6h-2-1</t>
  </si>
  <si>
    <t>TK-Bioa-6h-2-2</t>
  </si>
  <si>
    <t>TK-Bioa-6h-3-1</t>
  </si>
  <si>
    <t>TK-Bioa-6h-3-2</t>
  </si>
  <si>
    <t>TK-Bioa-12h-1-1</t>
  </si>
  <si>
    <t>TK-Bioa-12h-1-2</t>
  </si>
  <si>
    <t>TK-Bioa-12h-2-1</t>
  </si>
  <si>
    <t>TK-Bioa-12h-2-2</t>
  </si>
  <si>
    <t>TK-Bioa-12h-3-1</t>
  </si>
  <si>
    <t>TK-Bioa-12h-3-2</t>
  </si>
  <si>
    <t>TK-Bioa-24h-1-1</t>
  </si>
  <si>
    <t>TK-Bioa-24h-1-2</t>
  </si>
  <si>
    <t>TK-Bioa-24h-2-1</t>
  </si>
  <si>
    <t>TK-Bioa-24h-2-2</t>
  </si>
  <si>
    <t>TK-Bioa-24h-3-1</t>
  </si>
  <si>
    <t>TK-Bioa-24h-3-2</t>
  </si>
  <si>
    <t>TK-Bioa-2d-1-1</t>
  </si>
  <si>
    <t>TK-Bioa-2d-1-2</t>
  </si>
  <si>
    <t>TK-Bioa-2d-2-1</t>
  </si>
  <si>
    <t>TK-Bioa-2d-2-2</t>
  </si>
  <si>
    <t>TK-Bioa-2d-3-1</t>
  </si>
  <si>
    <t>TK-Bioa-2d-3-2</t>
  </si>
  <si>
    <t>TK-Bioa-2.5d-1-1</t>
  </si>
  <si>
    <t>TK-Bioa-2.5d-1-2</t>
  </si>
  <si>
    <t>TK-Bioa-2.5d-2-1</t>
  </si>
  <si>
    <t>TK-Bioa-2.5d-2-2</t>
  </si>
  <si>
    <t>TK-Bioa-2.5d-3-1</t>
  </si>
  <si>
    <t>TK-Bioa-2.5d-3-2</t>
  </si>
  <si>
    <t>TK-Bioa-3d-1-1</t>
  </si>
  <si>
    <t>TK-Bioa-3d-1-2</t>
  </si>
  <si>
    <t>TK-Bioa-3d-2-1</t>
  </si>
  <si>
    <t>TK-Bioa-3d-2-2</t>
  </si>
  <si>
    <t>TK-Bioa-3d-3-1</t>
  </si>
  <si>
    <t>TK-Bioa-3d-3-2</t>
  </si>
  <si>
    <t>TK-Bioa-4d-1-1</t>
  </si>
  <si>
    <t>TK-Bioa-4d-1-2</t>
  </si>
  <si>
    <t>TK-Bioa-4d-2-1</t>
  </si>
  <si>
    <t>TK-Bioa-4d-2-2</t>
  </si>
  <si>
    <t>TK-Bioa-4d-3-1</t>
  </si>
  <si>
    <t>TK-Bioa-4d-3-2</t>
  </si>
  <si>
    <t>TK-Bioa-6d-1-1</t>
  </si>
  <si>
    <t>TK-Bioa-6d-1-2</t>
  </si>
  <si>
    <t>TK-Bioa-6d-2-1</t>
  </si>
  <si>
    <t>TK-Bioa-6d-2-2</t>
  </si>
  <si>
    <t>TK-Bioa-6d-3-1</t>
  </si>
  <si>
    <t>TK-Bioa-6d-3-2</t>
  </si>
  <si>
    <t>TK-Bioa-9d-1-1</t>
  </si>
  <si>
    <t>TK-Bioa-9d-1-2</t>
  </si>
  <si>
    <t>TK-Bioa-9d-2-1</t>
  </si>
  <si>
    <t>TK-Bioa-9d-2-2</t>
  </si>
  <si>
    <t>TK-Bioa-9d-3-1</t>
  </si>
  <si>
    <t>TK-Bioa-9d-3-2</t>
  </si>
  <si>
    <t>NA</t>
  </si>
  <si>
    <t>TK-Bioa-13d-1-1</t>
  </si>
  <si>
    <t>TK-Bioa-13d-1-2</t>
  </si>
  <si>
    <t>TK-Bioa-13d-2-1</t>
  </si>
  <si>
    <t>TK-Bioa-13d-2-2</t>
  </si>
  <si>
    <t>TK-Bioa-13d-3-1</t>
  </si>
  <si>
    <t>TK-Bioa-13d-3-2</t>
  </si>
  <si>
    <t>TK-Bioa-18d-1-1</t>
  </si>
  <si>
    <t>TK-Bioa-18d-1-2</t>
  </si>
  <si>
    <t>TK-Bioa-18d-2-1</t>
  </si>
  <si>
    <t>TK-Bioa-18d-2-2</t>
  </si>
  <si>
    <t>TK-Bioa-18d-3-1</t>
  </si>
  <si>
    <t>TK-Bioa-18d-3-2</t>
  </si>
  <si>
    <t>TD-Bioa-3h-1-1</t>
  </si>
  <si>
    <t>TD-Bioa-3h-1-2</t>
  </si>
  <si>
    <t>TD-Bioa-3h-2-1</t>
  </si>
  <si>
    <t>TD-Bioa-3h-2-2</t>
  </si>
  <si>
    <t>TD-Bioa-3h-3-1</t>
  </si>
  <si>
    <t>TD-Bioa-3h-3-2</t>
  </si>
  <si>
    <t>TD-Bioa-6h-1-1</t>
  </si>
  <si>
    <t>TD-Bioa-6h-1-2</t>
  </si>
  <si>
    <t>TD-Bioa-6h-2-1</t>
  </si>
  <si>
    <t>TD-Bioa-6h-2-2</t>
  </si>
  <si>
    <t>TD-Bioa-6h-3-1</t>
  </si>
  <si>
    <t>TD-Bioa-6h-3-2</t>
  </si>
  <si>
    <t>TD-Bioa-9h-1-1</t>
  </si>
  <si>
    <t>TD-Bioa-9h-1-2</t>
  </si>
  <si>
    <t>TD-Bioa-9h-2-1</t>
  </si>
  <si>
    <t>TD-Bioa-9h-2-2</t>
  </si>
  <si>
    <t>TD-Bioa-9h-3-1</t>
  </si>
  <si>
    <t>TD-Bioa-9h-3-2</t>
  </si>
  <si>
    <t>TD-Bioa-12h-1-1</t>
  </si>
  <si>
    <t>TD-Bioa-12h-1-2</t>
  </si>
  <si>
    <t>TD-Bioa-12h-2-1</t>
  </si>
  <si>
    <t>TD-Bioa-12h-2-2</t>
  </si>
  <si>
    <t>TD-Bioa-12h-3-1</t>
  </si>
  <si>
    <t>TD-Bioa-12h-3-2</t>
  </si>
  <si>
    <t>TD-Bioa-24h-1-1</t>
  </si>
  <si>
    <t>TD-Bioa-24h-1-2</t>
  </si>
  <si>
    <t>TD-Bioa-24h-2-1</t>
  </si>
  <si>
    <t>TD-Bioa-24h-2-2</t>
  </si>
  <si>
    <t>TD-Bioa-24h-3-1</t>
  </si>
  <si>
    <t>TD-Bioa-24h-3-2</t>
  </si>
  <si>
    <t>TD-death-1-1</t>
  </si>
  <si>
    <t>TD-death-1-2</t>
  </si>
  <si>
    <t>TD-death-1-3</t>
  </si>
  <si>
    <t>TD-death-1-4</t>
  </si>
  <si>
    <t>TD-death-1-5</t>
  </si>
  <si>
    <t>TD-death-1-6</t>
  </si>
  <si>
    <t>TD-death-1-7</t>
  </si>
  <si>
    <t>TD-death-1-8</t>
  </si>
  <si>
    <t>TD-death-1-9</t>
  </si>
  <si>
    <t>TD-death-1-10</t>
  </si>
  <si>
    <t>TD-death-2-1</t>
  </si>
  <si>
    <t>TD-death-2-2</t>
  </si>
  <si>
    <t>TD-death-2-3</t>
  </si>
  <si>
    <t>TD-death-2-4</t>
  </si>
  <si>
    <t>TD-death-2-5</t>
  </si>
  <si>
    <t>TD-death-2-6</t>
  </si>
  <si>
    <t>TD-death-2-7</t>
  </si>
  <si>
    <t>TD-death-2-8</t>
  </si>
  <si>
    <t>TD-death-2-9</t>
  </si>
  <si>
    <t>TD-death-2-10</t>
  </si>
  <si>
    <t>TD-death-3-1</t>
  </si>
  <si>
    <t>TD-death-3-2</t>
  </si>
  <si>
    <t>TD-death-3-3</t>
  </si>
  <si>
    <t>TD-death-3-4</t>
  </si>
  <si>
    <t>TD-death-3-5</t>
  </si>
  <si>
    <t>TD-death-3-6</t>
  </si>
  <si>
    <t>TD-death-3-7</t>
  </si>
  <si>
    <t>TD-death-3-8</t>
  </si>
  <si>
    <t>TD-death-3-9</t>
  </si>
  <si>
    <t>TD-death-3-10</t>
  </si>
  <si>
    <t>sed-bioa-label-0-1-1 圈1</t>
  </si>
  <si>
    <t>sed-bioa-label-0-1-2 圈1</t>
  </si>
  <si>
    <t>sed-bioa-label-0-1-3 圈1</t>
  </si>
  <si>
    <t>sed-bioa-label-0-1-4 圈1</t>
  </si>
  <si>
    <t>sed-bioa-label-0-1-5 圈1</t>
  </si>
  <si>
    <t>sed-bioa-label-0-2-1 圈1</t>
  </si>
  <si>
    <t>sed-bioa-label-0-2-2 圈1</t>
  </si>
  <si>
    <t>sed-bioa-label-0-2-3 圈1</t>
  </si>
  <si>
    <t>sed-bioa-label-0-2-4 圈1</t>
  </si>
  <si>
    <t>sed-bioa-label-0-2-5 圈1</t>
  </si>
  <si>
    <t>sed-bioa-label-0-3-1 圈1</t>
  </si>
  <si>
    <t>sed-bioa-label-0-3-2 圈1</t>
  </si>
  <si>
    <t>sed-bioa-label-0-3-3 圈1</t>
  </si>
  <si>
    <t>sed-bioa-label-0-3-4 圈1</t>
  </si>
  <si>
    <t>sed-bioa-label-0-3-5 圈1</t>
  </si>
  <si>
    <t>sed-bioa-label-400-1-1 圈1</t>
  </si>
  <si>
    <t>sed-bioa-label-400-1-2 圈1</t>
  </si>
  <si>
    <t>sed-bioa-label-400-1-3 圈1</t>
  </si>
  <si>
    <t>sed-bioa-label-400-1-4 圈1</t>
  </si>
  <si>
    <t>sed-bioa-label-400-1-5 圈1</t>
  </si>
  <si>
    <t>sed-bioa-label-400-2-1 圈1</t>
  </si>
  <si>
    <t>sed-bioa-label-400-2-2 圈1</t>
  </si>
  <si>
    <t>sed-bioa-label-400-2-3 圈1</t>
  </si>
  <si>
    <t>sed-bioa-label-400-2-4 圈1</t>
  </si>
  <si>
    <t>sed-bioa-label-400-2-5 圈1</t>
  </si>
  <si>
    <t>sed-bioa-label-400-3-1 圈1</t>
  </si>
  <si>
    <t>sed-bioa-label-400-3-2 圈1</t>
  </si>
  <si>
    <t>sed-bioa-label-400-3-3 圈1</t>
  </si>
  <si>
    <t>sed-bioa-label-400-3-4 圈1</t>
  </si>
  <si>
    <t>sed-bioa-label-400-3-5 圈1</t>
  </si>
  <si>
    <t>sed-bioa-label-800-1-1 圈1</t>
  </si>
  <si>
    <t>sed-bioa-label-800-1-2 圈1</t>
  </si>
  <si>
    <t>sed-bioa-label-800-1-3 圈1</t>
  </si>
  <si>
    <t>sed-bioa-label-800-1-4 圈1</t>
  </si>
  <si>
    <t>sed-bioa-label-800-1-5 圈1</t>
  </si>
  <si>
    <t>sed-bioa-label-800-2-1 圈1</t>
  </si>
  <si>
    <t>sed-bioa-label-800-2-2 圈1</t>
  </si>
  <si>
    <t>sed-bioa-label-800-2-3 圈1</t>
  </si>
  <si>
    <t>sed-bioa-label-800-2-4 圈1</t>
  </si>
  <si>
    <t>sed-bioa-label-800-2-5 圈1</t>
  </si>
  <si>
    <t>sed-bioa-label-800-3-1 圈1</t>
  </si>
  <si>
    <t>sed-bioa-label-800-3-2 圈1</t>
  </si>
  <si>
    <t>sed-bioa-label-800-3-3 圈1</t>
  </si>
  <si>
    <t>sed-bioa-label-800-3-4 圈1</t>
  </si>
  <si>
    <t>sed-bioa-label-800-3-5 圈1</t>
  </si>
  <si>
    <t>sed-bioa-label-1200-1-1 圈1</t>
  </si>
  <si>
    <t>sed-bioa-label-1200-1-2 圈1</t>
  </si>
  <si>
    <t>sed-bioa-label-1200-1-3 圈1</t>
  </si>
  <si>
    <t>sed-bioa-label-1200-1-4 圈1</t>
  </si>
  <si>
    <t>sed-bioa-label-1200-1-5 圈1</t>
  </si>
  <si>
    <t>sed-bioa-label-1200-2-1 圈1</t>
  </si>
  <si>
    <t>sed-bioa-label-1200-2-2 圈1</t>
  </si>
  <si>
    <t>sed-bioa-label-1200-2-3 圈1</t>
  </si>
  <si>
    <t>sed-bioa-label-1200-2-4 圈1</t>
  </si>
  <si>
    <t>sed-bioa-label-1200-2-5 圈1</t>
  </si>
  <si>
    <t>sed-bioa-label-1200-3-1 圈1</t>
  </si>
  <si>
    <t>sed-bioa-label-1200-3-2 圈1</t>
  </si>
  <si>
    <t>sed-bioa-label-1200-3-3 圈1</t>
  </si>
  <si>
    <t>sed-bioa-label-1200-3-4 圈1</t>
  </si>
  <si>
    <t>sed-bioa-label-1200-3-5 圈1</t>
  </si>
  <si>
    <t>sed-bioa-label-0-1-1 圈2</t>
  </si>
  <si>
    <t>sed-bioa-label-0-1-2 圈2</t>
  </si>
  <si>
    <t>sed-bioa-label-0-1-3 圈2</t>
  </si>
  <si>
    <t>sed-bioa-label-0-1-4 圈2</t>
  </si>
  <si>
    <t>sed-bioa-label-0-1-5 圈2</t>
  </si>
  <si>
    <t>sed-bioa-label-0-2-1 圈2</t>
  </si>
  <si>
    <t>sed-bioa-label-0-2-2 圈2</t>
  </si>
  <si>
    <t>sed-bioa-label-0-2-3 圈2</t>
  </si>
  <si>
    <t>sed-bioa-label-0-2-4 圈2</t>
  </si>
  <si>
    <t>sed-bioa-label-0-2-5 圈2</t>
  </si>
  <si>
    <t>sed-bioa-label-0-3-1 圈2</t>
  </si>
  <si>
    <t>sed-bioa-label-0-3-2 圈2</t>
  </si>
  <si>
    <t>sed-bioa-label-0-3-3 圈2</t>
  </si>
  <si>
    <t>sed-bioa-label-0-3-4 圈2</t>
  </si>
  <si>
    <t>sed-bioa-label-0-3-5 圈2</t>
  </si>
  <si>
    <t>sed-bioa-label-400-1-1 圈2</t>
  </si>
  <si>
    <t>sed-bioa-label-400-1-2 圈2</t>
  </si>
  <si>
    <t>sed-bioa-label-400-1-3 圈2</t>
  </si>
  <si>
    <t>sed-bioa-label-400-1-4 圈2</t>
  </si>
  <si>
    <t>sed-bioa-label-400-1-5 圈2</t>
  </si>
  <si>
    <t>sed-bioa-label-400-2-1 圈2</t>
  </si>
  <si>
    <t>sed-bioa-label-400-2-2 圈2</t>
  </si>
  <si>
    <t>sed-bioa-label-400-2-3 圈2</t>
  </si>
  <si>
    <t>sed-bioa-label-400-2-4 圈2</t>
  </si>
  <si>
    <t>sed-bioa-label-400-2-5 圈2</t>
  </si>
  <si>
    <t>sed-bioa-label-400-3-1 圈2</t>
  </si>
  <si>
    <t>sed-bioa-label-400-3-2 圈2</t>
  </si>
  <si>
    <t>sed-bioa-label-400-3-3 圈2</t>
  </si>
  <si>
    <t>sed-bioa-label-400-3-4 圈2</t>
  </si>
  <si>
    <t>sed-bioa-label-400-3-5 圈2</t>
  </si>
  <si>
    <t>sed-bioa-label-800-1-1 圈2</t>
  </si>
  <si>
    <t>sed-bioa-label-800-1-2 圈2</t>
  </si>
  <si>
    <t>sed-bioa-label-800-1-3 圈2</t>
  </si>
  <si>
    <t>sed-bioa-label-800-1-4 圈2</t>
  </si>
  <si>
    <t>sed-bioa-label-800-1-5 圈2</t>
  </si>
  <si>
    <t>sed-bioa-label-800-2-1 圈2</t>
  </si>
  <si>
    <t>sed-bioa-label-800-2-2 圈2</t>
  </si>
  <si>
    <t>sed-bioa-label-800-2-3 圈2</t>
  </si>
  <si>
    <t>sed-bioa-label-800-2-4 圈2</t>
  </si>
  <si>
    <t>sed-bioa-label-800-2-5 圈2</t>
  </si>
  <si>
    <t>sed-bioa-label-800-3-1 圈2</t>
  </si>
  <si>
    <t>sed-bioa-label-800-3-2 圈2</t>
  </si>
  <si>
    <t>sed-bioa-label-800-3-3 圈2</t>
  </si>
  <si>
    <t>sed-bioa-label-800-3-4 圈2</t>
  </si>
  <si>
    <t>sed-bioa-label-800-3-5 圈2</t>
  </si>
  <si>
    <t>sed-bioa-label-1200-1-1 圈2</t>
  </si>
  <si>
    <t>sed-bioa-label-1200-1-2 圈2</t>
  </si>
  <si>
    <t>sed-bioa-label-1200-1-3 圈2</t>
  </si>
  <si>
    <t>sed-bioa-label-1200-1-4 圈2</t>
  </si>
  <si>
    <t>sed-bioa-label-1200-1-5 圈2</t>
  </si>
  <si>
    <t>sed-bioa-label-1200-2-1 圈2</t>
  </si>
  <si>
    <t>sed-bioa-label-1200-2-2 圈2</t>
  </si>
  <si>
    <t>sed-bioa-label-1200-2-3 圈2</t>
  </si>
  <si>
    <t>sed-bioa-label-1200-2-4 圈2</t>
  </si>
  <si>
    <t>sed-bioa-label-1200-2-5 圈2</t>
  </si>
  <si>
    <t>sed-bioa-label-1200-3-1 圈2</t>
  </si>
  <si>
    <t>sed-bioa-label-1200-3-2 圈2</t>
  </si>
  <si>
    <t>sed-bioa-label-1200-3-3 圈2</t>
  </si>
  <si>
    <t>sed-bioa-label-1200-3-4 圈2</t>
  </si>
  <si>
    <t>sed-bioa-label-1200-3-5 圈2</t>
  </si>
  <si>
    <t>sed-bioa-label-0-1-1 圈3</t>
  </si>
  <si>
    <t>sed-bioa-label-0-1-2 圈3</t>
  </si>
  <si>
    <t>sed-bioa-label-0-1-3 圈3</t>
  </si>
  <si>
    <t>sed-bioa-label-0-1-4 圈3</t>
  </si>
  <si>
    <t>sed-bioa-label-0-1-5 圈3</t>
  </si>
  <si>
    <t>sed-bioa-label-0-2-1 圈3</t>
  </si>
  <si>
    <t>sed-bioa-label-0-2-2 圈3</t>
  </si>
  <si>
    <t>sed-bioa-label-0-2-3 圈3</t>
  </si>
  <si>
    <t>sed-bioa-label-0-2-4 圈3</t>
  </si>
  <si>
    <t>sed-bioa-label-0-2-5 圈3</t>
  </si>
  <si>
    <t>sed-bioa-label-0-3-1 圈3</t>
  </si>
  <si>
    <t>sed-bioa-label-0-3-2 圈3</t>
  </si>
  <si>
    <t>sed-bioa-label-0-3-3 圈3</t>
  </si>
  <si>
    <t>sed-bioa-label-0-3-4 圈3</t>
  </si>
  <si>
    <t>sed-bioa-label-0-3-5 圈3</t>
  </si>
  <si>
    <t>sed-bioa-label-400-1-1 圈3</t>
  </si>
  <si>
    <t>sed-bioa-label-400-1-2 圈3</t>
  </si>
  <si>
    <t>sed-bioa-label-400-1-3 圈3</t>
  </si>
  <si>
    <t>sed-bioa-label-400-1-4 圈3</t>
  </si>
  <si>
    <t>sed-bioa-label-400-1-5 圈3</t>
  </si>
  <si>
    <t>sed-bioa-label-400-2-1 圈3</t>
  </si>
  <si>
    <t>sed-bioa-label-400-2-2 圈3</t>
  </si>
  <si>
    <t>sed-bioa-label-400-2-3 圈3</t>
  </si>
  <si>
    <t>sed-bioa-label-400-2-4 圈3</t>
  </si>
  <si>
    <t>sed-bioa-label-400-2-5 圈3</t>
  </si>
  <si>
    <t>sed-bioa-label-400-3-1 圈3</t>
  </si>
  <si>
    <t>sed-bioa-label-400-3-2 圈3</t>
  </si>
  <si>
    <t>sed-bioa-label-400-3-3 圈3</t>
  </si>
  <si>
    <t>sed-bioa-label-400-3-4 圈3</t>
  </si>
  <si>
    <t>sed-bioa-label-400-3-5 圈3</t>
  </si>
  <si>
    <t>sed-bioa-label-800-1-1 圈3</t>
  </si>
  <si>
    <t>sed-bioa-label-800-1-2 圈3</t>
  </si>
  <si>
    <t>sed-bioa-label-800-1-3 圈3</t>
  </si>
  <si>
    <t>sed-bioa-label-800-1-4 圈3</t>
  </si>
  <si>
    <t>sed-bioa-label-800-1-5 圈3</t>
  </si>
  <si>
    <t>sed-bioa-label-800-2-1 圈3</t>
  </si>
  <si>
    <t>sed-bioa-label-800-2-2 圈3</t>
  </si>
  <si>
    <t>sed-bioa-label-800-2-3 圈3</t>
  </si>
  <si>
    <t>sed-bioa-label-800-2-4 圈3</t>
  </si>
  <si>
    <t>sed-bioa-label-800-2-5 圈3</t>
  </si>
  <si>
    <t>sed-bioa-label-800-3-1 圈3</t>
  </si>
  <si>
    <t>sed-bioa-label-800-3-2 圈3</t>
  </si>
  <si>
    <t>sed-bioa-label-800-3-3 圈3</t>
  </si>
  <si>
    <t>sed-bioa-label-800-3-4 圈3</t>
  </si>
  <si>
    <t>sed-bioa-label-800-3-5 圈3</t>
  </si>
  <si>
    <t>sed-bioa-label-1200-1-1 圈3</t>
  </si>
  <si>
    <t>sed-bioa-label-1200-1-2 圈3</t>
  </si>
  <si>
    <t>sed-bioa-label-1200-1-3 圈3</t>
  </si>
  <si>
    <t>sed-bioa-label-1200-1-4 圈3</t>
  </si>
  <si>
    <t>sed-bioa-label-1200-1-5 圈3</t>
  </si>
  <si>
    <t>sed-bioa-label-1200-2-1 圈3</t>
  </si>
  <si>
    <t>sed-bioa-label-1200-2-2 圈3</t>
  </si>
  <si>
    <t>sed-bioa-label-1200-2-3 圈3</t>
  </si>
  <si>
    <t>sed-bioa-label-1200-2-4 圈3</t>
  </si>
  <si>
    <t>sed-bioa-label-1200-2-5 圈3</t>
  </si>
  <si>
    <t>sed-bioa-label-1200-3-1 圈3</t>
  </si>
  <si>
    <t>sed-bioa-label-1200-3-2 圈3</t>
  </si>
  <si>
    <t>sed-bioa-label-1200-3-3 圈3</t>
  </si>
  <si>
    <t>sed-bioa-label-1200-3-4 圈3</t>
  </si>
  <si>
    <t>sed-bioa-label-1200-3-5 圈3</t>
  </si>
  <si>
    <t>sed-bioa-label-0-1-1 圈4</t>
  </si>
  <si>
    <t>sed-bioa-label-0-1-2 圈4</t>
  </si>
  <si>
    <t>sed-bioa-label-0-1-3 圈4</t>
  </si>
  <si>
    <t>sed-bioa-label-0-1-4 圈4</t>
  </si>
  <si>
    <t>sed-bioa-label-0-1-5 圈4</t>
  </si>
  <si>
    <t>sed-bioa-label-0-2-1 圈4</t>
  </si>
  <si>
    <t>sed-bioa-label-0-2-2 圈4</t>
  </si>
  <si>
    <t>sed-bioa-label-0-2-3 圈4</t>
  </si>
  <si>
    <t>sed-bioa-label-0-2-4 圈4</t>
  </si>
  <si>
    <t>sed-bioa-label-0-2-5 圈4</t>
  </si>
  <si>
    <t>sed-bioa-label-0-2-6 圈4</t>
  </si>
  <si>
    <t>sed-bioa-label-0-3-1 圈4</t>
  </si>
  <si>
    <t>sed-bioa-label-0-3-2 圈4</t>
  </si>
  <si>
    <t>sed-bioa-label-0-3-3 圈4</t>
  </si>
  <si>
    <t>sed-bioa-label-0-3-4 圈4</t>
  </si>
  <si>
    <t>sed-bioa-label-0-3-5 圈4</t>
  </si>
  <si>
    <t>sed-bioa-label-400-1-1 圈4</t>
  </si>
  <si>
    <t>sed-bioa-label-400-1-2 圈4</t>
  </si>
  <si>
    <t>sed-bioa-label-400-1-3 圈4</t>
  </si>
  <si>
    <t>sed-bioa-label-400-1-4 圈4</t>
  </si>
  <si>
    <t>sed-bioa-label-400-1-5 圈4</t>
  </si>
  <si>
    <t>sed-bioa-label-400-2-1 圈4</t>
  </si>
  <si>
    <t>sed-bioa-label-400-2-2 圈4</t>
  </si>
  <si>
    <t>sed-bioa-label-400-2-3 圈4</t>
  </si>
  <si>
    <t>sed-bioa-label-400-2-4 圈4</t>
  </si>
  <si>
    <t>sed-bioa-label-400-2-5 圈4</t>
  </si>
  <si>
    <t>sed-bioa-label-400-3-1 圈4</t>
  </si>
  <si>
    <t>sed-bioa-label-400-3-2 圈4</t>
  </si>
  <si>
    <t>sed-bioa-label-400-3-3 圈4</t>
  </si>
  <si>
    <t>sed-bioa-label-400-3-4 圈4</t>
  </si>
  <si>
    <t>sed-bioa-label-400-3-5 圈4</t>
  </si>
  <si>
    <t>sed-bioa-label-800-1-1 圈4</t>
  </si>
  <si>
    <t>sed-bioa-label-800-1-2 圈4</t>
  </si>
  <si>
    <t>sed-bioa-label-800-1-3 圈4</t>
  </si>
  <si>
    <t>sed-bioa-label-800-1-4 圈4</t>
  </si>
  <si>
    <t>sed-bioa-label-800-1-5 圈4</t>
  </si>
  <si>
    <t>sed-bioa-label-800-2-1 圈4</t>
  </si>
  <si>
    <t>sed-bioa-label-800-2-2 圈4</t>
  </si>
  <si>
    <t>sed-bioa-label-800-2-3 圈4</t>
  </si>
  <si>
    <t>sed-bioa-label-800-2-4 圈4</t>
  </si>
  <si>
    <t>sed-bioa-label-800-2-5 圈4</t>
  </si>
  <si>
    <t>sed-bioa-label-800-3-1 圈4</t>
  </si>
  <si>
    <t>sed-bioa-label-800-3-2 圈4</t>
  </si>
  <si>
    <t>sed-bioa-label-800-3-3 圈4</t>
  </si>
  <si>
    <t>sed-bioa-label-800-3-4 圈4</t>
  </si>
  <si>
    <t>sed-bioa-label-800-3-5 圈4</t>
  </si>
  <si>
    <t>sed-bioa-label-0-1-1 圈5</t>
  </si>
  <si>
    <t>sed-bioa-label-0-1-2 圈5</t>
  </si>
  <si>
    <t>sed-bioa-label-0-1-3 圈5</t>
  </si>
  <si>
    <t>sed-bioa-label-0-1-4 圈5</t>
  </si>
  <si>
    <t>sed-bioa-label-0-1-5 圈5</t>
  </si>
  <si>
    <t>sed-bioa-label-0-2-1 圈5</t>
  </si>
  <si>
    <t>sed-bioa-label-0-2-2 圈5</t>
  </si>
  <si>
    <t>sed-bioa-label-0-2-3 圈5</t>
  </si>
  <si>
    <t>sed-bioa-label-0-2-4 圈5</t>
  </si>
  <si>
    <t>sed-bioa-label-0-2-5 圈5</t>
  </si>
  <si>
    <t>sed-bioa-label-0-3-1 圈5</t>
  </si>
  <si>
    <t>sed-bioa-label-0-3-2 圈5</t>
  </si>
  <si>
    <t>sed-bioa-label-0-3-3 圈5</t>
  </si>
  <si>
    <t>sed-bioa-label-0-3-4 圈5</t>
  </si>
  <si>
    <t>sed-bioa-label-0-3-5 圈5</t>
  </si>
  <si>
    <t>sed-bioa-label-400-1-1 圈5</t>
  </si>
  <si>
    <t>sed-bioa-label-400-1-2 圈5</t>
  </si>
  <si>
    <t>sed-bioa-label-400-1-3 圈5</t>
  </si>
  <si>
    <t>sed-bioa-label-400-1-4 圈5</t>
  </si>
  <si>
    <t>sed-bioa-label-400-1-5 圈5</t>
  </si>
  <si>
    <t>sed-bioa-label-400-2-1 圈5</t>
  </si>
  <si>
    <t>sed-bioa-label-400-2-2 圈5</t>
  </si>
  <si>
    <t>sed-bioa-label-400-2-3 圈5</t>
  </si>
  <si>
    <t>sed-bioa-label-400-2-4 圈5</t>
  </si>
  <si>
    <t>sed-bioa-label-400-2-5 圈5</t>
  </si>
  <si>
    <t>sed-bioa-label-400-3-1 圈5</t>
  </si>
  <si>
    <t>sed-bioa-label-400-3-2 圈5</t>
  </si>
  <si>
    <t>sed-bioa-label-400-3-3 圈5</t>
  </si>
  <si>
    <t>sed-bioa-label-400-3-4 圈5</t>
  </si>
  <si>
    <t>sed-bioa-label-400-3-5 圈5</t>
  </si>
  <si>
    <t>sed-bioa-label-800-1-1 圈5</t>
  </si>
  <si>
    <t>sed-bioa-label-800-1-2 圈5</t>
  </si>
  <si>
    <t>sed-bioa-label-800-1-3 圈5</t>
  </si>
  <si>
    <t>sed-bioa-label-800-1-4 圈5</t>
  </si>
  <si>
    <t>sed-bioa-label-800-1-5 圈5</t>
  </si>
  <si>
    <t>sed-bioa-label-800-2-1 圈5</t>
  </si>
  <si>
    <t>sed-bioa-label-800-2-2 圈5</t>
  </si>
  <si>
    <t>sed-bioa-label-800-2-3 圈5</t>
  </si>
  <si>
    <t>sed-bioa-label-800-2-4 圈5</t>
  </si>
  <si>
    <t>sed-bioa-label-800-2-5 圈5</t>
  </si>
  <si>
    <t>sed-bioa-label-800-3-1 圈5</t>
  </si>
  <si>
    <t>sed-bioa-label-800-3-2 圈5</t>
  </si>
  <si>
    <t>sed-bioa-label-800-3-3 圈5</t>
  </si>
  <si>
    <t>sed-bioa-label-800-3-4 圈5</t>
  </si>
  <si>
    <t>sed-bioa-label-800-3-5 圈5</t>
  </si>
  <si>
    <t>sed-bioa-acc-0-1-1</t>
  </si>
  <si>
    <t>sed-bioa-acc-0-1-2</t>
  </si>
  <si>
    <t>sed-bioa-acc-0-1-3</t>
  </si>
  <si>
    <t>sed-bioa-acc-0-1-4</t>
  </si>
  <si>
    <t>sed-bioa-acc-0-1-5</t>
  </si>
  <si>
    <t>sed-bioa-acc-0-1-6</t>
  </si>
  <si>
    <t>sed-bioa-acc-0-1-7</t>
  </si>
  <si>
    <t>sed-bioa-acc-0-1-8</t>
  </si>
  <si>
    <t>sed-bioa-acc-0-1-9</t>
  </si>
  <si>
    <t>sed-bioa-acc-0-1-10</t>
  </si>
  <si>
    <t>sed-bioa-acc-0-2-1</t>
  </si>
  <si>
    <t>sed-bioa-acc-0-2-2</t>
  </si>
  <si>
    <t>sed-bioa-acc-0-2-3</t>
  </si>
  <si>
    <t>sed-bioa-acc-0-2-4</t>
  </si>
  <si>
    <t>sed-bioa-acc-0-2-5</t>
  </si>
  <si>
    <t>sed-bioa-acc-0-2-6</t>
  </si>
  <si>
    <t>sed-bioa-acc-0-2-7</t>
  </si>
  <si>
    <t>sed-bioa-acc-0-2-8</t>
  </si>
  <si>
    <t>sed-bioa-acc-0-2-9</t>
  </si>
  <si>
    <t>sed-bioa-acc-0-2-10</t>
  </si>
  <si>
    <t>sed-bioa-acc-0-3-1</t>
  </si>
  <si>
    <t>sed-bioa-acc-0-3-2</t>
  </si>
  <si>
    <t>sed-bioa-acc-0-3-3</t>
  </si>
  <si>
    <t>sed-bioa-acc-0-3-4</t>
  </si>
  <si>
    <t>sed-bioa-acc-0-3-5</t>
  </si>
  <si>
    <t>sed-bioa-acc-0-3-6</t>
  </si>
  <si>
    <t>sed-bioa-acc-0-3-7</t>
  </si>
  <si>
    <t>sed-bioa-acc-0-3-8</t>
  </si>
  <si>
    <t>sed-bioa-acc-0-3-9</t>
  </si>
  <si>
    <t>sed-bioa-acc-0-3-10</t>
  </si>
  <si>
    <t>sed-bioa-acc-400-1-1</t>
  </si>
  <si>
    <t>sed-bioa-acc-400-1-2</t>
  </si>
  <si>
    <t>sed-bioa-acc-400-1-3</t>
  </si>
  <si>
    <t>sed-bioa-acc-400-1-4</t>
  </si>
  <si>
    <t>sed-bioa-acc-400-1-5</t>
  </si>
  <si>
    <t>sed-bioa-acc-400-1-6</t>
  </si>
  <si>
    <t>sed-bioa-acc-400-1-7</t>
  </si>
  <si>
    <t>sed-bioa-acc-400-1-8</t>
  </si>
  <si>
    <t>sed-bioa-acc-400-1-9</t>
  </si>
  <si>
    <t>sed-bioa-acc-400-1-10</t>
  </si>
  <si>
    <t>sed-bioa-acc-400-2-1</t>
  </si>
  <si>
    <t>sed-bioa-acc-400-2-2</t>
  </si>
  <si>
    <t>sed-bioa-acc-400-2-3</t>
  </si>
  <si>
    <t>sed-bioa-acc-400-2-4</t>
  </si>
  <si>
    <t>sed-bioa-acc-400-2-5</t>
  </si>
  <si>
    <t>sed-bioa-acc-400-2-6</t>
  </si>
  <si>
    <t>sed-bioa-acc-400-2-7</t>
  </si>
  <si>
    <t>sed-bioa-acc-400-2-8</t>
  </si>
  <si>
    <t>sed-bioa-acc-400-2-9</t>
  </si>
  <si>
    <t>sed-bioa-acc-400-2-10</t>
  </si>
  <si>
    <t>sed-bioa-acc-400-3-1</t>
  </si>
  <si>
    <t>sed-bioa-acc-400-3-2</t>
  </si>
  <si>
    <t>sed-bioa-acc-400-3-3</t>
  </si>
  <si>
    <t>sed-bioa-acc-400-3-4</t>
  </si>
  <si>
    <t>sed-bioa-acc-400-3-5</t>
  </si>
  <si>
    <t>sed-bioa-acc-400-3-6</t>
  </si>
  <si>
    <t>sed-bioa-acc-400-3-7</t>
  </si>
  <si>
    <t>sed-bioa-acc-400-3-8</t>
  </si>
  <si>
    <t>sed-bioa-acc-400-3-9</t>
  </si>
  <si>
    <t>sed-bioa-acc-400-3-10</t>
  </si>
  <si>
    <t>sed-bioa-acc-800-1-1</t>
  </si>
  <si>
    <t>sed-bioa-acc-800-1-2</t>
  </si>
  <si>
    <t>sed-bioa-acc-800-1-3</t>
  </si>
  <si>
    <t>sed-bioa-acc-800-2-1</t>
  </si>
  <si>
    <t>sed-bioa-acc-800-2-2</t>
  </si>
  <si>
    <t>sed-bioa-acc-800-2-3</t>
  </si>
  <si>
    <t>sed-bioa-acc-800-3-1</t>
  </si>
  <si>
    <t>water-lebeling-1-1</t>
  </si>
  <si>
    <t>water-lebeling-1-2</t>
  </si>
  <si>
    <t>water-lebeling-1-3</t>
  </si>
  <si>
    <t>water-lebeling-1-4</t>
  </si>
  <si>
    <t>water-lebeling-1-5</t>
  </si>
  <si>
    <t>water-lebeling-1-6</t>
  </si>
  <si>
    <t>water-lebeling-1-7</t>
  </si>
  <si>
    <t>water-lebeling-1-8</t>
  </si>
  <si>
    <t>water-lebeling-1-9</t>
  </si>
  <si>
    <t>water-lebeling-1-10</t>
  </si>
  <si>
    <t>water-labeling-2-1</t>
  </si>
  <si>
    <t>water-labeling-2-2</t>
  </si>
  <si>
    <t>water-labeling-2-3</t>
  </si>
  <si>
    <t>water-labeling-2-4</t>
  </si>
  <si>
    <t>water-labeling-2-5</t>
  </si>
  <si>
    <t>water-labeling-2-6</t>
  </si>
  <si>
    <t>water-labeling-2-7</t>
  </si>
  <si>
    <t>water-labeling-2-8</t>
  </si>
  <si>
    <t>water-labeling-2-9</t>
  </si>
  <si>
    <t>water-labeling-2-10</t>
  </si>
  <si>
    <t>water-labeling-3-1</t>
  </si>
  <si>
    <t>water-labeling-3-2</t>
  </si>
  <si>
    <t>water-labeling-3-3</t>
  </si>
  <si>
    <t>water-labeling-3-4</t>
  </si>
  <si>
    <t>water-labeling-3-5</t>
  </si>
  <si>
    <t>water-labeling-3-6</t>
  </si>
  <si>
    <t>water-labeling-3-7</t>
  </si>
  <si>
    <t>water-labeling-3-8</t>
  </si>
  <si>
    <t>water-labeling-3-9</t>
  </si>
  <si>
    <t>water-labeling-3-10</t>
  </si>
  <si>
    <t>water-labeling-4-1</t>
  </si>
  <si>
    <t>water-labeling-4-2</t>
  </si>
  <si>
    <t>water-labeling-4-3</t>
  </si>
  <si>
    <t>water-labeling-4-4</t>
  </si>
  <si>
    <t>water-labeling-4-5</t>
  </si>
  <si>
    <t>water-labeling-4-6</t>
  </si>
  <si>
    <t>water-labeling-4-7</t>
  </si>
  <si>
    <t>water-labeling-4-8</t>
  </si>
  <si>
    <t>water-labeling-4-9</t>
  </si>
  <si>
    <t>water-labeling-4-10</t>
  </si>
  <si>
    <t>water-labeling-5-1</t>
  </si>
  <si>
    <t>water-labeling-5-2</t>
  </si>
  <si>
    <t>water-labeling-5-3</t>
  </si>
  <si>
    <t>water-labeling-5-4</t>
  </si>
  <si>
    <t>water-labeling-5-5</t>
  </si>
  <si>
    <t>water-labeling-5-6</t>
  </si>
  <si>
    <t>water-labeling-5-7</t>
  </si>
  <si>
    <t>water-labeling-5-8</t>
  </si>
  <si>
    <t>water-labeling-5-9</t>
  </si>
  <si>
    <t>water-labeling-5-10</t>
  </si>
  <si>
    <t>batch</t>
  </si>
  <si>
    <t>tab</t>
  </si>
  <si>
    <t>time_h</t>
  </si>
  <si>
    <t>time_d</t>
  </si>
  <si>
    <t>begin_time</t>
  </si>
  <si>
    <t>end_time</t>
  </si>
  <si>
    <t>real_time_h</t>
  </si>
  <si>
    <t>real_time_d</t>
  </si>
  <si>
    <t>TK</t>
  </si>
  <si>
    <t>TK-Bioa-18d-1-3</t>
  </si>
  <si>
    <t>TK-Bioa-18d-1-4</t>
  </si>
  <si>
    <t>TK-Bioa-18d-2-3</t>
  </si>
  <si>
    <t>TK-Bioa-18d-2-4</t>
  </si>
  <si>
    <t>TK-Bioa-18d-3-3</t>
  </si>
  <si>
    <t>TK-Bioa-18d-3-4</t>
  </si>
  <si>
    <t>group</t>
  </si>
  <si>
    <t>TK_water</t>
  </si>
  <si>
    <t>TD</t>
  </si>
  <si>
    <t>TD_death</t>
  </si>
  <si>
    <t>不清</t>
  </si>
  <si>
    <t>sed_label</t>
  </si>
  <si>
    <t>sed_acc</t>
  </si>
  <si>
    <t>water_label</t>
  </si>
  <si>
    <t>class</t>
    <phoneticPr fontId="2" type="noConversion"/>
  </si>
  <si>
    <t>death_seq</t>
    <phoneticPr fontId="2" type="noConversion"/>
  </si>
  <si>
    <t>sed_ow</t>
    <phoneticPr fontId="2" type="noConversion"/>
  </si>
  <si>
    <t>time_h</t>
    <phoneticPr fontId="2" type="noConversion"/>
  </si>
  <si>
    <t>time_d</t>
    <phoneticPr fontId="2" type="noConversion"/>
  </si>
  <si>
    <t>rep</t>
    <phoneticPr fontId="2" type="noConversion"/>
  </si>
  <si>
    <t>B</t>
    <phoneticPr fontId="2" type="noConversion"/>
  </si>
  <si>
    <t>A</t>
    <phoneticPr fontId="2" type="noConversion"/>
  </si>
  <si>
    <t>sed_death</t>
    <phoneticPr fontId="2" type="noConversion"/>
  </si>
  <si>
    <t>death_num</t>
    <phoneticPr fontId="2" type="noConversion"/>
  </si>
  <si>
    <t>TD_water</t>
    <phoneticPr fontId="2" type="noConversion"/>
  </si>
  <si>
    <t>group</t>
    <phoneticPr fontId="2" type="noConversion"/>
  </si>
  <si>
    <t>tab</t>
    <phoneticPr fontId="2" type="noConversion"/>
  </si>
  <si>
    <t>full_num</t>
    <phoneticPr fontId="2" type="noConversion"/>
  </si>
  <si>
    <t>Time_h</t>
    <phoneticPr fontId="2" type="noConversion"/>
  </si>
  <si>
    <t>Time_d</t>
    <phoneticPr fontId="2" type="noConversion"/>
  </si>
  <si>
    <t>DGT</t>
    <phoneticPr fontId="2" type="noConversion"/>
  </si>
  <si>
    <t>batch</t>
    <phoneticPr fontId="2" type="noConversion"/>
  </si>
  <si>
    <t>real_time_s</t>
    <phoneticPr fontId="2" type="noConversion"/>
  </si>
  <si>
    <t>dilute</t>
    <phoneticPr fontId="1" type="noConversion"/>
  </si>
  <si>
    <t>Cu63_meas</t>
    <phoneticPr fontId="1" type="noConversion"/>
  </si>
  <si>
    <t>Cu65_meas</t>
    <phoneticPr fontId="1" type="noConversion"/>
  </si>
  <si>
    <t>Cu63_ug_g</t>
    <phoneticPr fontId="1" type="noConversion"/>
  </si>
  <si>
    <t>Cu65_ug_g</t>
    <phoneticPr fontId="1" type="noConversion"/>
  </si>
  <si>
    <t>ww_g</t>
    <phoneticPr fontId="1" type="noConversion"/>
  </si>
  <si>
    <t>dw_g</t>
    <phoneticPr fontId="1" type="noConversion"/>
  </si>
  <si>
    <t>Cu63_meas</t>
    <phoneticPr fontId="2" type="noConversion"/>
  </si>
  <si>
    <t>Cu65_meas</t>
    <phoneticPr fontId="2" type="noConversion"/>
  </si>
  <si>
    <t>ww_g</t>
    <phoneticPr fontId="2" type="noConversion"/>
  </si>
  <si>
    <t>dw_g</t>
    <phoneticPr fontId="2" type="noConversion"/>
  </si>
  <si>
    <t>dilute</t>
    <phoneticPr fontId="2" type="noConversion"/>
  </si>
  <si>
    <t>new_Cu65_ug_g</t>
    <phoneticPr fontId="2" type="noConversion"/>
  </si>
  <si>
    <t>flags</t>
    <phoneticPr fontId="2" type="noConversion"/>
  </si>
  <si>
    <t>T_Cu63_ug_g</t>
    <phoneticPr fontId="2" type="noConversion"/>
  </si>
  <si>
    <t>T_Cu65_ug_g</t>
    <phoneticPr fontId="2" type="noConversion"/>
  </si>
  <si>
    <t>T_Cu63_ug_L</t>
    <phoneticPr fontId="2" type="noConversion"/>
  </si>
  <si>
    <t>T_Cu65_ug_L</t>
    <phoneticPr fontId="2" type="noConversion"/>
  </si>
  <si>
    <t>net_Cu65_ug_L</t>
    <phoneticPr fontId="2" type="noConversion"/>
  </si>
  <si>
    <t>ww_g</t>
  </si>
  <si>
    <t>dw_g</t>
  </si>
  <si>
    <t>dilute</t>
  </si>
  <si>
    <t>Cu63_meas</t>
  </si>
  <si>
    <t>Cu65_meas</t>
  </si>
  <si>
    <t>new_Cu65_ug_g</t>
  </si>
  <si>
    <t>T_Cu_ug_L</t>
    <phoneticPr fontId="2" type="noConversion"/>
  </si>
  <si>
    <t>Cu63_ug_g</t>
    <phoneticPr fontId="2" type="noConversion"/>
  </si>
  <si>
    <t>Cu65_ug_g</t>
    <phoneticPr fontId="2" type="noConversion"/>
  </si>
  <si>
    <t>T_Cu63_ug_g</t>
    <phoneticPr fontId="1" type="noConversion"/>
  </si>
  <si>
    <t>T_Cu65_ug_g</t>
    <phoneticPr fontId="1" type="noConversion"/>
  </si>
  <si>
    <t>Cu_63_meas</t>
    <phoneticPr fontId="2" type="noConversion"/>
  </si>
  <si>
    <t>T_Cu_ug_g</t>
    <phoneticPr fontId="2" type="noConversion"/>
  </si>
  <si>
    <t>Cu63_ug_L</t>
    <phoneticPr fontId="2" type="noConversion"/>
  </si>
  <si>
    <t>Cu65_ug_L</t>
    <phoneticPr fontId="2" type="noConversion"/>
  </si>
  <si>
    <t>Cu_ng</t>
    <phoneticPr fontId="2" type="noConversion"/>
  </si>
  <si>
    <t>Cu_ug_L</t>
    <phoneticPr fontId="2" type="noConversion"/>
  </si>
  <si>
    <t>T_Cu_ug_g</t>
    <phoneticPr fontId="1" type="noConversion"/>
  </si>
  <si>
    <t>Time</t>
    <phoneticPr fontId="6" type="noConversion"/>
  </si>
  <si>
    <t>Cu1</t>
    <phoneticPr fontId="6" type="noConversion"/>
  </si>
  <si>
    <t>Cu2</t>
    <phoneticPr fontId="6" type="noConversion"/>
  </si>
  <si>
    <t>Cu3</t>
    <phoneticPr fontId="6" type="noConversion"/>
  </si>
  <si>
    <t>Cu4</t>
    <phoneticPr fontId="6" type="noConversion"/>
  </si>
  <si>
    <t>Cu5</t>
    <phoneticPr fontId="6" type="noConversion"/>
  </si>
  <si>
    <t>acc0</t>
    <phoneticPr fontId="6" type="noConversion"/>
  </si>
  <si>
    <t>...</t>
    <phoneticPr fontId="2" type="noConversion"/>
  </si>
  <si>
    <t>mean</t>
    <phoneticPr fontId="2" type="noConversion"/>
  </si>
  <si>
    <t>real_time_d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</si>
</sst>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_ "/>
    <numFmt numFmtId="177" formatCode="yyyy/m/d\ h:mm;@"/>
  </numFmts>
  <fonts count="7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0"/>
      <color rgb="FF000000"/>
      <name val="Arial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10">
    <xf numFmtId="0" fontId="0" fillId="0" borderId="0" xfId="0"/>
    <xf numFmtId="176" fontId="0" fillId="0" borderId="0" xfId="0" applyNumberFormat="1"/>
    <xf numFmtId="0" fontId="0" fillId="2" borderId="0" xfId="0" applyFill="1"/>
    <xf numFmtId="177" fontId="0" fillId="0" borderId="0" xfId="0" applyNumberFormat="1"/>
    <xf numFmtId="0" fontId="0" fillId="0" borderId="1" xfId="0" applyBorder="1"/>
    <xf numFmtId="0" fontId="0" fillId="2" borderId="1" xfId="0" applyFill="1" applyBorder="1"/>
    <xf numFmtId="0" fontId="3" fillId="0" borderId="0" xfId="0" applyFont="1"/>
    <xf numFmtId="0" fontId="4" fillId="0" borderId="0" xfId="0" applyFont="1"/>
    <xf numFmtId="22" fontId="0" fillId="0" borderId="0" xfId="0" applyNumberFormat="1"/>
    <xf numFmtId="0" fontId="3" fillId="2" borderId="0" xfId="0" applyFont="1" applyFill="1"/>
  </cellXfs>
  <cellStyles count="2">
    <cellStyle name="Normal" xfId="1" xr:uid="{C459B67F-FAE6-41C3-9F96-5246DFBE9E71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B050"/>
  </sheetPr>
  <dimension ref="A1:R13"/>
  <sheetViews>
    <sheetView topLeftCell="C1" workbookViewId="0">
      <selection activeCell="R14" sqref="R14"/>
    </sheetView>
  </sheetViews>
  <sheetFormatPr defaultColWidth="9" defaultRowHeight="14.15" x14ac:dyDescent="0.35"/>
  <cols>
    <col min="1" max="1" width="13" customWidth="1"/>
    <col min="2" max="2" width="18.85546875" customWidth="1"/>
    <col min="10" max="10" width="10.640625" customWidth="1"/>
    <col min="11" max="11" width="11.140625" customWidth="1"/>
    <col min="12" max="12" width="12.640625" customWidth="1"/>
    <col min="13" max="13" width="11.140625" customWidth="1"/>
    <col min="14" max="14" width="10.140625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6" t="s">
        <v>587</v>
      </c>
      <c r="H1" s="6" t="s">
        <v>588</v>
      </c>
      <c r="I1" s="6" t="s">
        <v>582</v>
      </c>
      <c r="J1" s="6" t="s">
        <v>583</v>
      </c>
      <c r="K1" s="6" t="s">
        <v>584</v>
      </c>
      <c r="L1" s="6" t="s">
        <v>610</v>
      </c>
      <c r="M1" s="6" t="s">
        <v>611</v>
      </c>
      <c r="N1" s="6" t="s">
        <v>585</v>
      </c>
      <c r="O1" s="6" t="s">
        <v>586</v>
      </c>
      <c r="P1" s="6" t="s">
        <v>618</v>
      </c>
    </row>
    <row r="2" spans="1:18" x14ac:dyDescent="0.35">
      <c r="A2" t="s">
        <v>8</v>
      </c>
      <c r="B2" t="s">
        <v>9</v>
      </c>
      <c r="C2">
        <v>1</v>
      </c>
      <c r="D2">
        <v>20.96</v>
      </c>
      <c r="E2">
        <v>14.98</v>
      </c>
      <c r="F2">
        <v>8.3800000000000008</v>
      </c>
      <c r="G2">
        <v>0.37430000000000002</v>
      </c>
      <c r="H2">
        <v>7.3800000000000004E-2</v>
      </c>
      <c r="I2">
        <v>30</v>
      </c>
      <c r="J2">
        <v>16.705030637334801</v>
      </c>
      <c r="K2">
        <v>16.797955854886801</v>
      </c>
      <c r="L2">
        <f>J2*I2/1000/H2</f>
        <v>6.7906628607052033</v>
      </c>
      <c r="M2">
        <f>K2*I2/1000/H2</f>
        <v>6.8284373393848794</v>
      </c>
      <c r="N2">
        <f>L2*0.6917</f>
        <v>4.6971015007497892</v>
      </c>
      <c r="O2">
        <f>M2*0.3083</f>
        <v>2.1052072317323582</v>
      </c>
      <c r="P2">
        <f>N2+O2</f>
        <v>6.8023087324821478</v>
      </c>
      <c r="Q2">
        <f>P2*H2</f>
        <v>0.50201038445718249</v>
      </c>
    </row>
    <row r="3" spans="1:18" x14ac:dyDescent="0.35">
      <c r="A3" t="s">
        <v>8</v>
      </c>
      <c r="B3" t="s">
        <v>10</v>
      </c>
      <c r="C3">
        <v>2</v>
      </c>
      <c r="D3">
        <v>22.43</v>
      </c>
      <c r="E3">
        <v>15.47</v>
      </c>
      <c r="F3">
        <v>9.91</v>
      </c>
      <c r="G3">
        <v>0.4168</v>
      </c>
      <c r="H3">
        <v>8.2199999999999995E-2</v>
      </c>
      <c r="I3">
        <v>30</v>
      </c>
      <c r="J3">
        <v>20.695530183435402</v>
      </c>
      <c r="K3">
        <v>20.639892059626</v>
      </c>
      <c r="L3">
        <f t="shared" ref="L3:L11" si="0">J3*I3/1000/H3</f>
        <v>7.553113205633359</v>
      </c>
      <c r="M3">
        <f t="shared" ref="M3:M11" si="1">K3*I3/1000/H3</f>
        <v>7.5328073210313873</v>
      </c>
      <c r="N3">
        <f t="shared" ref="N3:N11" si="2">L3*0.6917</f>
        <v>5.2244884043365944</v>
      </c>
      <c r="O3">
        <f t="shared" ref="O3:O11" si="3">M3*0.3083</f>
        <v>2.322364497073977</v>
      </c>
      <c r="P3">
        <f t="shared" ref="P3:P11" si="4">N3+O3</f>
        <v>7.5468529014105714</v>
      </c>
      <c r="Q3">
        <f t="shared" ref="Q3:Q11" si="5">P3*H3</f>
        <v>0.62035130849594888</v>
      </c>
    </row>
    <row r="4" spans="1:18" x14ac:dyDescent="0.35">
      <c r="A4" t="s">
        <v>8</v>
      </c>
      <c r="B4" t="s">
        <v>11</v>
      </c>
      <c r="C4">
        <v>3</v>
      </c>
      <c r="D4">
        <v>23.03</v>
      </c>
      <c r="E4">
        <v>17.21</v>
      </c>
      <c r="F4">
        <v>11.03</v>
      </c>
      <c r="G4">
        <v>0.50980000000000003</v>
      </c>
      <c r="H4">
        <v>9.7199999999999995E-2</v>
      </c>
      <c r="I4">
        <v>30</v>
      </c>
      <c r="J4">
        <v>22.298384713326701</v>
      </c>
      <c r="K4">
        <v>22.308906256979199</v>
      </c>
      <c r="L4">
        <f t="shared" si="0"/>
        <v>6.8822175041131803</v>
      </c>
      <c r="M4">
        <f t="shared" si="1"/>
        <v>6.8854648941293828</v>
      </c>
      <c r="N4">
        <f t="shared" si="2"/>
        <v>4.7604298475950868</v>
      </c>
      <c r="O4">
        <f t="shared" si="3"/>
        <v>2.1227888268600887</v>
      </c>
      <c r="P4">
        <f t="shared" si="4"/>
        <v>6.8832186744551755</v>
      </c>
      <c r="Q4">
        <f t="shared" si="5"/>
        <v>0.66904885515704304</v>
      </c>
    </row>
    <row r="5" spans="1:18" x14ac:dyDescent="0.35">
      <c r="A5" t="s">
        <v>8</v>
      </c>
      <c r="B5" t="s">
        <v>12</v>
      </c>
      <c r="C5">
        <v>4</v>
      </c>
      <c r="D5">
        <v>22.82</v>
      </c>
      <c r="E5">
        <v>16.260000000000002</v>
      </c>
      <c r="F5">
        <v>10.32</v>
      </c>
      <c r="G5">
        <v>0.48130000000000001</v>
      </c>
      <c r="H5">
        <v>9.5000000000000001E-2</v>
      </c>
      <c r="I5">
        <v>30</v>
      </c>
      <c r="J5">
        <v>23.977511378509998</v>
      </c>
      <c r="K5">
        <v>24.010976665231698</v>
      </c>
      <c r="L5">
        <f t="shared" si="0"/>
        <v>7.5718456984768423</v>
      </c>
      <c r="M5">
        <f t="shared" si="1"/>
        <v>7.5824136837573786</v>
      </c>
      <c r="N5">
        <f t="shared" si="2"/>
        <v>5.2374456696364318</v>
      </c>
      <c r="O5">
        <f t="shared" si="3"/>
        <v>2.3376581387024</v>
      </c>
      <c r="P5">
        <f t="shared" si="4"/>
        <v>7.5751038083388318</v>
      </c>
      <c r="Q5">
        <f t="shared" si="5"/>
        <v>0.71963486179218905</v>
      </c>
    </row>
    <row r="6" spans="1:18" x14ac:dyDescent="0.35">
      <c r="A6" t="s">
        <v>8</v>
      </c>
      <c r="B6" t="s">
        <v>13</v>
      </c>
      <c r="C6">
        <v>5</v>
      </c>
      <c r="D6">
        <v>24</v>
      </c>
      <c r="E6">
        <v>16.829999999999998</v>
      </c>
      <c r="F6">
        <v>10.38</v>
      </c>
      <c r="G6">
        <v>0.54190000000000005</v>
      </c>
      <c r="H6">
        <v>0.1032</v>
      </c>
      <c r="I6">
        <v>30</v>
      </c>
      <c r="J6">
        <v>22.507818354431802</v>
      </c>
      <c r="K6">
        <v>22.375220121330901</v>
      </c>
      <c r="L6">
        <f t="shared" si="0"/>
        <v>6.54297045186971</v>
      </c>
      <c r="M6">
        <f t="shared" si="1"/>
        <v>6.504424453875262</v>
      </c>
      <c r="N6">
        <f t="shared" si="2"/>
        <v>4.5257726615582783</v>
      </c>
      <c r="O6">
        <f t="shared" si="3"/>
        <v>2.0053140591297436</v>
      </c>
      <c r="P6">
        <f t="shared" si="4"/>
        <v>6.5310867206880214</v>
      </c>
      <c r="Q6">
        <f t="shared" si="5"/>
        <v>0.67400814957500377</v>
      </c>
    </row>
    <row r="7" spans="1:18" x14ac:dyDescent="0.35">
      <c r="A7" t="s">
        <v>8</v>
      </c>
      <c r="B7" t="s">
        <v>14</v>
      </c>
      <c r="C7">
        <v>6</v>
      </c>
      <c r="D7">
        <v>23.83</v>
      </c>
      <c r="E7">
        <v>17.7</v>
      </c>
      <c r="F7">
        <v>10.38</v>
      </c>
      <c r="G7">
        <v>0.56289999999999996</v>
      </c>
      <c r="H7">
        <v>0.1013</v>
      </c>
      <c r="I7">
        <v>30</v>
      </c>
      <c r="J7">
        <v>24.422661150760899</v>
      </c>
      <c r="K7">
        <v>24.511877867231998</v>
      </c>
      <c r="L7">
        <f t="shared" si="0"/>
        <v>7.2327723052598909</v>
      </c>
      <c r="M7">
        <f t="shared" si="1"/>
        <v>7.2591938402463958</v>
      </c>
      <c r="N7">
        <f t="shared" si="2"/>
        <v>5.0029086035482662</v>
      </c>
      <c r="O7">
        <f t="shared" si="3"/>
        <v>2.2380094609479642</v>
      </c>
      <c r="P7">
        <f t="shared" si="4"/>
        <v>7.2409180644962303</v>
      </c>
      <c r="Q7">
        <f t="shared" si="5"/>
        <v>0.73350499993346818</v>
      </c>
    </row>
    <row r="8" spans="1:18" x14ac:dyDescent="0.35">
      <c r="A8" t="s">
        <v>8</v>
      </c>
      <c r="B8" t="s">
        <v>15</v>
      </c>
      <c r="C8">
        <v>7</v>
      </c>
      <c r="D8">
        <v>22.26</v>
      </c>
      <c r="E8">
        <v>15.96</v>
      </c>
      <c r="F8">
        <v>9.91</v>
      </c>
      <c r="G8">
        <v>0.4859</v>
      </c>
      <c r="H8">
        <v>9.2399999999999996E-2</v>
      </c>
      <c r="I8">
        <v>30</v>
      </c>
      <c r="J8">
        <v>17.7351745206199</v>
      </c>
      <c r="K8">
        <v>17.8477857291067</v>
      </c>
      <c r="L8">
        <f t="shared" si="0"/>
        <v>5.7581735456558114</v>
      </c>
      <c r="M8">
        <f t="shared" si="1"/>
        <v>5.7947356263333436</v>
      </c>
      <c r="N8">
        <f t="shared" si="2"/>
        <v>3.9829286415301248</v>
      </c>
      <c r="O8">
        <f t="shared" si="3"/>
        <v>1.7865169935985699</v>
      </c>
      <c r="P8">
        <f t="shared" si="4"/>
        <v>5.7694456351286947</v>
      </c>
      <c r="Q8">
        <f t="shared" si="5"/>
        <v>0.53309677668589139</v>
      </c>
    </row>
    <row r="9" spans="1:18" x14ac:dyDescent="0.35">
      <c r="A9" t="s">
        <v>8</v>
      </c>
      <c r="B9" t="s">
        <v>16</v>
      </c>
      <c r="C9">
        <v>8</v>
      </c>
      <c r="D9">
        <v>23.15</v>
      </c>
      <c r="E9">
        <v>16.05</v>
      </c>
      <c r="F9">
        <v>9.5500000000000007</v>
      </c>
      <c r="G9">
        <v>0.43190000000000001</v>
      </c>
      <c r="H9">
        <v>8.1900000000000001E-2</v>
      </c>
      <c r="I9">
        <v>30</v>
      </c>
      <c r="J9">
        <v>15.748584774904799</v>
      </c>
      <c r="K9">
        <v>15.587943370547199</v>
      </c>
      <c r="L9">
        <f t="shared" si="0"/>
        <v>5.7687123717599995</v>
      </c>
      <c r="M9">
        <f t="shared" si="1"/>
        <v>5.7098693665008051</v>
      </c>
      <c r="N9">
        <f t="shared" si="2"/>
        <v>3.9902183475463917</v>
      </c>
      <c r="O9">
        <f t="shared" si="3"/>
        <v>1.7603527256921983</v>
      </c>
      <c r="P9">
        <f t="shared" si="4"/>
        <v>5.7505710732385902</v>
      </c>
      <c r="Q9">
        <f t="shared" si="5"/>
        <v>0.47097177089824055</v>
      </c>
    </row>
    <row r="10" spans="1:18" x14ac:dyDescent="0.35">
      <c r="A10" t="s">
        <v>8</v>
      </c>
      <c r="B10" t="s">
        <v>17</v>
      </c>
      <c r="C10">
        <v>9</v>
      </c>
      <c r="D10">
        <v>25.58</v>
      </c>
      <c r="E10">
        <v>18.93</v>
      </c>
      <c r="F10">
        <v>10.61</v>
      </c>
      <c r="G10">
        <v>0.62709999999999999</v>
      </c>
      <c r="H10">
        <v>0.1153</v>
      </c>
      <c r="I10">
        <v>30</v>
      </c>
      <c r="J10">
        <v>22.687564786513502</v>
      </c>
      <c r="K10">
        <v>22.8384135912492</v>
      </c>
      <c r="L10">
        <f t="shared" si="0"/>
        <v>5.9030957813998697</v>
      </c>
      <c r="M10">
        <f t="shared" si="1"/>
        <v>5.9423452535774155</v>
      </c>
      <c r="N10">
        <f t="shared" si="2"/>
        <v>4.0831713519942898</v>
      </c>
      <c r="O10">
        <f t="shared" si="3"/>
        <v>1.8320250416779174</v>
      </c>
      <c r="P10">
        <f t="shared" si="4"/>
        <v>5.9151963936722076</v>
      </c>
      <c r="Q10">
        <f t="shared" si="5"/>
        <v>0.68202214419040552</v>
      </c>
    </row>
    <row r="11" spans="1:18" x14ac:dyDescent="0.35">
      <c r="A11" t="s">
        <v>8</v>
      </c>
      <c r="B11" t="s">
        <v>18</v>
      </c>
      <c r="C11">
        <v>10</v>
      </c>
      <c r="D11">
        <v>24.66</v>
      </c>
      <c r="E11">
        <v>16.84</v>
      </c>
      <c r="F11">
        <v>9.67</v>
      </c>
      <c r="G11">
        <v>0.54930000000000001</v>
      </c>
      <c r="H11">
        <v>0.1043</v>
      </c>
      <c r="I11">
        <v>30</v>
      </c>
      <c r="J11">
        <v>22.396810240191201</v>
      </c>
      <c r="K11">
        <v>22.449176878090999</v>
      </c>
      <c r="L11">
        <f t="shared" si="0"/>
        <v>6.4420355436791565</v>
      </c>
      <c r="M11">
        <f t="shared" si="1"/>
        <v>6.4570978556349941</v>
      </c>
      <c r="N11">
        <f t="shared" si="2"/>
        <v>4.4559559855628725</v>
      </c>
      <c r="O11">
        <f t="shared" si="3"/>
        <v>1.9907232688922687</v>
      </c>
      <c r="P11">
        <f t="shared" si="4"/>
        <v>6.446679254455141</v>
      </c>
      <c r="Q11">
        <f t="shared" si="5"/>
        <v>0.67238864623967121</v>
      </c>
    </row>
    <row r="13" spans="1:18" x14ac:dyDescent="0.35">
      <c r="R13">
        <f>AVERAGE(Q2:Q11)</f>
        <v>0.6277037897425044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C537"/>
  <sheetViews>
    <sheetView workbookViewId="0">
      <selection activeCell="A281" sqref="A281:C302"/>
    </sheetView>
  </sheetViews>
  <sheetFormatPr defaultColWidth="9" defaultRowHeight="14.15" x14ac:dyDescent="0.35"/>
  <cols>
    <col min="1" max="1" width="23.140625" style="4" customWidth="1"/>
    <col min="2" max="3" width="9.140625" style="4"/>
  </cols>
  <sheetData>
    <row r="1" spans="1:3" x14ac:dyDescent="0.35">
      <c r="A1" s="4" t="s">
        <v>1</v>
      </c>
      <c r="B1" s="4" t="s">
        <v>6</v>
      </c>
      <c r="C1" s="4" t="s">
        <v>7</v>
      </c>
    </row>
    <row r="2" spans="1:3" x14ac:dyDescent="0.35">
      <c r="A2" s="4" t="s">
        <v>9</v>
      </c>
      <c r="B2" s="4">
        <v>0.37430000000000002</v>
      </c>
    </row>
    <row r="3" spans="1:3" x14ac:dyDescent="0.35">
      <c r="A3" s="4" t="s">
        <v>10</v>
      </c>
      <c r="B3" s="4">
        <v>0.4168</v>
      </c>
    </row>
    <row r="4" spans="1:3" x14ac:dyDescent="0.35">
      <c r="A4" s="4" t="s">
        <v>11</v>
      </c>
      <c r="B4" s="4">
        <v>0.50980000000000003</v>
      </c>
    </row>
    <row r="5" spans="1:3" x14ac:dyDescent="0.35">
      <c r="A5" s="4" t="s">
        <v>12</v>
      </c>
      <c r="B5" s="4">
        <v>0.48130000000000001</v>
      </c>
    </row>
    <row r="6" spans="1:3" x14ac:dyDescent="0.35">
      <c r="A6" s="4" t="s">
        <v>13</v>
      </c>
      <c r="B6" s="4">
        <v>0.54190000000000005</v>
      </c>
    </row>
    <row r="7" spans="1:3" x14ac:dyDescent="0.35">
      <c r="A7" s="4" t="s">
        <v>14</v>
      </c>
      <c r="B7" s="4">
        <v>0.56289999999999996</v>
      </c>
    </row>
    <row r="8" spans="1:3" x14ac:dyDescent="0.35">
      <c r="A8" s="4" t="s">
        <v>15</v>
      </c>
      <c r="B8" s="4">
        <v>0.4859</v>
      </c>
    </row>
    <row r="9" spans="1:3" x14ac:dyDescent="0.35">
      <c r="A9" s="4" t="s">
        <v>16</v>
      </c>
      <c r="B9" s="4">
        <v>0.43190000000000001</v>
      </c>
    </row>
    <row r="10" spans="1:3" x14ac:dyDescent="0.35">
      <c r="A10" s="4" t="s">
        <v>17</v>
      </c>
      <c r="B10" s="4">
        <v>0.62709999999999999</v>
      </c>
    </row>
    <row r="11" spans="1:3" x14ac:dyDescent="0.35">
      <c r="A11" s="4" t="s">
        <v>18</v>
      </c>
      <c r="B11" s="4">
        <v>0.54930000000000001</v>
      </c>
    </row>
    <row r="12" spans="1:3" x14ac:dyDescent="0.35">
      <c r="A12" s="4" t="s">
        <v>19</v>
      </c>
      <c r="B12" s="4">
        <v>0.54510000000000003</v>
      </c>
    </row>
    <row r="13" spans="1:3" x14ac:dyDescent="0.35">
      <c r="A13" s="4" t="s">
        <v>20</v>
      </c>
      <c r="B13" s="4">
        <v>0.45540000000000003</v>
      </c>
    </row>
    <row r="14" spans="1:3" x14ac:dyDescent="0.35">
      <c r="A14" s="4" t="s">
        <v>21</v>
      </c>
      <c r="B14" s="4">
        <v>0.51500000000000001</v>
      </c>
    </row>
    <row r="15" spans="1:3" x14ac:dyDescent="0.35">
      <c r="A15" s="4" t="s">
        <v>22</v>
      </c>
      <c r="B15" s="4">
        <v>0.35270000000000001</v>
      </c>
    </row>
    <row r="16" spans="1:3" x14ac:dyDescent="0.35">
      <c r="A16" s="4" t="s">
        <v>23</v>
      </c>
      <c r="B16" s="4">
        <v>0.48570000000000002</v>
      </c>
    </row>
    <row r="17" spans="1:2" x14ac:dyDescent="0.35">
      <c r="A17" s="4" t="s">
        <v>24</v>
      </c>
      <c r="B17" s="4">
        <v>0.39229999999999998</v>
      </c>
    </row>
    <row r="18" spans="1:2" x14ac:dyDescent="0.35">
      <c r="A18" s="4" t="s">
        <v>25</v>
      </c>
      <c r="B18" s="4">
        <v>0.62590000000000001</v>
      </c>
    </row>
    <row r="19" spans="1:2" x14ac:dyDescent="0.35">
      <c r="A19" s="4" t="s">
        <v>26</v>
      </c>
      <c r="B19" s="4">
        <v>0.59519999999999995</v>
      </c>
    </row>
    <row r="20" spans="1:2" x14ac:dyDescent="0.35">
      <c r="A20" s="4" t="s">
        <v>27</v>
      </c>
      <c r="B20" s="4">
        <v>0.49740000000000001</v>
      </c>
    </row>
    <row r="21" spans="1:2" x14ac:dyDescent="0.35">
      <c r="A21" s="4" t="s">
        <v>28</v>
      </c>
      <c r="B21" s="4">
        <v>0.55910000000000004</v>
      </c>
    </row>
    <row r="22" spans="1:2" x14ac:dyDescent="0.35">
      <c r="A22" s="4" t="s">
        <v>29</v>
      </c>
      <c r="B22" s="4">
        <v>0.35930000000000001</v>
      </c>
    </row>
    <row r="23" spans="1:2" x14ac:dyDescent="0.35">
      <c r="A23" s="4" t="s">
        <v>30</v>
      </c>
      <c r="B23" s="4">
        <v>0.52439999999999998</v>
      </c>
    </row>
    <row r="24" spans="1:2" x14ac:dyDescent="0.35">
      <c r="A24" s="4" t="s">
        <v>31</v>
      </c>
      <c r="B24" s="4">
        <v>0.45960000000000001</v>
      </c>
    </row>
    <row r="25" spans="1:2" x14ac:dyDescent="0.35">
      <c r="A25" s="4" t="s">
        <v>32</v>
      </c>
      <c r="B25" s="4">
        <v>0.42509999999999998</v>
      </c>
    </row>
    <row r="26" spans="1:2" x14ac:dyDescent="0.35">
      <c r="A26" s="4" t="s">
        <v>33</v>
      </c>
      <c r="B26" s="4">
        <v>0.55830000000000002</v>
      </c>
    </row>
    <row r="27" spans="1:2" x14ac:dyDescent="0.35">
      <c r="A27" s="4" t="s">
        <v>34</v>
      </c>
      <c r="B27" s="4">
        <v>0.34899999999999998</v>
      </c>
    </row>
    <row r="28" spans="1:2" x14ac:dyDescent="0.35">
      <c r="A28" s="4" t="s">
        <v>35</v>
      </c>
      <c r="B28" s="4">
        <v>0.44019999999999998</v>
      </c>
    </row>
    <row r="29" spans="1:2" x14ac:dyDescent="0.35">
      <c r="A29" s="4" t="s">
        <v>36</v>
      </c>
      <c r="B29" s="4">
        <v>0.58430000000000004</v>
      </c>
    </row>
    <row r="30" spans="1:2" x14ac:dyDescent="0.35">
      <c r="A30" s="4" t="s">
        <v>37</v>
      </c>
      <c r="B30" s="4">
        <v>0.38159999999999999</v>
      </c>
    </row>
    <row r="31" spans="1:2" x14ac:dyDescent="0.35">
      <c r="A31" s="4" t="s">
        <v>38</v>
      </c>
      <c r="B31" s="4">
        <v>0.35449999999999998</v>
      </c>
    </row>
    <row r="32" spans="1:2" x14ac:dyDescent="0.35">
      <c r="A32" s="4" t="s">
        <v>39</v>
      </c>
      <c r="B32" s="4">
        <v>0.57299999999999995</v>
      </c>
    </row>
    <row r="33" spans="1:2" x14ac:dyDescent="0.35">
      <c r="A33" s="4" t="s">
        <v>40</v>
      </c>
      <c r="B33" s="4">
        <v>0.52890000000000004</v>
      </c>
    </row>
    <row r="34" spans="1:2" x14ac:dyDescent="0.35">
      <c r="A34" s="4" t="s">
        <v>41</v>
      </c>
      <c r="B34" s="4">
        <v>0.36149999999999999</v>
      </c>
    </row>
    <row r="35" spans="1:2" x14ac:dyDescent="0.35">
      <c r="A35" s="4" t="s">
        <v>42</v>
      </c>
      <c r="B35" s="4">
        <v>0.52200000000000002</v>
      </c>
    </row>
    <row r="36" spans="1:2" x14ac:dyDescent="0.35">
      <c r="A36" s="4" t="s">
        <v>43</v>
      </c>
      <c r="B36" s="4">
        <v>0.45860000000000001</v>
      </c>
    </row>
    <row r="37" spans="1:2" x14ac:dyDescent="0.35">
      <c r="A37" s="4" t="s">
        <v>44</v>
      </c>
      <c r="B37" s="4">
        <v>0.49730000000000002</v>
      </c>
    </row>
    <row r="38" spans="1:2" x14ac:dyDescent="0.35">
      <c r="A38" s="4" t="s">
        <v>45</v>
      </c>
      <c r="B38" s="4">
        <v>0.4541</v>
      </c>
    </row>
    <row r="39" spans="1:2" x14ac:dyDescent="0.35">
      <c r="A39" s="4" t="s">
        <v>46</v>
      </c>
      <c r="B39" s="4">
        <v>0.50729999999999997</v>
      </c>
    </row>
    <row r="40" spans="1:2" x14ac:dyDescent="0.35">
      <c r="A40" s="4" t="s">
        <v>47</v>
      </c>
      <c r="B40" s="4">
        <v>0.54679999999999995</v>
      </c>
    </row>
    <row r="41" spans="1:2" x14ac:dyDescent="0.35">
      <c r="A41" s="4" t="s">
        <v>48</v>
      </c>
      <c r="B41" s="4">
        <v>0.34210000000000002</v>
      </c>
    </row>
    <row r="42" spans="1:2" x14ac:dyDescent="0.35">
      <c r="A42" s="4" t="s">
        <v>49</v>
      </c>
      <c r="B42" s="4">
        <v>0.39</v>
      </c>
    </row>
    <row r="43" spans="1:2" x14ac:dyDescent="0.35">
      <c r="A43" s="4" t="s">
        <v>50</v>
      </c>
      <c r="B43" s="4">
        <v>0.38080000000000003</v>
      </c>
    </row>
    <row r="44" spans="1:2" x14ac:dyDescent="0.35">
      <c r="A44" s="4" t="s">
        <v>51</v>
      </c>
      <c r="B44" s="4">
        <v>0.34399999999999997</v>
      </c>
    </row>
    <row r="45" spans="1:2" x14ac:dyDescent="0.35">
      <c r="A45" s="4" t="s">
        <v>52</v>
      </c>
      <c r="B45" s="4">
        <v>0.58320000000000005</v>
      </c>
    </row>
    <row r="46" spans="1:2" x14ac:dyDescent="0.35">
      <c r="A46" s="4" t="s">
        <v>53</v>
      </c>
      <c r="B46" s="4">
        <v>0.50249999999999995</v>
      </c>
    </row>
    <row r="47" spans="1:2" x14ac:dyDescent="0.35">
      <c r="A47" s="4" t="s">
        <v>54</v>
      </c>
      <c r="B47" s="4">
        <v>0.48080000000000001</v>
      </c>
    </row>
    <row r="48" spans="1:2" x14ac:dyDescent="0.35">
      <c r="A48" s="4" t="s">
        <v>55</v>
      </c>
      <c r="B48" s="4">
        <v>0.43020000000000003</v>
      </c>
    </row>
    <row r="49" spans="1:2" x14ac:dyDescent="0.35">
      <c r="A49" s="4" t="s">
        <v>56</v>
      </c>
      <c r="B49" s="4">
        <v>0.44169999999999998</v>
      </c>
    </row>
    <row r="50" spans="1:2" x14ac:dyDescent="0.35">
      <c r="A50" s="4" t="s">
        <v>57</v>
      </c>
      <c r="B50" s="4">
        <v>0.4748</v>
      </c>
    </row>
    <row r="51" spans="1:2" x14ac:dyDescent="0.35">
      <c r="A51" s="4" t="s">
        <v>58</v>
      </c>
      <c r="B51" s="4">
        <v>0.42080000000000001</v>
      </c>
    </row>
    <row r="52" spans="1:2" x14ac:dyDescent="0.35">
      <c r="A52" s="4" t="s">
        <v>59</v>
      </c>
      <c r="B52" s="4">
        <v>0.43690000000000001</v>
      </c>
    </row>
    <row r="53" spans="1:2" x14ac:dyDescent="0.35">
      <c r="A53" s="4" t="s">
        <v>60</v>
      </c>
      <c r="B53" s="4">
        <v>0.39300000000000002</v>
      </c>
    </row>
    <row r="54" spans="1:2" x14ac:dyDescent="0.35">
      <c r="A54" s="4" t="s">
        <v>61</v>
      </c>
      <c r="B54" s="4">
        <v>0.52590000000000003</v>
      </c>
    </row>
    <row r="55" spans="1:2" x14ac:dyDescent="0.35">
      <c r="A55" s="4" t="s">
        <v>62</v>
      </c>
      <c r="B55" s="4">
        <v>0.32950000000000002</v>
      </c>
    </row>
    <row r="56" spans="1:2" x14ac:dyDescent="0.35">
      <c r="A56" s="4" t="s">
        <v>63</v>
      </c>
      <c r="B56" s="4">
        <v>0.4572</v>
      </c>
    </row>
    <row r="57" spans="1:2" x14ac:dyDescent="0.35">
      <c r="A57" s="4" t="s">
        <v>64</v>
      </c>
      <c r="B57" s="4">
        <v>0.39779999999999999</v>
      </c>
    </row>
    <row r="58" spans="1:2" x14ac:dyDescent="0.35">
      <c r="A58" s="4" t="s">
        <v>65</v>
      </c>
      <c r="B58" s="4">
        <v>0.45100000000000001</v>
      </c>
    </row>
    <row r="59" spans="1:2" x14ac:dyDescent="0.35">
      <c r="A59" s="4" t="s">
        <v>66</v>
      </c>
      <c r="B59" s="4">
        <v>0.379</v>
      </c>
    </row>
    <row r="60" spans="1:2" x14ac:dyDescent="0.35">
      <c r="A60" s="4" t="s">
        <v>67</v>
      </c>
      <c r="B60" s="4">
        <v>0.40360000000000001</v>
      </c>
    </row>
    <row r="61" spans="1:2" x14ac:dyDescent="0.35">
      <c r="A61" s="4" t="s">
        <v>68</v>
      </c>
      <c r="B61" s="4">
        <v>0.32650000000000001</v>
      </c>
    </row>
    <row r="62" spans="1:2" x14ac:dyDescent="0.35">
      <c r="A62" s="4" t="s">
        <v>69</v>
      </c>
      <c r="B62" s="4">
        <v>0.6</v>
      </c>
    </row>
    <row r="63" spans="1:2" x14ac:dyDescent="0.35">
      <c r="A63" s="4" t="s">
        <v>70</v>
      </c>
      <c r="B63" s="4">
        <v>0.32929999999999998</v>
      </c>
    </row>
    <row r="64" spans="1:2" x14ac:dyDescent="0.35">
      <c r="A64" s="4" t="s">
        <v>71</v>
      </c>
      <c r="B64" s="4">
        <v>0.45500000000000002</v>
      </c>
    </row>
    <row r="65" spans="1:2" x14ac:dyDescent="0.35">
      <c r="A65" s="4" t="s">
        <v>72</v>
      </c>
      <c r="B65" s="4">
        <v>0.39500000000000002</v>
      </c>
    </row>
    <row r="66" spans="1:2" x14ac:dyDescent="0.35">
      <c r="A66" s="4" t="s">
        <v>73</v>
      </c>
      <c r="B66" s="4">
        <v>0.38059999999999999</v>
      </c>
    </row>
    <row r="67" spans="1:2" x14ac:dyDescent="0.35">
      <c r="A67" s="4" t="s">
        <v>74</v>
      </c>
      <c r="B67" s="4">
        <v>0.47189999999999999</v>
      </c>
    </row>
    <row r="68" spans="1:2" x14ac:dyDescent="0.35">
      <c r="A68" s="4" t="s">
        <v>75</v>
      </c>
      <c r="B68" s="4">
        <v>0.27039999999999997</v>
      </c>
    </row>
    <row r="69" spans="1:2" x14ac:dyDescent="0.35">
      <c r="A69" s="4" t="s">
        <v>76</v>
      </c>
      <c r="B69" s="4">
        <v>0.62939999999999996</v>
      </c>
    </row>
    <row r="70" spans="1:2" x14ac:dyDescent="0.35">
      <c r="A70" s="4" t="s">
        <v>77</v>
      </c>
      <c r="B70" s="4">
        <v>0.57079999999999997</v>
      </c>
    </row>
    <row r="71" spans="1:2" x14ac:dyDescent="0.35">
      <c r="A71" s="4" t="s">
        <v>78</v>
      </c>
      <c r="B71" s="4" t="s">
        <v>79</v>
      </c>
    </row>
    <row r="72" spans="1:2" x14ac:dyDescent="0.35">
      <c r="A72" s="4" t="s">
        <v>80</v>
      </c>
      <c r="B72" s="4">
        <v>0.3755</v>
      </c>
    </row>
    <row r="73" spans="1:2" x14ac:dyDescent="0.35">
      <c r="A73" s="4" t="s">
        <v>81</v>
      </c>
      <c r="B73" s="4">
        <v>0.32029999999999997</v>
      </c>
    </row>
    <row r="74" spans="1:2" x14ac:dyDescent="0.35">
      <c r="A74" s="4" t="s">
        <v>82</v>
      </c>
      <c r="B74" s="4">
        <v>0.3</v>
      </c>
    </row>
    <row r="75" spans="1:2" x14ac:dyDescent="0.35">
      <c r="A75" s="4" t="s">
        <v>83</v>
      </c>
      <c r="B75" s="4">
        <v>0.44</v>
      </c>
    </row>
    <row r="76" spans="1:2" x14ac:dyDescent="0.35">
      <c r="A76" s="4" t="s">
        <v>84</v>
      </c>
      <c r="B76" s="4">
        <v>0.33460000000000001</v>
      </c>
    </row>
    <row r="77" spans="1:2" x14ac:dyDescent="0.35">
      <c r="A77" s="4" t="s">
        <v>85</v>
      </c>
      <c r="B77" s="4">
        <v>0.39910000000000001</v>
      </c>
    </row>
    <row r="78" spans="1:2" x14ac:dyDescent="0.35">
      <c r="A78" s="4" t="s">
        <v>86</v>
      </c>
      <c r="B78" s="4">
        <v>0.68610000000000004</v>
      </c>
    </row>
    <row r="79" spans="1:2" x14ac:dyDescent="0.35">
      <c r="A79" s="4" t="s">
        <v>87</v>
      </c>
      <c r="B79" s="4">
        <v>0.34899999999999998</v>
      </c>
    </row>
    <row r="80" spans="1:2" x14ac:dyDescent="0.35">
      <c r="A80" s="4" t="s">
        <v>88</v>
      </c>
      <c r="B80" s="4">
        <v>0.307</v>
      </c>
    </row>
    <row r="81" spans="1:2" x14ac:dyDescent="0.35">
      <c r="A81" s="4" t="s">
        <v>89</v>
      </c>
      <c r="B81" s="4">
        <v>0.25090000000000001</v>
      </c>
    </row>
    <row r="82" spans="1:2" x14ac:dyDescent="0.35">
      <c r="A82" s="4" t="s">
        <v>90</v>
      </c>
      <c r="B82" s="4">
        <v>0.33900000000000002</v>
      </c>
    </row>
    <row r="83" spans="1:2" x14ac:dyDescent="0.35">
      <c r="A83" s="4" t="s">
        <v>91</v>
      </c>
      <c r="B83" s="4">
        <v>0.30940000000000001</v>
      </c>
    </row>
    <row r="84" spans="1:2" x14ac:dyDescent="0.35">
      <c r="A84" s="4" t="s">
        <v>86</v>
      </c>
      <c r="B84" s="4">
        <v>0.31259999999999999</v>
      </c>
    </row>
    <row r="85" spans="1:2" x14ac:dyDescent="0.35">
      <c r="A85" s="4" t="s">
        <v>87</v>
      </c>
      <c r="B85" s="4">
        <v>0.46899999999999997</v>
      </c>
    </row>
    <row r="86" spans="1:2" x14ac:dyDescent="0.35">
      <c r="A86" s="4" t="s">
        <v>88</v>
      </c>
      <c r="B86" s="4">
        <v>0.31269999999999998</v>
      </c>
    </row>
    <row r="87" spans="1:2" x14ac:dyDescent="0.35">
      <c r="A87" s="4" t="s">
        <v>89</v>
      </c>
      <c r="B87" s="4">
        <v>0.3705</v>
      </c>
    </row>
    <row r="88" spans="1:2" x14ac:dyDescent="0.35">
      <c r="A88" s="4" t="s">
        <v>90</v>
      </c>
      <c r="B88" s="4">
        <v>0.62009999999999998</v>
      </c>
    </row>
    <row r="89" spans="1:2" x14ac:dyDescent="0.35">
      <c r="A89" s="4" t="s">
        <v>91</v>
      </c>
      <c r="B89" s="4">
        <v>0.27289999999999998</v>
      </c>
    </row>
    <row r="90" spans="1:2" x14ac:dyDescent="0.35">
      <c r="A90" s="4" t="s">
        <v>92</v>
      </c>
      <c r="B90" s="4">
        <v>0.52700000000000002</v>
      </c>
    </row>
    <row r="91" spans="1:2" x14ac:dyDescent="0.35">
      <c r="A91" s="4" t="s">
        <v>93</v>
      </c>
      <c r="B91" s="4">
        <v>0.51649999999999996</v>
      </c>
    </row>
    <row r="92" spans="1:2" x14ac:dyDescent="0.35">
      <c r="A92" s="4" t="s">
        <v>94</v>
      </c>
      <c r="B92" s="4">
        <v>0.45829999999999999</v>
      </c>
    </row>
    <row r="93" spans="1:2" x14ac:dyDescent="0.35">
      <c r="A93" s="4" t="s">
        <v>95</v>
      </c>
      <c r="B93" s="4">
        <v>0.4894</v>
      </c>
    </row>
    <row r="94" spans="1:2" x14ac:dyDescent="0.35">
      <c r="A94" s="4" t="s">
        <v>96</v>
      </c>
      <c r="B94" s="4">
        <v>0.65659999999999996</v>
      </c>
    </row>
    <row r="95" spans="1:2" x14ac:dyDescent="0.35">
      <c r="A95" s="4" t="s">
        <v>97</v>
      </c>
      <c r="B95" s="4">
        <v>0.62080000000000002</v>
      </c>
    </row>
    <row r="96" spans="1:2" x14ac:dyDescent="0.35">
      <c r="A96" s="4" t="s">
        <v>98</v>
      </c>
      <c r="B96" s="4">
        <v>0.55410000000000004</v>
      </c>
    </row>
    <row r="97" spans="1:2" x14ac:dyDescent="0.35">
      <c r="A97" s="4" t="s">
        <v>99</v>
      </c>
      <c r="B97" s="4">
        <v>0.38279999999999997</v>
      </c>
    </row>
    <row r="98" spans="1:2" x14ac:dyDescent="0.35">
      <c r="A98" s="4" t="s">
        <v>100</v>
      </c>
      <c r="B98" s="4" t="s">
        <v>79</v>
      </c>
    </row>
    <row r="99" spans="1:2" x14ac:dyDescent="0.35">
      <c r="A99" s="4" t="s">
        <v>101</v>
      </c>
      <c r="B99" s="4">
        <v>0.43509999999999999</v>
      </c>
    </row>
    <row r="100" spans="1:2" x14ac:dyDescent="0.35">
      <c r="A100" s="4" t="s">
        <v>102</v>
      </c>
      <c r="B100" s="4">
        <v>0.77910000000000001</v>
      </c>
    </row>
    <row r="101" spans="1:2" x14ac:dyDescent="0.35">
      <c r="A101" s="4" t="s">
        <v>103</v>
      </c>
      <c r="B101" s="4">
        <v>0.56920000000000004</v>
      </c>
    </row>
    <row r="102" spans="1:2" x14ac:dyDescent="0.35">
      <c r="A102" s="4" t="s">
        <v>104</v>
      </c>
      <c r="B102" s="4">
        <v>0.43</v>
      </c>
    </row>
    <row r="103" spans="1:2" x14ac:dyDescent="0.35">
      <c r="A103" s="4" t="s">
        <v>105</v>
      </c>
      <c r="B103" s="4" t="s">
        <v>79</v>
      </c>
    </row>
    <row r="104" spans="1:2" x14ac:dyDescent="0.35">
      <c r="A104" s="4" t="s">
        <v>106</v>
      </c>
      <c r="B104" s="4">
        <v>0.48759999999999998</v>
      </c>
    </row>
    <row r="105" spans="1:2" x14ac:dyDescent="0.35">
      <c r="A105" s="4" t="s">
        <v>107</v>
      </c>
      <c r="B105" s="4">
        <v>0.43120000000000003</v>
      </c>
    </row>
    <row r="106" spans="1:2" x14ac:dyDescent="0.35">
      <c r="A106" s="4" t="s">
        <v>108</v>
      </c>
      <c r="B106" s="4">
        <v>0.4516</v>
      </c>
    </row>
    <row r="107" spans="1:2" x14ac:dyDescent="0.35">
      <c r="A107" s="4" t="s">
        <v>109</v>
      </c>
      <c r="B107" s="4">
        <v>0.48709999999999998</v>
      </c>
    </row>
    <row r="108" spans="1:2" x14ac:dyDescent="0.35">
      <c r="A108" s="4" t="s">
        <v>110</v>
      </c>
      <c r="B108" s="4">
        <v>0.35120000000000001</v>
      </c>
    </row>
    <row r="109" spans="1:2" x14ac:dyDescent="0.35">
      <c r="A109" s="4" t="s">
        <v>111</v>
      </c>
      <c r="B109" s="4">
        <v>0.48039999999999999</v>
      </c>
    </row>
    <row r="110" spans="1:2" x14ac:dyDescent="0.35">
      <c r="A110" s="4" t="s">
        <v>112</v>
      </c>
      <c r="B110" s="4">
        <v>0.66459999999999997</v>
      </c>
    </row>
    <row r="111" spans="1:2" x14ac:dyDescent="0.35">
      <c r="A111" s="4" t="s">
        <v>113</v>
      </c>
      <c r="B111" s="4">
        <v>0.67420000000000002</v>
      </c>
    </row>
    <row r="112" spans="1:2" x14ac:dyDescent="0.35">
      <c r="A112" s="4" t="s">
        <v>114</v>
      </c>
      <c r="B112" s="4">
        <v>0.52380000000000004</v>
      </c>
    </row>
    <row r="113" spans="1:2" x14ac:dyDescent="0.35">
      <c r="A113" s="4" t="s">
        <v>115</v>
      </c>
      <c r="B113" s="4">
        <v>0.42759999999999998</v>
      </c>
    </row>
    <row r="114" spans="1:2" x14ac:dyDescent="0.35">
      <c r="A114" s="4" t="s">
        <v>116</v>
      </c>
      <c r="B114" s="4">
        <v>0.36080000000000001</v>
      </c>
    </row>
    <row r="115" spans="1:2" x14ac:dyDescent="0.35">
      <c r="A115" s="4" t="s">
        <v>117</v>
      </c>
      <c r="B115" s="4">
        <v>0.46779999999999999</v>
      </c>
    </row>
    <row r="116" spans="1:2" x14ac:dyDescent="0.35">
      <c r="A116" s="4" t="s">
        <v>118</v>
      </c>
      <c r="B116" s="4">
        <v>0.61670000000000003</v>
      </c>
    </row>
    <row r="117" spans="1:2" x14ac:dyDescent="0.35">
      <c r="A117" s="4" t="s">
        <v>119</v>
      </c>
      <c r="B117" s="4">
        <v>0.36549999999999999</v>
      </c>
    </row>
    <row r="118" spans="1:2" x14ac:dyDescent="0.35">
      <c r="A118" s="4" t="s">
        <v>120</v>
      </c>
      <c r="B118" s="4">
        <v>0.39040000000000002</v>
      </c>
    </row>
    <row r="119" spans="1:2" x14ac:dyDescent="0.35">
      <c r="A119" s="4" t="s">
        <v>121</v>
      </c>
      <c r="B119" s="4">
        <v>0.54820000000000002</v>
      </c>
    </row>
    <row r="120" spans="1:2" x14ac:dyDescent="0.35">
      <c r="A120" s="4" t="s">
        <v>122</v>
      </c>
      <c r="B120" s="4">
        <v>0.41799999999999998</v>
      </c>
    </row>
    <row r="121" spans="1:2" x14ac:dyDescent="0.35">
      <c r="A121" s="4" t="s">
        <v>123</v>
      </c>
      <c r="B121" s="4">
        <v>0.56879999999999997</v>
      </c>
    </row>
    <row r="122" spans="1:2" x14ac:dyDescent="0.35">
      <c r="A122" s="4" t="s">
        <v>124</v>
      </c>
      <c r="B122" s="4">
        <v>0.67090000000000005</v>
      </c>
    </row>
    <row r="123" spans="1:2" x14ac:dyDescent="0.35">
      <c r="A123" s="4" t="s">
        <v>125</v>
      </c>
      <c r="B123" s="4">
        <v>0.67130000000000001</v>
      </c>
    </row>
    <row r="124" spans="1:2" x14ac:dyDescent="0.35">
      <c r="A124" s="4" t="s">
        <v>126</v>
      </c>
      <c r="B124" s="4">
        <v>0.47920000000000001</v>
      </c>
    </row>
    <row r="125" spans="1:2" x14ac:dyDescent="0.35">
      <c r="A125" s="4" t="s">
        <v>127</v>
      </c>
      <c r="B125" s="5">
        <v>0.37</v>
      </c>
    </row>
    <row r="126" spans="1:2" x14ac:dyDescent="0.35">
      <c r="A126" s="4" t="s">
        <v>128</v>
      </c>
      <c r="B126" s="4">
        <v>0.56730000000000003</v>
      </c>
    </row>
    <row r="127" spans="1:2" x14ac:dyDescent="0.35">
      <c r="A127" s="4" t="s">
        <v>129</v>
      </c>
      <c r="B127" s="4">
        <v>0.61160000000000003</v>
      </c>
    </row>
    <row r="128" spans="1:2" x14ac:dyDescent="0.35">
      <c r="A128" s="4" t="s">
        <v>130</v>
      </c>
      <c r="B128" s="4">
        <v>0.71989999999999998</v>
      </c>
    </row>
    <row r="129" spans="1:2" x14ac:dyDescent="0.35">
      <c r="A129" s="4" t="s">
        <v>131</v>
      </c>
      <c r="B129" s="4">
        <v>0.62960000000000005</v>
      </c>
    </row>
    <row r="130" spans="1:2" x14ac:dyDescent="0.35">
      <c r="A130" s="4" t="s">
        <v>132</v>
      </c>
      <c r="B130" s="4">
        <v>0.52439999999999998</v>
      </c>
    </row>
    <row r="131" spans="1:2" x14ac:dyDescent="0.35">
      <c r="A131" s="4" t="s">
        <v>133</v>
      </c>
      <c r="B131" s="4">
        <v>0.59130000000000005</v>
      </c>
    </row>
    <row r="132" spans="1:2" x14ac:dyDescent="0.35">
      <c r="A132" s="4" t="s">
        <v>134</v>
      </c>
      <c r="B132" s="4">
        <v>0.43790000000000001</v>
      </c>
    </row>
    <row r="133" spans="1:2" x14ac:dyDescent="0.35">
      <c r="A133" s="4" t="s">
        <v>135</v>
      </c>
      <c r="B133" s="4">
        <v>0.55910000000000004</v>
      </c>
    </row>
    <row r="134" spans="1:2" x14ac:dyDescent="0.35">
      <c r="A134" s="4" t="s">
        <v>136</v>
      </c>
      <c r="B134" s="4">
        <v>0.66610000000000003</v>
      </c>
    </row>
    <row r="135" spans="1:2" x14ac:dyDescent="0.35">
      <c r="A135" s="4" t="s">
        <v>137</v>
      </c>
      <c r="B135" s="4">
        <v>0.44690000000000002</v>
      </c>
    </row>
    <row r="136" spans="1:2" x14ac:dyDescent="0.35">
      <c r="A136" s="4" t="s">
        <v>138</v>
      </c>
      <c r="B136" s="4">
        <v>0.59360000000000002</v>
      </c>
    </row>
    <row r="137" spans="1:2" x14ac:dyDescent="0.35">
      <c r="A137" s="4" t="s">
        <v>139</v>
      </c>
      <c r="B137" s="4">
        <v>0.53400000000000003</v>
      </c>
    </row>
    <row r="138" spans="1:2" x14ac:dyDescent="0.35">
      <c r="A138" s="4" t="s">
        <v>140</v>
      </c>
      <c r="B138" s="4">
        <v>0.55179999999999996</v>
      </c>
    </row>
    <row r="139" spans="1:2" x14ac:dyDescent="0.35">
      <c r="A139" s="4" t="s">
        <v>141</v>
      </c>
      <c r="B139" s="4">
        <v>0.58409999999999995</v>
      </c>
    </row>
    <row r="140" spans="1:2" x14ac:dyDescent="0.35">
      <c r="A140" s="4" t="s">
        <v>142</v>
      </c>
      <c r="B140" s="4">
        <v>0.4108</v>
      </c>
    </row>
    <row r="141" spans="1:2" x14ac:dyDescent="0.35">
      <c r="A141" s="4" t="s">
        <v>143</v>
      </c>
      <c r="B141" s="4">
        <v>0.39510000000000001</v>
      </c>
    </row>
    <row r="142" spans="1:2" x14ac:dyDescent="0.35">
      <c r="A142" s="4" t="s">
        <v>144</v>
      </c>
      <c r="B142" s="5">
        <v>0.4652</v>
      </c>
    </row>
    <row r="143" spans="1:2" x14ac:dyDescent="0.35">
      <c r="A143" s="4" t="s">
        <v>145</v>
      </c>
      <c r="B143" s="4">
        <v>0.46229999999999999</v>
      </c>
    </row>
    <row r="144" spans="1:2" x14ac:dyDescent="0.35">
      <c r="A144" s="4" t="s">
        <v>146</v>
      </c>
      <c r="B144" s="4">
        <v>0.61260000000000003</v>
      </c>
    </row>
    <row r="145" spans="1:2" x14ac:dyDescent="0.35">
      <c r="A145" s="4" t="s">
        <v>147</v>
      </c>
      <c r="B145" s="4">
        <v>0.63749999999999996</v>
      </c>
    </row>
    <row r="146" spans="1:2" x14ac:dyDescent="0.35">
      <c r="A146" s="4" t="s">
        <v>148</v>
      </c>
      <c r="B146" s="4">
        <v>0.54590000000000005</v>
      </c>
    </row>
    <row r="147" spans="1:2" x14ac:dyDescent="0.35">
      <c r="A147" s="4" t="s">
        <v>149</v>
      </c>
      <c r="B147" s="4">
        <v>0.51160000000000005</v>
      </c>
    </row>
    <row r="148" spans="1:2" x14ac:dyDescent="0.35">
      <c r="A148" s="4" t="s">
        <v>150</v>
      </c>
      <c r="B148" s="5">
        <v>0.41199999999999998</v>
      </c>
    </row>
    <row r="149" spans="1:2" x14ac:dyDescent="0.35">
      <c r="A149" s="4" t="s">
        <v>151</v>
      </c>
      <c r="B149" s="4">
        <v>0.51380000000000003</v>
      </c>
    </row>
    <row r="150" spans="1:2" x14ac:dyDescent="0.35">
      <c r="A150" s="4" t="s">
        <v>152</v>
      </c>
      <c r="B150" s="4">
        <v>0.3805</v>
      </c>
    </row>
    <row r="151" spans="1:2" x14ac:dyDescent="0.35">
      <c r="A151" s="4" t="s">
        <v>153</v>
      </c>
      <c r="B151" s="4">
        <v>0.41510000000000002</v>
      </c>
    </row>
    <row r="152" spans="1:2" x14ac:dyDescent="0.35">
      <c r="A152" s="4" t="s">
        <v>154</v>
      </c>
      <c r="B152" s="4">
        <v>0.50290000000000001</v>
      </c>
    </row>
    <row r="153" spans="1:2" x14ac:dyDescent="0.35">
      <c r="A153" s="4" t="s">
        <v>155</v>
      </c>
      <c r="B153" s="4">
        <v>0.42309999999999998</v>
      </c>
    </row>
    <row r="154" spans="1:2" x14ac:dyDescent="0.35">
      <c r="A154" s="4" t="s">
        <v>156</v>
      </c>
      <c r="B154" s="4">
        <v>0.59030000000000005</v>
      </c>
    </row>
    <row r="155" spans="1:2" x14ac:dyDescent="0.35">
      <c r="A155" s="4" t="s">
        <v>157</v>
      </c>
      <c r="B155" s="4">
        <v>0.44490000000000002</v>
      </c>
    </row>
    <row r="156" spans="1:2" x14ac:dyDescent="0.35">
      <c r="A156" s="4" t="s">
        <v>158</v>
      </c>
      <c r="B156" s="4">
        <v>0.53669999999999995</v>
      </c>
    </row>
    <row r="157" spans="1:2" x14ac:dyDescent="0.35">
      <c r="A157" s="4" t="s">
        <v>159</v>
      </c>
      <c r="B157" s="4">
        <v>0.37709999999999999</v>
      </c>
    </row>
    <row r="158" spans="1:2" x14ac:dyDescent="0.35">
      <c r="A158" s="4" t="s">
        <v>160</v>
      </c>
      <c r="B158" s="4">
        <v>0.44629999999999997</v>
      </c>
    </row>
    <row r="159" spans="1:2" x14ac:dyDescent="0.35">
      <c r="A159" s="4" t="s">
        <v>161</v>
      </c>
      <c r="B159" s="4">
        <v>0.35610000000000003</v>
      </c>
    </row>
    <row r="160" spans="1:2" x14ac:dyDescent="0.35">
      <c r="A160" s="4" t="s">
        <v>162</v>
      </c>
      <c r="B160" s="4">
        <v>0.50470000000000004</v>
      </c>
    </row>
    <row r="161" spans="1:2" x14ac:dyDescent="0.35">
      <c r="A161" s="4" t="s">
        <v>163</v>
      </c>
      <c r="B161" s="4">
        <v>0.36399999999999999</v>
      </c>
    </row>
    <row r="162" spans="1:2" x14ac:dyDescent="0.35">
      <c r="A162" s="4" t="s">
        <v>164</v>
      </c>
      <c r="B162" s="4">
        <v>0.39700000000000002</v>
      </c>
    </row>
    <row r="163" spans="1:2" x14ac:dyDescent="0.35">
      <c r="A163" s="4" t="s">
        <v>165</v>
      </c>
      <c r="B163" s="4">
        <v>0.43369999999999997</v>
      </c>
    </row>
    <row r="164" spans="1:2" x14ac:dyDescent="0.35">
      <c r="A164" s="4" t="s">
        <v>166</v>
      </c>
      <c r="B164" s="4">
        <v>0.34670000000000001</v>
      </c>
    </row>
    <row r="165" spans="1:2" x14ac:dyDescent="0.35">
      <c r="A165" s="4" t="s">
        <v>167</v>
      </c>
      <c r="B165" s="4">
        <v>0.5353</v>
      </c>
    </row>
    <row r="166" spans="1:2" x14ac:dyDescent="0.35">
      <c r="A166" s="4" t="s">
        <v>168</v>
      </c>
      <c r="B166" s="4">
        <v>0.3503</v>
      </c>
    </row>
    <row r="167" spans="1:2" x14ac:dyDescent="0.35">
      <c r="A167" s="4" t="s">
        <v>169</v>
      </c>
      <c r="B167" s="4">
        <v>0.63590000000000002</v>
      </c>
    </row>
    <row r="168" spans="1:2" x14ac:dyDescent="0.35">
      <c r="A168" s="4" t="s">
        <v>170</v>
      </c>
      <c r="B168" s="4">
        <v>0.45469999999999999</v>
      </c>
    </row>
    <row r="169" spans="1:2" x14ac:dyDescent="0.35">
      <c r="A169" s="4" t="s">
        <v>171</v>
      </c>
      <c r="B169" s="4" t="s">
        <v>79</v>
      </c>
    </row>
    <row r="170" spans="1:2" x14ac:dyDescent="0.35">
      <c r="A170" s="4" t="s">
        <v>172</v>
      </c>
      <c r="B170" s="4">
        <v>0.44590000000000002</v>
      </c>
    </row>
    <row r="171" spans="1:2" x14ac:dyDescent="0.35">
      <c r="A171" s="4" t="s">
        <v>173</v>
      </c>
      <c r="B171" s="4">
        <v>0.39069999999999999</v>
      </c>
    </row>
    <row r="172" spans="1:2" x14ac:dyDescent="0.35">
      <c r="A172" s="4" t="s">
        <v>174</v>
      </c>
      <c r="B172" s="4">
        <v>0.53900000000000003</v>
      </c>
    </row>
    <row r="173" spans="1:2" x14ac:dyDescent="0.35">
      <c r="A173" s="4" t="s">
        <v>175</v>
      </c>
      <c r="B173" s="4">
        <v>0.44840000000000002</v>
      </c>
    </row>
    <row r="174" spans="1:2" x14ac:dyDescent="0.35">
      <c r="A174" s="4" t="s">
        <v>176</v>
      </c>
      <c r="B174" s="4">
        <v>0.3574</v>
      </c>
    </row>
    <row r="175" spans="1:2" x14ac:dyDescent="0.35">
      <c r="A175" s="4" t="s">
        <v>177</v>
      </c>
      <c r="B175" s="4">
        <v>0.25309999999999999</v>
      </c>
    </row>
    <row r="176" spans="1:2" x14ac:dyDescent="0.35">
      <c r="A176" s="4" t="s">
        <v>178</v>
      </c>
      <c r="B176" s="4">
        <v>0.48599999999999999</v>
      </c>
    </row>
    <row r="177" spans="1:2" x14ac:dyDescent="0.35">
      <c r="A177" s="4" t="s">
        <v>179</v>
      </c>
      <c r="B177" s="4">
        <v>0.43359999999999999</v>
      </c>
    </row>
    <row r="178" spans="1:2" x14ac:dyDescent="0.35">
      <c r="A178" s="4" t="s">
        <v>180</v>
      </c>
      <c r="B178" s="4">
        <v>0.39079999999999998</v>
      </c>
    </row>
    <row r="179" spans="1:2" x14ac:dyDescent="0.35">
      <c r="A179" s="4" t="s">
        <v>181</v>
      </c>
      <c r="B179" s="4">
        <v>0.4466</v>
      </c>
    </row>
    <row r="180" spans="1:2" x14ac:dyDescent="0.35">
      <c r="A180" s="4" t="s">
        <v>182</v>
      </c>
      <c r="B180" s="4">
        <v>0.60719999999999996</v>
      </c>
    </row>
    <row r="181" spans="1:2" x14ac:dyDescent="0.35">
      <c r="A181" s="4" t="s">
        <v>183</v>
      </c>
      <c r="B181" s="4">
        <v>0.46110000000000001</v>
      </c>
    </row>
    <row r="182" spans="1:2" x14ac:dyDescent="0.35">
      <c r="A182" s="4" t="s">
        <v>184</v>
      </c>
      <c r="B182" s="4">
        <v>0.42849999999999999</v>
      </c>
    </row>
    <row r="183" spans="1:2" x14ac:dyDescent="0.35">
      <c r="A183" s="4" t="s">
        <v>185</v>
      </c>
      <c r="B183" s="4">
        <v>0.50439999999999996</v>
      </c>
    </row>
    <row r="184" spans="1:2" x14ac:dyDescent="0.35">
      <c r="A184" s="4" t="s">
        <v>186</v>
      </c>
      <c r="B184" s="4">
        <v>0.4607</v>
      </c>
    </row>
    <row r="185" spans="1:2" x14ac:dyDescent="0.35">
      <c r="A185" s="4" t="s">
        <v>187</v>
      </c>
      <c r="B185" s="4">
        <v>0.34910000000000002</v>
      </c>
    </row>
    <row r="186" spans="1:2" x14ac:dyDescent="0.35">
      <c r="A186" s="4" t="s">
        <v>188</v>
      </c>
      <c r="B186" s="4">
        <v>0.51049999999999995</v>
      </c>
    </row>
    <row r="187" spans="1:2" x14ac:dyDescent="0.35">
      <c r="A187" s="4" t="s">
        <v>189</v>
      </c>
      <c r="B187" s="4">
        <v>0.50749999999999995</v>
      </c>
    </row>
    <row r="188" spans="1:2" x14ac:dyDescent="0.35">
      <c r="A188" s="4" t="s">
        <v>190</v>
      </c>
      <c r="B188" s="4">
        <v>0.30830000000000002</v>
      </c>
    </row>
    <row r="189" spans="1:2" x14ac:dyDescent="0.35">
      <c r="A189" s="4" t="s">
        <v>191</v>
      </c>
      <c r="B189" s="4">
        <v>0.49890000000000001</v>
      </c>
    </row>
    <row r="190" spans="1:2" x14ac:dyDescent="0.35">
      <c r="A190" s="4" t="s">
        <v>192</v>
      </c>
      <c r="B190" s="4">
        <v>0.3654</v>
      </c>
    </row>
    <row r="191" spans="1:2" x14ac:dyDescent="0.35">
      <c r="A191" s="4" t="s">
        <v>193</v>
      </c>
      <c r="B191" s="4">
        <v>0.36930000000000002</v>
      </c>
    </row>
    <row r="192" spans="1:2" x14ac:dyDescent="0.35">
      <c r="A192" s="4" t="s">
        <v>194</v>
      </c>
      <c r="B192" s="4">
        <v>0.36919999999999997</v>
      </c>
    </row>
    <row r="193" spans="1:2" x14ac:dyDescent="0.35">
      <c r="A193" s="4" t="s">
        <v>195</v>
      </c>
      <c r="B193" s="4">
        <v>0.35399999999999998</v>
      </c>
    </row>
    <row r="194" spans="1:2" x14ac:dyDescent="0.35">
      <c r="A194" s="4" t="s">
        <v>196</v>
      </c>
      <c r="B194" s="4">
        <v>0.26450000000000001</v>
      </c>
    </row>
    <row r="195" spans="1:2" x14ac:dyDescent="0.35">
      <c r="A195" s="4" t="s">
        <v>197</v>
      </c>
      <c r="B195" s="4">
        <v>0.41920000000000002</v>
      </c>
    </row>
    <row r="196" spans="1:2" x14ac:dyDescent="0.35">
      <c r="A196" s="4" t="s">
        <v>198</v>
      </c>
      <c r="B196" s="4">
        <v>0.53280000000000005</v>
      </c>
    </row>
    <row r="197" spans="1:2" x14ac:dyDescent="0.35">
      <c r="A197" s="4" t="s">
        <v>199</v>
      </c>
      <c r="B197" s="4">
        <v>0.43619999999999998</v>
      </c>
    </row>
    <row r="198" spans="1:2" x14ac:dyDescent="0.35">
      <c r="A198" s="4" t="s">
        <v>200</v>
      </c>
      <c r="B198" s="4">
        <v>0.42770000000000002</v>
      </c>
    </row>
    <row r="199" spans="1:2" x14ac:dyDescent="0.35">
      <c r="A199" s="4" t="s">
        <v>201</v>
      </c>
      <c r="B199" s="4">
        <v>0.57969999999999999</v>
      </c>
    </row>
    <row r="200" spans="1:2" x14ac:dyDescent="0.35">
      <c r="A200" s="4" t="s">
        <v>202</v>
      </c>
      <c r="B200" s="4">
        <v>0.50819999999999999</v>
      </c>
    </row>
    <row r="201" spans="1:2" x14ac:dyDescent="0.35">
      <c r="A201" s="4" t="s">
        <v>203</v>
      </c>
      <c r="B201" s="4">
        <v>0.48070000000000002</v>
      </c>
    </row>
    <row r="202" spans="1:2" x14ac:dyDescent="0.35">
      <c r="A202" s="4" t="s">
        <v>204</v>
      </c>
      <c r="B202" s="4">
        <v>0.47189999999999999</v>
      </c>
    </row>
    <row r="203" spans="1:2" x14ac:dyDescent="0.35">
      <c r="A203" s="4" t="s">
        <v>205</v>
      </c>
      <c r="B203" s="4">
        <v>0.4027</v>
      </c>
    </row>
    <row r="204" spans="1:2" x14ac:dyDescent="0.35">
      <c r="A204" s="4" t="s">
        <v>206</v>
      </c>
      <c r="B204" s="4">
        <v>0.52710000000000001</v>
      </c>
    </row>
    <row r="205" spans="1:2" x14ac:dyDescent="0.35">
      <c r="A205" s="4" t="s">
        <v>207</v>
      </c>
      <c r="B205" s="4">
        <v>0.44019999999999998</v>
      </c>
    </row>
    <row r="206" spans="1:2" x14ac:dyDescent="0.35">
      <c r="A206" s="4" t="s">
        <v>208</v>
      </c>
      <c r="B206" s="4">
        <v>0.29780000000000001</v>
      </c>
    </row>
    <row r="207" spans="1:2" x14ac:dyDescent="0.35">
      <c r="A207" s="4" t="s">
        <v>209</v>
      </c>
      <c r="B207" s="4">
        <v>0.50739999999999996</v>
      </c>
    </row>
    <row r="208" spans="1:2" x14ac:dyDescent="0.35">
      <c r="A208" s="4" t="s">
        <v>210</v>
      </c>
      <c r="B208" s="4">
        <v>0.50839999999999996</v>
      </c>
    </row>
    <row r="209" spans="1:2" x14ac:dyDescent="0.35">
      <c r="A209" s="4" t="s">
        <v>211</v>
      </c>
      <c r="B209" s="4">
        <v>0.36990000000000001</v>
      </c>
    </row>
    <row r="210" spans="1:2" x14ac:dyDescent="0.35">
      <c r="A210" s="4" t="s">
        <v>212</v>
      </c>
      <c r="B210" s="4">
        <v>0.51139999999999997</v>
      </c>
    </row>
    <row r="211" spans="1:2" x14ac:dyDescent="0.35">
      <c r="A211" s="4" t="s">
        <v>213</v>
      </c>
      <c r="B211" s="4">
        <v>0.52049999999999996</v>
      </c>
    </row>
    <row r="212" spans="1:2" x14ac:dyDescent="0.35">
      <c r="A212" s="4" t="s">
        <v>214</v>
      </c>
      <c r="B212" s="4">
        <v>0.42670000000000002</v>
      </c>
    </row>
    <row r="213" spans="1:2" x14ac:dyDescent="0.35">
      <c r="A213" s="4" t="s">
        <v>215</v>
      </c>
      <c r="B213" s="4">
        <v>0.3987</v>
      </c>
    </row>
    <row r="214" spans="1:2" x14ac:dyDescent="0.35">
      <c r="A214" s="4" t="s">
        <v>216</v>
      </c>
      <c r="B214" s="4">
        <v>0.3972</v>
      </c>
    </row>
    <row r="215" spans="1:2" x14ac:dyDescent="0.35">
      <c r="A215" s="4" t="s">
        <v>217</v>
      </c>
      <c r="B215" s="4">
        <v>0.43419999999999997</v>
      </c>
    </row>
    <row r="216" spans="1:2" x14ac:dyDescent="0.35">
      <c r="A216" s="4" t="s">
        <v>218</v>
      </c>
      <c r="B216" s="4">
        <v>0.34050000000000002</v>
      </c>
    </row>
    <row r="217" spans="1:2" x14ac:dyDescent="0.35">
      <c r="A217" s="4" t="s">
        <v>219</v>
      </c>
      <c r="B217" s="4">
        <v>0.48399999999999999</v>
      </c>
    </row>
    <row r="218" spans="1:2" x14ac:dyDescent="0.35">
      <c r="A218" s="4" t="s">
        <v>220</v>
      </c>
      <c r="B218" s="4">
        <v>0.42759999999999998</v>
      </c>
    </row>
    <row r="219" spans="1:2" x14ac:dyDescent="0.35">
      <c r="A219" s="4" t="s">
        <v>221</v>
      </c>
      <c r="B219" s="4">
        <v>0.55210000000000004</v>
      </c>
    </row>
    <row r="220" spans="1:2" x14ac:dyDescent="0.35">
      <c r="A220" s="4" t="s">
        <v>222</v>
      </c>
      <c r="B220" s="4">
        <v>0.50319999999999998</v>
      </c>
    </row>
    <row r="221" spans="1:2" x14ac:dyDescent="0.35">
      <c r="A221" s="4" t="s">
        <v>223</v>
      </c>
      <c r="B221" s="4">
        <v>0.33739999999999998</v>
      </c>
    </row>
    <row r="222" spans="1:2" x14ac:dyDescent="0.35">
      <c r="A222" s="4" t="s">
        <v>224</v>
      </c>
      <c r="B222" s="4">
        <v>0.48870000000000002</v>
      </c>
    </row>
    <row r="223" spans="1:2" x14ac:dyDescent="0.35">
      <c r="A223" s="4" t="s">
        <v>225</v>
      </c>
      <c r="B223" s="4">
        <v>0.38009999999999999</v>
      </c>
    </row>
    <row r="224" spans="1:2" x14ac:dyDescent="0.35">
      <c r="A224" s="4" t="s">
        <v>226</v>
      </c>
      <c r="B224" s="4">
        <v>0.42720000000000002</v>
      </c>
    </row>
    <row r="225" spans="1:2" x14ac:dyDescent="0.35">
      <c r="A225" s="4" t="s">
        <v>227</v>
      </c>
      <c r="B225" s="4">
        <v>0.45469999999999999</v>
      </c>
    </row>
    <row r="226" spans="1:2" x14ac:dyDescent="0.35">
      <c r="A226" s="4" t="s">
        <v>228</v>
      </c>
      <c r="B226" s="4">
        <v>0.53449999999999998</v>
      </c>
    </row>
    <row r="227" spans="1:2" x14ac:dyDescent="0.35">
      <c r="A227" s="4" t="s">
        <v>229</v>
      </c>
      <c r="B227" s="4">
        <v>0.43419999999999997</v>
      </c>
    </row>
    <row r="228" spans="1:2" x14ac:dyDescent="0.35">
      <c r="A228" s="4" t="s">
        <v>230</v>
      </c>
      <c r="B228" s="4">
        <v>0.4506</v>
      </c>
    </row>
    <row r="229" spans="1:2" x14ac:dyDescent="0.35">
      <c r="A229" s="4" t="s">
        <v>231</v>
      </c>
      <c r="B229" s="4">
        <v>0.45929999999999999</v>
      </c>
    </row>
    <row r="230" spans="1:2" x14ac:dyDescent="0.35">
      <c r="A230" s="4" t="s">
        <v>232</v>
      </c>
      <c r="B230" s="4">
        <v>0.54830000000000001</v>
      </c>
    </row>
    <row r="231" spans="1:2" x14ac:dyDescent="0.35">
      <c r="A231" s="4" t="s">
        <v>233</v>
      </c>
      <c r="B231" s="4">
        <v>0.58589999999999998</v>
      </c>
    </row>
    <row r="232" spans="1:2" x14ac:dyDescent="0.35">
      <c r="A232" s="4" t="s">
        <v>234</v>
      </c>
      <c r="B232" s="4">
        <v>0.41470000000000001</v>
      </c>
    </row>
    <row r="233" spans="1:2" x14ac:dyDescent="0.35">
      <c r="A233" s="4" t="s">
        <v>235</v>
      </c>
      <c r="B233" s="4">
        <v>0.51170000000000004</v>
      </c>
    </row>
    <row r="234" spans="1:2" x14ac:dyDescent="0.35">
      <c r="A234" s="4" t="s">
        <v>236</v>
      </c>
      <c r="B234" s="4">
        <v>0.3513</v>
      </c>
    </row>
    <row r="235" spans="1:2" x14ac:dyDescent="0.35">
      <c r="A235" s="4" t="s">
        <v>237</v>
      </c>
      <c r="B235" s="4">
        <v>0.63390000000000002</v>
      </c>
    </row>
    <row r="236" spans="1:2" x14ac:dyDescent="0.35">
      <c r="A236" s="4" t="s">
        <v>238</v>
      </c>
      <c r="B236" s="4">
        <v>0.55469999999999997</v>
      </c>
    </row>
    <row r="237" spans="1:2" x14ac:dyDescent="0.35">
      <c r="A237" s="4" t="s">
        <v>239</v>
      </c>
      <c r="B237" s="4">
        <v>0.42249999999999999</v>
      </c>
    </row>
    <row r="238" spans="1:2" x14ac:dyDescent="0.35">
      <c r="A238" s="4" t="s">
        <v>240</v>
      </c>
      <c r="B238" s="4">
        <v>0.43</v>
      </c>
    </row>
    <row r="239" spans="1:2" x14ac:dyDescent="0.35">
      <c r="A239" s="4" t="s">
        <v>241</v>
      </c>
      <c r="B239" s="4">
        <v>0.4627</v>
      </c>
    </row>
    <row r="240" spans="1:2" x14ac:dyDescent="0.35">
      <c r="A240" s="4" t="s">
        <v>242</v>
      </c>
      <c r="B240" s="4">
        <v>0.36709999999999998</v>
      </c>
    </row>
    <row r="241" spans="1:2" x14ac:dyDescent="0.35">
      <c r="A241" s="4" t="s">
        <v>243</v>
      </c>
      <c r="B241" s="4">
        <v>0.63370000000000004</v>
      </c>
    </row>
    <row r="242" spans="1:2" x14ac:dyDescent="0.35">
      <c r="A242" s="4" t="s">
        <v>244</v>
      </c>
      <c r="B242" s="4">
        <v>0.60950000000000004</v>
      </c>
    </row>
    <row r="243" spans="1:2" x14ac:dyDescent="0.35">
      <c r="A243" s="4" t="s">
        <v>245</v>
      </c>
      <c r="B243" s="4">
        <v>0.46929999999999999</v>
      </c>
    </row>
    <row r="244" spans="1:2" x14ac:dyDescent="0.35">
      <c r="A244" s="4" t="s">
        <v>246</v>
      </c>
      <c r="B244" s="4" t="s">
        <v>79</v>
      </c>
    </row>
    <row r="245" spans="1:2" x14ac:dyDescent="0.35">
      <c r="A245" s="4" t="s">
        <v>247</v>
      </c>
      <c r="B245" s="4">
        <v>0.51119999999999999</v>
      </c>
    </row>
    <row r="246" spans="1:2" x14ac:dyDescent="0.35">
      <c r="A246" s="4" t="s">
        <v>248</v>
      </c>
      <c r="B246" s="4">
        <v>0.38969999999999999</v>
      </c>
    </row>
    <row r="247" spans="1:2" x14ac:dyDescent="0.35">
      <c r="A247" s="4" t="s">
        <v>249</v>
      </c>
      <c r="B247" s="4">
        <v>0.55249999999999999</v>
      </c>
    </row>
    <row r="248" spans="1:2" x14ac:dyDescent="0.35">
      <c r="A248" s="4" t="s">
        <v>250</v>
      </c>
      <c r="B248" s="4">
        <v>0.40720000000000001</v>
      </c>
    </row>
    <row r="249" spans="1:2" x14ac:dyDescent="0.35">
      <c r="A249" s="4" t="s">
        <v>251</v>
      </c>
      <c r="B249" s="4">
        <v>0.32579999999999998</v>
      </c>
    </row>
    <row r="250" spans="1:2" x14ac:dyDescent="0.35">
      <c r="A250" s="4" t="s">
        <v>252</v>
      </c>
      <c r="B250" s="5">
        <v>0.29609999999999997</v>
      </c>
    </row>
    <row r="251" spans="1:2" x14ac:dyDescent="0.35">
      <c r="A251" s="4" t="s">
        <v>253</v>
      </c>
      <c r="B251" s="4">
        <v>0.37069999999999997</v>
      </c>
    </row>
    <row r="252" spans="1:2" x14ac:dyDescent="0.35">
      <c r="A252" s="4" t="s">
        <v>254</v>
      </c>
      <c r="B252" s="4">
        <v>0.53169999999999995</v>
      </c>
    </row>
    <row r="253" spans="1:2" x14ac:dyDescent="0.35">
      <c r="A253" s="4" t="s">
        <v>255</v>
      </c>
      <c r="B253" s="4">
        <v>0.51349999999999996</v>
      </c>
    </row>
    <row r="254" spans="1:2" x14ac:dyDescent="0.35">
      <c r="A254" s="4" t="s">
        <v>256</v>
      </c>
      <c r="B254" s="4">
        <v>0.4284</v>
      </c>
    </row>
    <row r="255" spans="1:2" x14ac:dyDescent="0.35">
      <c r="A255" s="4" t="s">
        <v>257</v>
      </c>
      <c r="B255" s="4">
        <v>0.35189999999999999</v>
      </c>
    </row>
    <row r="256" spans="1:2" x14ac:dyDescent="0.35">
      <c r="A256" s="4" t="s">
        <v>258</v>
      </c>
      <c r="B256" s="4">
        <v>0.3044</v>
      </c>
    </row>
    <row r="257" spans="1:2" x14ac:dyDescent="0.35">
      <c r="A257" s="4" t="s">
        <v>259</v>
      </c>
      <c r="B257" s="4">
        <v>0.38100000000000001</v>
      </c>
    </row>
    <row r="258" spans="1:2" x14ac:dyDescent="0.35">
      <c r="A258" s="4" t="s">
        <v>260</v>
      </c>
      <c r="B258" s="4">
        <v>0.34939999999999999</v>
      </c>
    </row>
    <row r="259" spans="1:2" x14ac:dyDescent="0.35">
      <c r="A259" s="4" t="s">
        <v>261</v>
      </c>
      <c r="B259" s="4">
        <v>0.41099999999999998</v>
      </c>
    </row>
    <row r="260" spans="1:2" x14ac:dyDescent="0.35">
      <c r="A260" s="4" t="s">
        <v>262</v>
      </c>
      <c r="B260" s="4">
        <v>0.47189999999999999</v>
      </c>
    </row>
    <row r="261" spans="1:2" x14ac:dyDescent="0.35">
      <c r="A261" s="4" t="s">
        <v>263</v>
      </c>
      <c r="B261" s="4">
        <v>0.33350000000000002</v>
      </c>
    </row>
    <row r="262" spans="1:2" x14ac:dyDescent="0.35">
      <c r="A262" s="4" t="s">
        <v>264</v>
      </c>
      <c r="B262" s="4">
        <v>0.37790000000000001</v>
      </c>
    </row>
    <row r="263" spans="1:2" x14ac:dyDescent="0.35">
      <c r="A263" s="4" t="s">
        <v>265</v>
      </c>
      <c r="B263" s="4">
        <v>0.39429999999999998</v>
      </c>
    </row>
    <row r="264" spans="1:2" x14ac:dyDescent="0.35">
      <c r="A264" s="4" t="s">
        <v>266</v>
      </c>
      <c r="B264" s="4" t="s">
        <v>79</v>
      </c>
    </row>
    <row r="265" spans="1:2" x14ac:dyDescent="0.35">
      <c r="A265" s="4" t="s">
        <v>267</v>
      </c>
      <c r="B265" s="5">
        <v>0.29099999999999998</v>
      </c>
    </row>
    <row r="266" spans="1:2" x14ac:dyDescent="0.35">
      <c r="A266" s="4" t="s">
        <v>268</v>
      </c>
      <c r="B266" s="5">
        <v>0.37619999999999998</v>
      </c>
    </row>
    <row r="267" spans="1:2" x14ac:dyDescent="0.35">
      <c r="A267" s="4" t="s">
        <v>269</v>
      </c>
      <c r="B267" s="4">
        <v>0.53320000000000001</v>
      </c>
    </row>
    <row r="268" spans="1:2" x14ac:dyDescent="0.35">
      <c r="A268" s="4" t="s">
        <v>270</v>
      </c>
      <c r="B268" s="4">
        <v>0.3826</v>
      </c>
    </row>
    <row r="269" spans="1:2" x14ac:dyDescent="0.35">
      <c r="A269" s="4" t="s">
        <v>271</v>
      </c>
      <c r="B269" s="4">
        <v>0.47410000000000002</v>
      </c>
    </row>
    <row r="270" spans="1:2" x14ac:dyDescent="0.35">
      <c r="A270" s="4" t="s">
        <v>272</v>
      </c>
      <c r="B270" s="4">
        <v>0.5373</v>
      </c>
    </row>
    <row r="271" spans="1:2" x14ac:dyDescent="0.35">
      <c r="A271" s="4" t="s">
        <v>273</v>
      </c>
      <c r="B271" s="4">
        <v>0.41980000000000001</v>
      </c>
    </row>
    <row r="272" spans="1:2" x14ac:dyDescent="0.35">
      <c r="A272" s="4" t="s">
        <v>274</v>
      </c>
      <c r="B272" s="4">
        <v>0.38</v>
      </c>
    </row>
    <row r="273" spans="1:2" x14ac:dyDescent="0.35">
      <c r="A273" s="4" t="s">
        <v>275</v>
      </c>
      <c r="B273" s="4">
        <v>0.40489999999999998</v>
      </c>
    </row>
    <row r="274" spans="1:2" x14ac:dyDescent="0.35">
      <c r="A274" s="4" t="s">
        <v>276</v>
      </c>
      <c r="B274" s="4">
        <v>0.48149999999999998</v>
      </c>
    </row>
    <row r="275" spans="1:2" x14ac:dyDescent="0.35">
      <c r="A275" s="4" t="s">
        <v>277</v>
      </c>
      <c r="B275" s="4">
        <v>0.56340000000000001</v>
      </c>
    </row>
    <row r="276" spans="1:2" x14ac:dyDescent="0.35">
      <c r="A276" s="4" t="s">
        <v>278</v>
      </c>
      <c r="B276" s="4">
        <v>0.44140000000000001</v>
      </c>
    </row>
    <row r="277" spans="1:2" x14ac:dyDescent="0.35">
      <c r="A277" s="4" t="s">
        <v>279</v>
      </c>
      <c r="B277" s="4">
        <v>0.59689999999999999</v>
      </c>
    </row>
    <row r="278" spans="1:2" x14ac:dyDescent="0.35">
      <c r="A278" s="4" t="s">
        <v>280</v>
      </c>
      <c r="B278" s="4">
        <v>0.64249999999999996</v>
      </c>
    </row>
    <row r="279" spans="1:2" x14ac:dyDescent="0.35">
      <c r="A279" s="4" t="s">
        <v>281</v>
      </c>
      <c r="B279" s="4">
        <v>0.3735</v>
      </c>
    </row>
    <row r="280" spans="1:2" x14ac:dyDescent="0.35">
      <c r="A280" s="4" t="s">
        <v>282</v>
      </c>
      <c r="B280" s="4">
        <v>0.45610000000000001</v>
      </c>
    </row>
    <row r="281" spans="1:2" x14ac:dyDescent="0.35">
      <c r="A281" s="4" t="s">
        <v>283</v>
      </c>
      <c r="B281" s="4">
        <v>0.42409999999999998</v>
      </c>
    </row>
    <row r="282" spans="1:2" x14ac:dyDescent="0.35">
      <c r="A282" s="4" t="s">
        <v>284</v>
      </c>
      <c r="B282" s="4">
        <v>0.63839999999999997</v>
      </c>
    </row>
    <row r="283" spans="1:2" x14ac:dyDescent="0.35">
      <c r="A283" s="4" t="s">
        <v>285</v>
      </c>
      <c r="B283" s="4">
        <v>0.4768</v>
      </c>
    </row>
    <row r="284" spans="1:2" x14ac:dyDescent="0.35">
      <c r="A284" s="4" t="s">
        <v>286</v>
      </c>
      <c r="B284" s="4">
        <v>0.38340000000000002</v>
      </c>
    </row>
    <row r="285" spans="1:2" x14ac:dyDescent="0.35">
      <c r="A285" s="4" t="s">
        <v>287</v>
      </c>
      <c r="B285" s="4">
        <v>0.3826</v>
      </c>
    </row>
    <row r="286" spans="1:2" x14ac:dyDescent="0.35">
      <c r="A286" s="4" t="s">
        <v>288</v>
      </c>
      <c r="B286" s="4">
        <v>0.58609999999999995</v>
      </c>
    </row>
    <row r="287" spans="1:2" x14ac:dyDescent="0.35">
      <c r="A287" s="4" t="s">
        <v>289</v>
      </c>
      <c r="B287" s="4">
        <v>0.67210000000000003</v>
      </c>
    </row>
    <row r="288" spans="1:2" x14ac:dyDescent="0.35">
      <c r="A288" s="4" t="s">
        <v>290</v>
      </c>
      <c r="B288" s="4">
        <v>0.47589999999999999</v>
      </c>
    </row>
    <row r="289" spans="1:2" x14ac:dyDescent="0.35">
      <c r="A289" s="4" t="s">
        <v>291</v>
      </c>
      <c r="B289" s="4">
        <v>0.53639999999999999</v>
      </c>
    </row>
    <row r="290" spans="1:2" x14ac:dyDescent="0.35">
      <c r="A290" s="4" t="s">
        <v>292</v>
      </c>
      <c r="B290" s="4">
        <v>0.50019999999999998</v>
      </c>
    </row>
    <row r="291" spans="1:2" x14ac:dyDescent="0.35">
      <c r="A291" s="4" t="s">
        <v>293</v>
      </c>
      <c r="B291" s="4">
        <v>0.55269999999999997</v>
      </c>
    </row>
    <row r="292" spans="1:2" x14ac:dyDescent="0.35">
      <c r="A292" s="4" t="s">
        <v>294</v>
      </c>
      <c r="B292" s="4">
        <v>0.37009999999999998</v>
      </c>
    </row>
    <row r="293" spans="1:2" x14ac:dyDescent="0.35">
      <c r="A293" s="4" t="s">
        <v>295</v>
      </c>
      <c r="B293" s="4">
        <v>0.55410000000000004</v>
      </c>
    </row>
    <row r="294" spans="1:2" x14ac:dyDescent="0.35">
      <c r="A294" s="4" t="s">
        <v>296</v>
      </c>
      <c r="B294" s="4">
        <v>0.60680000000000001</v>
      </c>
    </row>
    <row r="295" spans="1:2" x14ac:dyDescent="0.35">
      <c r="A295" s="4" t="s">
        <v>297</v>
      </c>
      <c r="B295" s="4">
        <v>0.53769999999999996</v>
      </c>
    </row>
    <row r="296" spans="1:2" x14ac:dyDescent="0.35">
      <c r="A296" s="4" t="s">
        <v>298</v>
      </c>
      <c r="B296" s="4">
        <v>0.40429999999999999</v>
      </c>
    </row>
    <row r="297" spans="1:2" x14ac:dyDescent="0.35">
      <c r="A297" s="4" t="s">
        <v>299</v>
      </c>
      <c r="B297" s="4">
        <v>0.36230000000000001</v>
      </c>
    </row>
    <row r="298" spans="1:2" x14ac:dyDescent="0.35">
      <c r="A298" s="4" t="s">
        <v>300</v>
      </c>
      <c r="B298" s="4">
        <v>0.31</v>
      </c>
    </row>
    <row r="299" spans="1:2" x14ac:dyDescent="0.35">
      <c r="A299" s="4" t="s">
        <v>301</v>
      </c>
      <c r="B299" s="4">
        <v>0.51539999999999997</v>
      </c>
    </row>
    <row r="300" spans="1:2" x14ac:dyDescent="0.35">
      <c r="A300" s="4" t="s">
        <v>302</v>
      </c>
      <c r="B300" s="4">
        <v>0.13850000000000001</v>
      </c>
    </row>
    <row r="301" spans="1:2" x14ac:dyDescent="0.35">
      <c r="A301" s="4" t="s">
        <v>303</v>
      </c>
      <c r="B301" s="4">
        <v>0.1638</v>
      </c>
    </row>
    <row r="302" spans="1:2" x14ac:dyDescent="0.35">
      <c r="A302" s="4" t="s">
        <v>304</v>
      </c>
      <c r="B302" s="4">
        <v>0.2616</v>
      </c>
    </row>
    <row r="303" spans="1:2" x14ac:dyDescent="0.35">
      <c r="A303" s="4" t="s">
        <v>305</v>
      </c>
      <c r="B303" s="4">
        <v>0.3115</v>
      </c>
    </row>
    <row r="304" spans="1:2" x14ac:dyDescent="0.35">
      <c r="A304" s="4" t="s">
        <v>306</v>
      </c>
      <c r="B304" s="4">
        <v>0.39829999999999999</v>
      </c>
    </row>
    <row r="305" spans="1:2" x14ac:dyDescent="0.35">
      <c r="A305" s="4" t="s">
        <v>307</v>
      </c>
      <c r="B305" s="4">
        <v>0.38719999999999999</v>
      </c>
    </row>
    <row r="306" spans="1:2" x14ac:dyDescent="0.35">
      <c r="A306" s="4" t="s">
        <v>308</v>
      </c>
      <c r="B306" s="4">
        <v>0.43780000000000002</v>
      </c>
    </row>
    <row r="307" spans="1:2" x14ac:dyDescent="0.35">
      <c r="A307" s="4" t="s">
        <v>309</v>
      </c>
      <c r="B307" s="4">
        <v>0.44729999999999998</v>
      </c>
    </row>
    <row r="308" spans="1:2" x14ac:dyDescent="0.35">
      <c r="A308" s="4" t="s">
        <v>310</v>
      </c>
      <c r="B308" s="4">
        <v>0.31009999999999999</v>
      </c>
    </row>
    <row r="309" spans="1:2" x14ac:dyDescent="0.35">
      <c r="A309" s="4" t="s">
        <v>311</v>
      </c>
      <c r="B309" s="4">
        <v>0.432</v>
      </c>
    </row>
    <row r="310" spans="1:2" x14ac:dyDescent="0.35">
      <c r="A310" s="4" t="s">
        <v>312</v>
      </c>
      <c r="B310" s="4">
        <v>0.67449999999999999</v>
      </c>
    </row>
    <row r="311" spans="1:2" x14ac:dyDescent="0.35">
      <c r="A311" s="4" t="s">
        <v>313</v>
      </c>
      <c r="B311" s="4">
        <v>0.41199999999999998</v>
      </c>
    </row>
    <row r="312" spans="1:2" x14ac:dyDescent="0.35">
      <c r="A312" s="4" t="s">
        <v>314</v>
      </c>
      <c r="B312" s="4">
        <v>0.34549999999999997</v>
      </c>
    </row>
    <row r="313" spans="1:2" x14ac:dyDescent="0.35">
      <c r="A313" s="4" t="s">
        <v>315</v>
      </c>
      <c r="B313" s="4">
        <v>0.41520000000000001</v>
      </c>
    </row>
    <row r="314" spans="1:2" x14ac:dyDescent="0.35">
      <c r="A314" s="4" t="s">
        <v>316</v>
      </c>
      <c r="B314" s="4" t="s">
        <v>79</v>
      </c>
    </row>
    <row r="315" spans="1:2" x14ac:dyDescent="0.35">
      <c r="A315" s="4" t="s">
        <v>317</v>
      </c>
      <c r="B315" s="4">
        <v>0.28210000000000002</v>
      </c>
    </row>
    <row r="316" spans="1:2" x14ac:dyDescent="0.35">
      <c r="A316" s="4" t="s">
        <v>318</v>
      </c>
      <c r="B316" s="4">
        <v>0.48580000000000001</v>
      </c>
    </row>
    <row r="317" spans="1:2" x14ac:dyDescent="0.35">
      <c r="A317" s="4" t="s">
        <v>319</v>
      </c>
      <c r="B317" s="4">
        <v>0.57250000000000001</v>
      </c>
    </row>
    <row r="318" spans="1:2" x14ac:dyDescent="0.35">
      <c r="A318" s="4" t="s">
        <v>320</v>
      </c>
      <c r="B318" s="4">
        <v>0.36809999999999998</v>
      </c>
    </row>
    <row r="319" spans="1:2" x14ac:dyDescent="0.35">
      <c r="A319" s="4" t="s">
        <v>321</v>
      </c>
      <c r="B319" s="4">
        <v>0.51670000000000005</v>
      </c>
    </row>
    <row r="320" spans="1:2" x14ac:dyDescent="0.35">
      <c r="A320" s="4" t="s">
        <v>322</v>
      </c>
      <c r="B320" s="4">
        <v>0.47570000000000001</v>
      </c>
    </row>
    <row r="321" spans="1:2" x14ac:dyDescent="0.35">
      <c r="A321" s="4" t="s">
        <v>323</v>
      </c>
      <c r="B321" s="4">
        <v>0.35139999999999999</v>
      </c>
    </row>
    <row r="322" spans="1:2" x14ac:dyDescent="0.35">
      <c r="A322" s="4" t="s">
        <v>324</v>
      </c>
      <c r="B322" s="4">
        <v>0.37919999999999998</v>
      </c>
    </row>
    <row r="323" spans="1:2" x14ac:dyDescent="0.35">
      <c r="A323" s="4" t="s">
        <v>325</v>
      </c>
      <c r="B323" s="4">
        <v>0.50149999999999995</v>
      </c>
    </row>
    <row r="324" spans="1:2" x14ac:dyDescent="0.35">
      <c r="A324" s="4" t="s">
        <v>326</v>
      </c>
      <c r="B324" s="4">
        <v>0.49819999999999998</v>
      </c>
    </row>
    <row r="325" spans="1:2" x14ac:dyDescent="0.35">
      <c r="A325" s="4" t="s">
        <v>327</v>
      </c>
      <c r="B325" s="5">
        <v>0.59530000000000005</v>
      </c>
    </row>
    <row r="326" spans="1:2" x14ac:dyDescent="0.35">
      <c r="A326" s="4" t="s">
        <v>328</v>
      </c>
      <c r="B326" s="4">
        <v>0.34939999999999999</v>
      </c>
    </row>
    <row r="327" spans="1:2" x14ac:dyDescent="0.35">
      <c r="A327" s="4" t="s">
        <v>329</v>
      </c>
      <c r="B327" s="4">
        <v>0.60429999999999995</v>
      </c>
    </row>
    <row r="328" spans="1:2" x14ac:dyDescent="0.35">
      <c r="A328" s="4" t="s">
        <v>330</v>
      </c>
      <c r="B328" s="4">
        <v>0.41849999999999998</v>
      </c>
    </row>
    <row r="329" spans="1:2" x14ac:dyDescent="0.35">
      <c r="A329" s="4" t="s">
        <v>331</v>
      </c>
      <c r="B329" s="4">
        <v>0.51680000000000004</v>
      </c>
    </row>
    <row r="330" spans="1:2" x14ac:dyDescent="0.35">
      <c r="A330" s="4" t="s">
        <v>332</v>
      </c>
      <c r="B330" s="4">
        <v>0.50039999999999996</v>
      </c>
    </row>
    <row r="331" spans="1:2" x14ac:dyDescent="0.35">
      <c r="A331" s="4" t="s">
        <v>333</v>
      </c>
      <c r="B331" s="4">
        <v>0.45550000000000002</v>
      </c>
    </row>
    <row r="332" spans="1:2" x14ac:dyDescent="0.35">
      <c r="A332" s="4" t="s">
        <v>334</v>
      </c>
      <c r="B332" s="4">
        <v>0.4859</v>
      </c>
    </row>
    <row r="333" spans="1:2" x14ac:dyDescent="0.35">
      <c r="A333" s="4" t="s">
        <v>335</v>
      </c>
      <c r="B333" s="4">
        <v>0.5605</v>
      </c>
    </row>
    <row r="334" spans="1:2" x14ac:dyDescent="0.35">
      <c r="A334" s="4" t="s">
        <v>336</v>
      </c>
      <c r="B334" s="4">
        <v>0.38529999999999998</v>
      </c>
    </row>
    <row r="335" spans="1:2" x14ac:dyDescent="0.35">
      <c r="A335" s="4" t="s">
        <v>337</v>
      </c>
      <c r="B335" s="5">
        <v>0.30449999999999999</v>
      </c>
    </row>
    <row r="336" spans="1:2" x14ac:dyDescent="0.35">
      <c r="A336" s="4" t="s">
        <v>338</v>
      </c>
      <c r="B336" s="5">
        <v>0.44130000000000003</v>
      </c>
    </row>
    <row r="337" spans="1:2" x14ac:dyDescent="0.35">
      <c r="A337" s="4" t="s">
        <v>339</v>
      </c>
      <c r="B337" s="5">
        <v>0.60499999999999998</v>
      </c>
    </row>
    <row r="338" spans="1:2" x14ac:dyDescent="0.35">
      <c r="A338" s="4" t="s">
        <v>340</v>
      </c>
      <c r="B338" s="5">
        <v>0.41489999999999999</v>
      </c>
    </row>
    <row r="339" spans="1:2" x14ac:dyDescent="0.35">
      <c r="A339" s="4" t="s">
        <v>341</v>
      </c>
      <c r="B339" s="5">
        <v>0.43469999999999998</v>
      </c>
    </row>
    <row r="340" spans="1:2" x14ac:dyDescent="0.35">
      <c r="A340" s="4" t="s">
        <v>342</v>
      </c>
      <c r="B340" s="5">
        <v>0.45300000000000001</v>
      </c>
    </row>
    <row r="341" spans="1:2" x14ac:dyDescent="0.35">
      <c r="A341" s="4" t="s">
        <v>343</v>
      </c>
      <c r="B341" s="4">
        <v>0.52339999999999998</v>
      </c>
    </row>
    <row r="342" spans="1:2" x14ac:dyDescent="0.35">
      <c r="A342" s="4" t="s">
        <v>344</v>
      </c>
      <c r="B342" s="4">
        <v>0.51700000000000002</v>
      </c>
    </row>
    <row r="343" spans="1:2" x14ac:dyDescent="0.35">
      <c r="A343" s="4" t="s">
        <v>345</v>
      </c>
      <c r="B343" s="4">
        <v>0.41949999999999998</v>
      </c>
    </row>
    <row r="344" spans="1:2" x14ac:dyDescent="0.35">
      <c r="A344" s="4" t="s">
        <v>346</v>
      </c>
      <c r="B344" s="4">
        <v>0.44919999999999999</v>
      </c>
    </row>
    <row r="345" spans="1:2" x14ac:dyDescent="0.35">
      <c r="A345" s="4" t="s">
        <v>347</v>
      </c>
      <c r="B345" s="5">
        <v>0.55230000000000001</v>
      </c>
    </row>
    <row r="346" spans="1:2" x14ac:dyDescent="0.35">
      <c r="A346" s="4" t="s">
        <v>348</v>
      </c>
      <c r="B346" s="4">
        <v>0.64539999999999997</v>
      </c>
    </row>
    <row r="347" spans="1:2" x14ac:dyDescent="0.35">
      <c r="A347" s="4" t="s">
        <v>349</v>
      </c>
      <c r="B347" s="4">
        <v>0.41909999999999997</v>
      </c>
    </row>
    <row r="348" spans="1:2" x14ac:dyDescent="0.35">
      <c r="A348" s="4" t="s">
        <v>350</v>
      </c>
      <c r="B348" s="4">
        <v>0.44550000000000001</v>
      </c>
    </row>
    <row r="349" spans="1:2" x14ac:dyDescent="0.35">
      <c r="A349" s="4" t="s">
        <v>351</v>
      </c>
      <c r="B349" s="4">
        <v>0.63560000000000005</v>
      </c>
    </row>
    <row r="350" spans="1:2" x14ac:dyDescent="0.35">
      <c r="A350" s="4" t="s">
        <v>352</v>
      </c>
      <c r="B350" s="4">
        <v>0.61360000000000003</v>
      </c>
    </row>
    <row r="351" spans="1:2" x14ac:dyDescent="0.35">
      <c r="A351" s="4" t="s">
        <v>353</v>
      </c>
      <c r="B351" s="4">
        <v>0.42559999999999998</v>
      </c>
    </row>
    <row r="352" spans="1:2" x14ac:dyDescent="0.35">
      <c r="A352" s="4" t="s">
        <v>354</v>
      </c>
      <c r="B352" s="4">
        <v>0.64229999999999998</v>
      </c>
    </row>
    <row r="353" spans="1:2" x14ac:dyDescent="0.35">
      <c r="A353" s="4" t="s">
        <v>355</v>
      </c>
      <c r="B353" s="4">
        <v>0.3967</v>
      </c>
    </row>
    <row r="354" spans="1:2" x14ac:dyDescent="0.35">
      <c r="A354" s="4" t="s">
        <v>356</v>
      </c>
      <c r="B354" s="4">
        <v>0.46839999999999998</v>
      </c>
    </row>
    <row r="355" spans="1:2" x14ac:dyDescent="0.35">
      <c r="A355" s="4" t="s">
        <v>357</v>
      </c>
      <c r="B355" s="4">
        <v>0.32719999999999999</v>
      </c>
    </row>
    <row r="356" spans="1:2" x14ac:dyDescent="0.35">
      <c r="A356" s="4" t="s">
        <v>358</v>
      </c>
      <c r="B356" s="4">
        <v>0.31690000000000002</v>
      </c>
    </row>
    <row r="357" spans="1:2" x14ac:dyDescent="0.35">
      <c r="A357" s="4" t="s">
        <v>359</v>
      </c>
      <c r="B357" s="4">
        <v>0.58720000000000006</v>
      </c>
    </row>
    <row r="358" spans="1:2" x14ac:dyDescent="0.35">
      <c r="A358" s="4" t="s">
        <v>360</v>
      </c>
      <c r="B358" s="4">
        <v>0.3826</v>
      </c>
    </row>
    <row r="359" spans="1:2" x14ac:dyDescent="0.35">
      <c r="A359" s="4" t="s">
        <v>361</v>
      </c>
      <c r="B359" s="4">
        <v>0.69530000000000003</v>
      </c>
    </row>
    <row r="360" spans="1:2" x14ac:dyDescent="0.35">
      <c r="A360" s="4" t="s">
        <v>362</v>
      </c>
      <c r="B360" s="4">
        <v>0.38080000000000003</v>
      </c>
    </row>
    <row r="361" spans="1:2" x14ac:dyDescent="0.35">
      <c r="A361" s="4" t="s">
        <v>363</v>
      </c>
      <c r="B361" s="4">
        <v>0.49509999999999998</v>
      </c>
    </row>
    <row r="362" spans="1:2" x14ac:dyDescent="0.35">
      <c r="A362" s="4" t="s">
        <v>364</v>
      </c>
      <c r="B362" s="4">
        <v>0.38440000000000002</v>
      </c>
    </row>
    <row r="363" spans="1:2" x14ac:dyDescent="0.35">
      <c r="A363" s="4" t="s">
        <v>365</v>
      </c>
      <c r="B363" s="4">
        <v>0.35570000000000002</v>
      </c>
    </row>
    <row r="364" spans="1:2" x14ac:dyDescent="0.35">
      <c r="A364" s="4" t="s">
        <v>366</v>
      </c>
      <c r="B364" s="4">
        <v>0.52600000000000002</v>
      </c>
    </row>
    <row r="365" spans="1:2" x14ac:dyDescent="0.35">
      <c r="A365" s="4" t="s">
        <v>367</v>
      </c>
      <c r="B365" s="4">
        <v>0.439</v>
      </c>
    </row>
    <row r="366" spans="1:2" x14ac:dyDescent="0.35">
      <c r="A366" s="4" t="s">
        <v>368</v>
      </c>
      <c r="B366" s="4">
        <v>0.34849999999999998</v>
      </c>
    </row>
    <row r="367" spans="1:2" x14ac:dyDescent="0.35">
      <c r="A367" s="4" t="s">
        <v>369</v>
      </c>
      <c r="B367" s="4">
        <v>0.44700000000000001</v>
      </c>
    </row>
    <row r="368" spans="1:2" x14ac:dyDescent="0.35">
      <c r="A368" s="4" t="s">
        <v>370</v>
      </c>
      <c r="B368" s="4">
        <v>0.2671</v>
      </c>
    </row>
    <row r="369" spans="1:2" x14ac:dyDescent="0.35">
      <c r="A369" s="4" t="s">
        <v>371</v>
      </c>
      <c r="B369" s="4">
        <v>0.35239999999999999</v>
      </c>
    </row>
    <row r="370" spans="1:2" x14ac:dyDescent="0.35">
      <c r="A370" s="4" t="s">
        <v>372</v>
      </c>
      <c r="B370" s="4">
        <v>0.43080000000000002</v>
      </c>
    </row>
    <row r="371" spans="1:2" x14ac:dyDescent="0.35">
      <c r="A371" s="4" t="s">
        <v>373</v>
      </c>
      <c r="B371" s="4">
        <v>0.44679999999999997</v>
      </c>
    </row>
    <row r="372" spans="1:2" x14ac:dyDescent="0.35">
      <c r="A372" s="4" t="s">
        <v>374</v>
      </c>
      <c r="B372" s="4">
        <v>0.49049999999999999</v>
      </c>
    </row>
    <row r="373" spans="1:2" x14ac:dyDescent="0.35">
      <c r="A373" s="4" t="s">
        <v>375</v>
      </c>
      <c r="B373" s="4">
        <v>0.3342</v>
      </c>
    </row>
    <row r="374" spans="1:2" x14ac:dyDescent="0.35">
      <c r="A374" s="4" t="s">
        <v>376</v>
      </c>
      <c r="B374" s="4">
        <v>0.33189999999999997</v>
      </c>
    </row>
    <row r="375" spans="1:2" x14ac:dyDescent="0.35">
      <c r="A375" s="4" t="s">
        <v>377</v>
      </c>
      <c r="B375" s="4">
        <v>0.36849999999999999</v>
      </c>
    </row>
    <row r="376" spans="1:2" x14ac:dyDescent="0.35">
      <c r="A376" s="4" t="s">
        <v>378</v>
      </c>
      <c r="B376" s="4">
        <v>0.46829999999999999</v>
      </c>
    </row>
    <row r="377" spans="1:2" x14ac:dyDescent="0.35">
      <c r="A377" s="4" t="s">
        <v>379</v>
      </c>
      <c r="B377" s="4">
        <v>0.33339999999999997</v>
      </c>
    </row>
    <row r="378" spans="1:2" x14ac:dyDescent="0.35">
      <c r="A378" s="4" t="s">
        <v>380</v>
      </c>
      <c r="B378" s="4">
        <v>0.26840000000000003</v>
      </c>
    </row>
    <row r="379" spans="1:2" x14ac:dyDescent="0.35">
      <c r="A379" s="4" t="s">
        <v>381</v>
      </c>
      <c r="B379" s="4">
        <v>0.30649999999999999</v>
      </c>
    </row>
    <row r="380" spans="1:2" x14ac:dyDescent="0.35">
      <c r="A380" s="4" t="s">
        <v>382</v>
      </c>
      <c r="B380" s="4">
        <v>0.2177</v>
      </c>
    </row>
    <row r="381" spans="1:2" x14ac:dyDescent="0.35">
      <c r="A381" s="4" t="s">
        <v>383</v>
      </c>
      <c r="B381" s="4">
        <v>0.62119999999999997</v>
      </c>
    </row>
    <row r="382" spans="1:2" x14ac:dyDescent="0.35">
      <c r="A382" s="4" t="s">
        <v>384</v>
      </c>
      <c r="B382" s="4">
        <v>0.25090000000000001</v>
      </c>
    </row>
    <row r="383" spans="1:2" x14ac:dyDescent="0.35">
      <c r="A383" s="4" t="s">
        <v>385</v>
      </c>
      <c r="B383" s="4">
        <v>0.31790000000000002</v>
      </c>
    </row>
    <row r="384" spans="1:2" x14ac:dyDescent="0.35">
      <c r="A384" s="4" t="s">
        <v>386</v>
      </c>
      <c r="B384" s="4">
        <v>0.29609999999999997</v>
      </c>
    </row>
    <row r="385" spans="1:2" x14ac:dyDescent="0.35">
      <c r="A385" s="4" t="s">
        <v>387</v>
      </c>
      <c r="B385" s="4">
        <v>0.32700000000000001</v>
      </c>
    </row>
    <row r="386" spans="1:2" x14ac:dyDescent="0.35">
      <c r="A386" s="4" t="s">
        <v>388</v>
      </c>
      <c r="B386" s="4">
        <v>0.5444</v>
      </c>
    </row>
    <row r="387" spans="1:2" x14ac:dyDescent="0.35">
      <c r="A387" s="4" t="s">
        <v>389</v>
      </c>
      <c r="B387" s="4">
        <v>0.3206</v>
      </c>
    </row>
    <row r="388" spans="1:2" x14ac:dyDescent="0.35">
      <c r="A388" s="4" t="s">
        <v>390</v>
      </c>
      <c r="B388" s="4">
        <v>0.34560000000000002</v>
      </c>
    </row>
    <row r="389" spans="1:2" x14ac:dyDescent="0.35">
      <c r="A389" s="4" t="s">
        <v>391</v>
      </c>
      <c r="B389" s="4">
        <v>0.66220000000000001</v>
      </c>
    </row>
    <row r="390" spans="1:2" x14ac:dyDescent="0.35">
      <c r="A390" s="4" t="s">
        <v>392</v>
      </c>
      <c r="B390" s="4">
        <v>0.3553</v>
      </c>
    </row>
    <row r="391" spans="1:2" x14ac:dyDescent="0.35">
      <c r="A391" s="4" t="s">
        <v>393</v>
      </c>
      <c r="B391" s="4">
        <v>0.54210000000000003</v>
      </c>
    </row>
    <row r="392" spans="1:2" x14ac:dyDescent="0.35">
      <c r="A392" s="4" t="s">
        <v>394</v>
      </c>
      <c r="B392" s="4">
        <v>0.24529999999999999</v>
      </c>
    </row>
    <row r="393" spans="1:2" x14ac:dyDescent="0.35">
      <c r="A393" s="4" t="s">
        <v>395</v>
      </c>
      <c r="B393" s="4">
        <v>0.26040000000000002</v>
      </c>
    </row>
    <row r="394" spans="1:2" x14ac:dyDescent="0.35">
      <c r="A394" s="4" t="s">
        <v>396</v>
      </c>
      <c r="B394" s="4">
        <v>0.41589999999999999</v>
      </c>
    </row>
    <row r="395" spans="1:2" x14ac:dyDescent="0.35">
      <c r="A395" s="4" t="s">
        <v>397</v>
      </c>
      <c r="B395" s="4" t="s">
        <v>79</v>
      </c>
    </row>
    <row r="396" spans="1:2" x14ac:dyDescent="0.35">
      <c r="A396" s="4" t="s">
        <v>398</v>
      </c>
      <c r="B396" s="4">
        <v>0.27500000000000002</v>
      </c>
    </row>
    <row r="397" spans="1:2" x14ac:dyDescent="0.35">
      <c r="A397" s="4" t="s">
        <v>399</v>
      </c>
      <c r="B397" s="4">
        <v>0.32250000000000001</v>
      </c>
    </row>
    <row r="398" spans="1:2" x14ac:dyDescent="0.35">
      <c r="A398" s="4" t="s">
        <v>400</v>
      </c>
      <c r="B398" s="4">
        <v>0.37159999999999999</v>
      </c>
    </row>
    <row r="399" spans="1:2" x14ac:dyDescent="0.35">
      <c r="A399" s="4" t="s">
        <v>401</v>
      </c>
      <c r="B399" s="4">
        <v>0.30599999999999999</v>
      </c>
    </row>
    <row r="400" spans="1:2" x14ac:dyDescent="0.35">
      <c r="A400" s="4" t="s">
        <v>402</v>
      </c>
      <c r="B400" s="4" t="s">
        <v>79</v>
      </c>
    </row>
    <row r="401" spans="1:2" x14ac:dyDescent="0.35">
      <c r="A401" s="4" t="s">
        <v>403</v>
      </c>
      <c r="B401" s="4">
        <v>0.46229999999999999</v>
      </c>
    </row>
    <row r="402" spans="1:2" x14ac:dyDescent="0.35">
      <c r="A402" s="4" t="s">
        <v>404</v>
      </c>
      <c r="B402" s="4">
        <v>0.5</v>
      </c>
    </row>
    <row r="403" spans="1:2" x14ac:dyDescent="0.35">
      <c r="A403" s="4" t="s">
        <v>405</v>
      </c>
      <c r="B403" s="4">
        <v>0.45250000000000001</v>
      </c>
    </row>
    <row r="404" spans="1:2" x14ac:dyDescent="0.35">
      <c r="A404" s="4" t="s">
        <v>406</v>
      </c>
      <c r="B404" s="4">
        <v>0.29680000000000001</v>
      </c>
    </row>
    <row r="405" spans="1:2" x14ac:dyDescent="0.35">
      <c r="A405" s="4" t="s">
        <v>407</v>
      </c>
      <c r="B405" s="4">
        <v>0.32240000000000002</v>
      </c>
    </row>
    <row r="406" spans="1:2" x14ac:dyDescent="0.35">
      <c r="A406" s="4" t="s">
        <v>408</v>
      </c>
      <c r="B406" s="5">
        <v>0.30420000000000003</v>
      </c>
    </row>
    <row r="407" spans="1:2" x14ac:dyDescent="0.35">
      <c r="A407" s="4" t="s">
        <v>409</v>
      </c>
      <c r="B407" s="4">
        <v>0.48480000000000001</v>
      </c>
    </row>
    <row r="408" spans="1:2" x14ac:dyDescent="0.35">
      <c r="A408" s="4" t="s">
        <v>410</v>
      </c>
      <c r="B408" s="4">
        <v>0.55800000000000005</v>
      </c>
    </row>
    <row r="409" spans="1:2" x14ac:dyDescent="0.35">
      <c r="A409" s="4" t="s">
        <v>411</v>
      </c>
      <c r="B409" s="4">
        <v>0.34710000000000002</v>
      </c>
    </row>
    <row r="410" spans="1:2" x14ac:dyDescent="0.35">
      <c r="A410" s="4" t="s">
        <v>412</v>
      </c>
      <c r="B410" s="4">
        <v>0.41249999999999998</v>
      </c>
    </row>
    <row r="411" spans="1:2" x14ac:dyDescent="0.35">
      <c r="A411" s="4" t="s">
        <v>413</v>
      </c>
      <c r="B411" s="4">
        <v>0.57050000000000001</v>
      </c>
    </row>
    <row r="412" spans="1:2" x14ac:dyDescent="0.35">
      <c r="A412" s="4" t="s">
        <v>414</v>
      </c>
      <c r="B412" s="4">
        <v>0.52229999999999999</v>
      </c>
    </row>
    <row r="413" spans="1:2" x14ac:dyDescent="0.35">
      <c r="A413" s="4" t="s">
        <v>415</v>
      </c>
      <c r="B413" s="4">
        <v>0.60560000000000003</v>
      </c>
    </row>
    <row r="414" spans="1:2" x14ac:dyDescent="0.35">
      <c r="A414" s="4" t="s">
        <v>416</v>
      </c>
      <c r="B414" s="4">
        <v>0.65800000000000003</v>
      </c>
    </row>
    <row r="415" spans="1:2" x14ac:dyDescent="0.35">
      <c r="A415" s="4" t="s">
        <v>417</v>
      </c>
      <c r="B415" s="4">
        <v>0.26369999999999999</v>
      </c>
    </row>
    <row r="416" spans="1:2" x14ac:dyDescent="0.35">
      <c r="A416" s="4" t="s">
        <v>418</v>
      </c>
      <c r="B416" s="4">
        <v>0.42299999999999999</v>
      </c>
    </row>
    <row r="417" spans="1:2" x14ac:dyDescent="0.35">
      <c r="A417" s="4" t="s">
        <v>419</v>
      </c>
      <c r="B417" s="4">
        <v>0.48849999999999999</v>
      </c>
    </row>
    <row r="418" spans="1:2" x14ac:dyDescent="0.35">
      <c r="A418" s="4" t="s">
        <v>420</v>
      </c>
      <c r="B418" s="4">
        <v>0.27239999999999998</v>
      </c>
    </row>
    <row r="419" spans="1:2" x14ac:dyDescent="0.35">
      <c r="A419" s="4" t="s">
        <v>421</v>
      </c>
      <c r="B419" s="4">
        <v>0.38229999999999997</v>
      </c>
    </row>
    <row r="420" spans="1:2" x14ac:dyDescent="0.35">
      <c r="A420" s="4" t="s">
        <v>422</v>
      </c>
      <c r="B420" s="4">
        <v>0.36880000000000002</v>
      </c>
    </row>
    <row r="421" spans="1:2" x14ac:dyDescent="0.35">
      <c r="A421" s="4" t="s">
        <v>423</v>
      </c>
      <c r="B421" s="4">
        <v>0.28810000000000002</v>
      </c>
    </row>
    <row r="422" spans="1:2" x14ac:dyDescent="0.35">
      <c r="A422" s="4" t="s">
        <v>424</v>
      </c>
      <c r="B422" s="4">
        <v>0.37819999999999998</v>
      </c>
    </row>
    <row r="423" spans="1:2" x14ac:dyDescent="0.35">
      <c r="A423" s="4" t="s">
        <v>425</v>
      </c>
      <c r="B423" s="4">
        <v>0.25919999999999999</v>
      </c>
    </row>
    <row r="424" spans="1:2" x14ac:dyDescent="0.35">
      <c r="A424" s="4" t="s">
        <v>426</v>
      </c>
      <c r="B424" s="4">
        <v>0.40539999999999998</v>
      </c>
    </row>
    <row r="425" spans="1:2" x14ac:dyDescent="0.35">
      <c r="A425" s="4" t="s">
        <v>427</v>
      </c>
      <c r="B425" s="4">
        <v>0.20680000000000001</v>
      </c>
    </row>
    <row r="426" spans="1:2" x14ac:dyDescent="0.35">
      <c r="A426" s="4" t="s">
        <v>428</v>
      </c>
      <c r="B426" s="4">
        <v>0.2334</v>
      </c>
    </row>
    <row r="427" spans="1:2" x14ac:dyDescent="0.35">
      <c r="A427" s="4" t="s">
        <v>429</v>
      </c>
      <c r="B427" s="4">
        <v>0.35630000000000001</v>
      </c>
    </row>
    <row r="428" spans="1:2" x14ac:dyDescent="0.35">
      <c r="A428" s="4" t="s">
        <v>430</v>
      </c>
      <c r="B428" s="4">
        <v>0.32669999999999999</v>
      </c>
    </row>
    <row r="429" spans="1:2" x14ac:dyDescent="0.35">
      <c r="A429" s="4" t="s">
        <v>431</v>
      </c>
      <c r="B429" s="4">
        <v>0.30730000000000002</v>
      </c>
    </row>
    <row r="430" spans="1:2" x14ac:dyDescent="0.35">
      <c r="A430" s="4" t="s">
        <v>432</v>
      </c>
      <c r="B430" s="4">
        <v>0.25729999999999997</v>
      </c>
    </row>
    <row r="431" spans="1:2" x14ac:dyDescent="0.35">
      <c r="A431" s="4" t="s">
        <v>433</v>
      </c>
      <c r="B431" s="4">
        <v>0.2767</v>
      </c>
    </row>
    <row r="432" spans="1:2" x14ac:dyDescent="0.35">
      <c r="A432" s="4" t="s">
        <v>434</v>
      </c>
      <c r="B432" s="4">
        <v>0.3251</v>
      </c>
    </row>
    <row r="433" spans="1:2" x14ac:dyDescent="0.35">
      <c r="A433" s="4" t="s">
        <v>435</v>
      </c>
      <c r="B433" s="4">
        <v>0.46539999999999998</v>
      </c>
    </row>
    <row r="434" spans="1:2" x14ac:dyDescent="0.35">
      <c r="A434" s="4" t="s">
        <v>436</v>
      </c>
      <c r="B434" s="4">
        <v>0.31330000000000002</v>
      </c>
    </row>
    <row r="435" spans="1:2" x14ac:dyDescent="0.35">
      <c r="A435" s="4" t="s">
        <v>437</v>
      </c>
      <c r="B435" s="4">
        <v>0.45810000000000001</v>
      </c>
    </row>
    <row r="436" spans="1:2" x14ac:dyDescent="0.35">
      <c r="A436" s="4" t="s">
        <v>438</v>
      </c>
      <c r="B436" s="4">
        <v>0.3513</v>
      </c>
    </row>
    <row r="437" spans="1:2" x14ac:dyDescent="0.35">
      <c r="A437" s="4" t="s">
        <v>439</v>
      </c>
      <c r="B437" s="4">
        <v>0.26569999999999999</v>
      </c>
    </row>
    <row r="438" spans="1:2" x14ac:dyDescent="0.35">
      <c r="A438" s="4" t="s">
        <v>440</v>
      </c>
      <c r="B438" s="4">
        <v>0.53259999999999996</v>
      </c>
    </row>
    <row r="439" spans="1:2" x14ac:dyDescent="0.35">
      <c r="A439" s="4" t="s">
        <v>441</v>
      </c>
      <c r="B439" s="4">
        <v>0.24890000000000001</v>
      </c>
    </row>
    <row r="440" spans="1:2" x14ac:dyDescent="0.35">
      <c r="A440" s="4" t="s">
        <v>442</v>
      </c>
      <c r="B440" s="4" t="s">
        <v>79</v>
      </c>
    </row>
    <row r="441" spans="1:2" x14ac:dyDescent="0.35">
      <c r="A441" s="4" t="s">
        <v>443</v>
      </c>
      <c r="B441" s="4">
        <v>0.3629</v>
      </c>
    </row>
    <row r="442" spans="1:2" x14ac:dyDescent="0.35">
      <c r="A442" s="4" t="s">
        <v>444</v>
      </c>
      <c r="B442" s="4">
        <v>0.30159999999999998</v>
      </c>
    </row>
    <row r="443" spans="1:2" x14ac:dyDescent="0.35">
      <c r="A443" s="4" t="s">
        <v>445</v>
      </c>
      <c r="B443" s="4">
        <v>0.34160000000000001</v>
      </c>
    </row>
    <row r="444" spans="1:2" x14ac:dyDescent="0.35">
      <c r="A444" s="4" t="s">
        <v>446</v>
      </c>
      <c r="B444" s="4">
        <v>0.29070000000000001</v>
      </c>
    </row>
    <row r="445" spans="1:2" x14ac:dyDescent="0.35">
      <c r="A445" s="4" t="s">
        <v>447</v>
      </c>
      <c r="B445" s="4">
        <v>0.29930000000000001</v>
      </c>
    </row>
    <row r="446" spans="1:2" x14ac:dyDescent="0.35">
      <c r="A446" s="4" t="s">
        <v>448</v>
      </c>
      <c r="B446" s="4">
        <v>0.41860000000000003</v>
      </c>
    </row>
    <row r="447" spans="1:2" x14ac:dyDescent="0.35">
      <c r="A447" s="4" t="s">
        <v>449</v>
      </c>
      <c r="B447" s="4">
        <v>0.29239999999999999</v>
      </c>
    </row>
    <row r="448" spans="1:2" x14ac:dyDescent="0.35">
      <c r="A448" s="4" t="s">
        <v>450</v>
      </c>
      <c r="B448" s="4">
        <v>0.34760000000000002</v>
      </c>
    </row>
    <row r="449" spans="1:2" x14ac:dyDescent="0.35">
      <c r="A449" s="4" t="s">
        <v>451</v>
      </c>
      <c r="B449" s="4">
        <v>0.31609999999999999</v>
      </c>
    </row>
    <row r="450" spans="1:2" x14ac:dyDescent="0.35">
      <c r="A450" s="4" t="s">
        <v>452</v>
      </c>
      <c r="B450" s="4">
        <v>0.3795</v>
      </c>
    </row>
    <row r="451" spans="1:2" x14ac:dyDescent="0.35">
      <c r="A451" s="4" t="s">
        <v>453</v>
      </c>
      <c r="B451" s="4">
        <v>0.42270000000000002</v>
      </c>
    </row>
    <row r="452" spans="1:2" x14ac:dyDescent="0.35">
      <c r="A452" s="4" t="s">
        <v>454</v>
      </c>
      <c r="B452" s="4">
        <v>0.41599999999999998</v>
      </c>
    </row>
    <row r="453" spans="1:2" x14ac:dyDescent="0.35">
      <c r="A453" s="4" t="s">
        <v>455</v>
      </c>
      <c r="B453" s="4">
        <v>0.39510000000000001</v>
      </c>
    </row>
    <row r="454" spans="1:2" x14ac:dyDescent="0.35">
      <c r="A454" s="4" t="s">
        <v>456</v>
      </c>
      <c r="B454" s="4">
        <v>0.3105</v>
      </c>
    </row>
    <row r="455" spans="1:2" x14ac:dyDescent="0.35">
      <c r="A455" s="4" t="s">
        <v>457</v>
      </c>
      <c r="B455" s="4">
        <v>0.29880000000000001</v>
      </c>
    </row>
    <row r="456" spans="1:2" x14ac:dyDescent="0.35">
      <c r="A456" s="4" t="s">
        <v>458</v>
      </c>
      <c r="B456" s="4">
        <v>0.311</v>
      </c>
    </row>
    <row r="457" spans="1:2" x14ac:dyDescent="0.35">
      <c r="A457" s="4" t="s">
        <v>459</v>
      </c>
      <c r="B457" s="4">
        <v>0.31950000000000001</v>
      </c>
    </row>
    <row r="458" spans="1:2" x14ac:dyDescent="0.35">
      <c r="A458" s="4" t="s">
        <v>460</v>
      </c>
      <c r="B458" s="4">
        <v>0.33829999999999999</v>
      </c>
    </row>
    <row r="459" spans="1:2" x14ac:dyDescent="0.35">
      <c r="A459" s="4" t="s">
        <v>461</v>
      </c>
      <c r="B459" s="4">
        <v>0.2482</v>
      </c>
    </row>
    <row r="460" spans="1:2" x14ac:dyDescent="0.35">
      <c r="A460" s="4" t="s">
        <v>462</v>
      </c>
      <c r="B460" s="4">
        <v>0.31319999999999998</v>
      </c>
    </row>
    <row r="461" spans="1:2" x14ac:dyDescent="0.35">
      <c r="A461" s="4" t="s">
        <v>463</v>
      </c>
      <c r="B461" s="4">
        <v>0.34599999999999997</v>
      </c>
    </row>
    <row r="462" spans="1:2" x14ac:dyDescent="0.35">
      <c r="A462" s="4" t="s">
        <v>464</v>
      </c>
      <c r="B462" s="4">
        <v>0.29670000000000002</v>
      </c>
    </row>
    <row r="463" spans="1:2" x14ac:dyDescent="0.35">
      <c r="A463" s="4" t="s">
        <v>465</v>
      </c>
      <c r="B463" s="4">
        <v>0.3271</v>
      </c>
    </row>
    <row r="464" spans="1:2" x14ac:dyDescent="0.35">
      <c r="A464" s="4" t="s">
        <v>466</v>
      </c>
      <c r="B464" s="4">
        <v>0.2888</v>
      </c>
    </row>
    <row r="465" spans="1:2" x14ac:dyDescent="0.35">
      <c r="A465" s="4" t="s">
        <v>467</v>
      </c>
      <c r="B465" s="4">
        <v>0.2903</v>
      </c>
    </row>
    <row r="466" spans="1:2" x14ac:dyDescent="0.35">
      <c r="A466" s="4" t="s">
        <v>468</v>
      </c>
      <c r="B466" s="4">
        <v>0.33900000000000002</v>
      </c>
    </row>
    <row r="467" spans="1:2" x14ac:dyDescent="0.35">
      <c r="A467" s="4" t="s">
        <v>469</v>
      </c>
      <c r="B467" s="4">
        <v>0.39169999999999999</v>
      </c>
    </row>
    <row r="468" spans="1:2" x14ac:dyDescent="0.35">
      <c r="A468" s="4" t="s">
        <v>470</v>
      </c>
      <c r="B468" s="4">
        <v>0.29289999999999999</v>
      </c>
    </row>
    <row r="469" spans="1:2" x14ac:dyDescent="0.35">
      <c r="A469" s="4" t="s">
        <v>471</v>
      </c>
      <c r="B469" s="4">
        <v>0.28770000000000001</v>
      </c>
    </row>
    <row r="470" spans="1:2" x14ac:dyDescent="0.35">
      <c r="A470" s="4" t="s">
        <v>472</v>
      </c>
      <c r="B470" s="4">
        <v>0.3039</v>
      </c>
    </row>
    <row r="471" spans="1:2" x14ac:dyDescent="0.35">
      <c r="A471" s="4" t="s">
        <v>473</v>
      </c>
      <c r="B471" s="4">
        <v>0.29139999999999999</v>
      </c>
    </row>
    <row r="472" spans="1:2" x14ac:dyDescent="0.35">
      <c r="A472" s="4" t="s">
        <v>474</v>
      </c>
      <c r="B472" s="4">
        <v>0.2671</v>
      </c>
    </row>
    <row r="473" spans="1:2" x14ac:dyDescent="0.35">
      <c r="A473" s="4" t="s">
        <v>475</v>
      </c>
      <c r="B473" s="4">
        <v>0.5655</v>
      </c>
    </row>
    <row r="474" spans="1:2" x14ac:dyDescent="0.35">
      <c r="A474" s="4" t="s">
        <v>476</v>
      </c>
      <c r="B474" s="4">
        <v>0.30669999999999997</v>
      </c>
    </row>
    <row r="475" spans="1:2" x14ac:dyDescent="0.35">
      <c r="A475" s="4" t="s">
        <v>477</v>
      </c>
      <c r="B475" s="4">
        <v>0.37659999999999999</v>
      </c>
    </row>
    <row r="476" spans="1:2" x14ac:dyDescent="0.35">
      <c r="A476" s="4" t="s">
        <v>478</v>
      </c>
      <c r="B476" s="4">
        <v>0.36330000000000001</v>
      </c>
    </row>
    <row r="477" spans="1:2" x14ac:dyDescent="0.35">
      <c r="A477" s="4" t="s">
        <v>479</v>
      </c>
      <c r="B477" s="4">
        <v>0.37759999999999999</v>
      </c>
    </row>
    <row r="478" spans="1:2" x14ac:dyDescent="0.35">
      <c r="A478" s="4" t="s">
        <v>480</v>
      </c>
      <c r="B478" s="4">
        <v>0.28110000000000002</v>
      </c>
    </row>
    <row r="479" spans="1:2" x14ac:dyDescent="0.35">
      <c r="A479" s="4" t="s">
        <v>481</v>
      </c>
      <c r="B479" s="4">
        <v>0.45150000000000001</v>
      </c>
    </row>
    <row r="480" spans="1:2" x14ac:dyDescent="0.35">
      <c r="A480" s="4" t="s">
        <v>482</v>
      </c>
      <c r="B480" s="4" t="s">
        <v>79</v>
      </c>
    </row>
    <row r="481" spans="1:2" x14ac:dyDescent="0.35">
      <c r="A481" s="4" t="s">
        <v>483</v>
      </c>
      <c r="B481" s="4">
        <v>0.36209999999999998</v>
      </c>
    </row>
    <row r="482" spans="1:2" x14ac:dyDescent="0.35">
      <c r="A482" s="4" t="s">
        <v>484</v>
      </c>
      <c r="B482" s="4">
        <v>0.40139999999999998</v>
      </c>
    </row>
    <row r="483" spans="1:2" x14ac:dyDescent="0.35">
      <c r="A483" s="4" t="s">
        <v>485</v>
      </c>
      <c r="B483" s="4">
        <v>0.29559999999999997</v>
      </c>
    </row>
    <row r="484" spans="1:2" x14ac:dyDescent="0.35">
      <c r="A484" s="4" t="s">
        <v>486</v>
      </c>
      <c r="B484" s="4">
        <v>0.34599999999999997</v>
      </c>
    </row>
    <row r="485" spans="1:2" x14ac:dyDescent="0.35">
      <c r="A485" s="4" t="s">
        <v>487</v>
      </c>
      <c r="B485" s="4">
        <v>0.38619999999999999</v>
      </c>
    </row>
    <row r="486" spans="1:2" x14ac:dyDescent="0.35">
      <c r="A486" s="4" t="s">
        <v>488</v>
      </c>
      <c r="B486" s="4">
        <v>0.4592</v>
      </c>
    </row>
    <row r="487" spans="1:2" x14ac:dyDescent="0.35">
      <c r="A487" s="4" t="s">
        <v>489</v>
      </c>
      <c r="B487" s="4">
        <v>0.34210000000000002</v>
      </c>
    </row>
    <row r="488" spans="1:2" x14ac:dyDescent="0.35">
      <c r="A488" s="4" t="s">
        <v>490</v>
      </c>
      <c r="B488" s="4">
        <v>0.53059999999999996</v>
      </c>
    </row>
    <row r="489" spans="1:2" x14ac:dyDescent="0.35">
      <c r="A489" s="4" t="s">
        <v>491</v>
      </c>
      <c r="B489" s="4">
        <v>0.44590000000000002</v>
      </c>
    </row>
    <row r="490" spans="1:2" x14ac:dyDescent="0.35">
      <c r="A490" s="4" t="s">
        <v>492</v>
      </c>
      <c r="B490" s="4">
        <v>0.51470000000000005</v>
      </c>
    </row>
    <row r="491" spans="1:2" x14ac:dyDescent="0.35">
      <c r="A491" s="4" t="s">
        <v>493</v>
      </c>
      <c r="B491" s="4">
        <v>0.43059999999999998</v>
      </c>
    </row>
    <row r="492" spans="1:2" x14ac:dyDescent="0.35">
      <c r="A492" s="4" t="s">
        <v>494</v>
      </c>
      <c r="B492" s="4">
        <v>0.44550000000000001</v>
      </c>
    </row>
    <row r="493" spans="1:2" x14ac:dyDescent="0.35">
      <c r="A493" s="4" t="s">
        <v>495</v>
      </c>
      <c r="B493" s="4">
        <v>0.43890000000000001</v>
      </c>
    </row>
    <row r="494" spans="1:2" x14ac:dyDescent="0.35">
      <c r="A494" s="4" t="s">
        <v>496</v>
      </c>
      <c r="B494" s="4">
        <v>0.40289999999999998</v>
      </c>
    </row>
    <row r="495" spans="1:2" x14ac:dyDescent="0.35">
      <c r="A495" s="4" t="s">
        <v>497</v>
      </c>
      <c r="B495" s="4">
        <v>0.3911</v>
      </c>
    </row>
    <row r="496" spans="1:2" x14ac:dyDescent="0.35">
      <c r="A496" s="4" t="s">
        <v>498</v>
      </c>
      <c r="B496" s="4">
        <v>0.5202</v>
      </c>
    </row>
    <row r="497" spans="1:2" x14ac:dyDescent="0.35">
      <c r="A497" s="4" t="s">
        <v>499</v>
      </c>
      <c r="B497" s="4">
        <v>0.50990000000000002</v>
      </c>
    </row>
    <row r="498" spans="1:2" x14ac:dyDescent="0.35">
      <c r="A498" s="4" t="s">
        <v>500</v>
      </c>
      <c r="B498" s="4">
        <v>0.39279999999999998</v>
      </c>
    </row>
    <row r="499" spans="1:2" x14ac:dyDescent="0.35">
      <c r="A499" s="4" t="s">
        <v>501</v>
      </c>
      <c r="B499" s="4">
        <v>0.33489999999999998</v>
      </c>
    </row>
    <row r="500" spans="1:2" x14ac:dyDescent="0.35">
      <c r="A500" s="4" t="s">
        <v>502</v>
      </c>
      <c r="B500" s="4">
        <v>0.43259999999999998</v>
      </c>
    </row>
    <row r="501" spans="1:2" x14ac:dyDescent="0.35">
      <c r="A501" s="4" t="s">
        <v>503</v>
      </c>
      <c r="B501" s="4">
        <v>0.33689999999999998</v>
      </c>
    </row>
    <row r="502" spans="1:2" x14ac:dyDescent="0.35">
      <c r="A502" s="4" t="s">
        <v>504</v>
      </c>
      <c r="B502" s="4">
        <v>0.378</v>
      </c>
    </row>
    <row r="503" spans="1:2" x14ac:dyDescent="0.35">
      <c r="A503" s="4" t="s">
        <v>505</v>
      </c>
      <c r="B503" s="4">
        <v>0.39129999999999998</v>
      </c>
    </row>
    <row r="504" spans="1:2" x14ac:dyDescent="0.35">
      <c r="A504" s="4" t="s">
        <v>506</v>
      </c>
      <c r="B504" s="4">
        <v>0.49080000000000001</v>
      </c>
    </row>
    <row r="505" spans="1:2" x14ac:dyDescent="0.35">
      <c r="A505" s="4" t="s">
        <v>507</v>
      </c>
      <c r="B505" s="4">
        <v>0.28660000000000002</v>
      </c>
    </row>
    <row r="506" spans="1:2" x14ac:dyDescent="0.35">
      <c r="A506" s="4" t="s">
        <v>508</v>
      </c>
      <c r="B506" s="4">
        <v>0.55189999999999995</v>
      </c>
    </row>
    <row r="507" spans="1:2" x14ac:dyDescent="0.35">
      <c r="A507" s="4" t="s">
        <v>509</v>
      </c>
      <c r="B507" s="4">
        <v>0.3906</v>
      </c>
    </row>
    <row r="508" spans="1:2" x14ac:dyDescent="0.35">
      <c r="A508" s="4" t="s">
        <v>510</v>
      </c>
      <c r="B508" s="4">
        <v>0.4894</v>
      </c>
    </row>
    <row r="509" spans="1:2" x14ac:dyDescent="0.35">
      <c r="A509" s="4" t="s">
        <v>511</v>
      </c>
      <c r="B509" s="4">
        <v>0.55049999999999999</v>
      </c>
    </row>
    <row r="510" spans="1:2" x14ac:dyDescent="0.35">
      <c r="A510" s="4" t="s">
        <v>512</v>
      </c>
      <c r="B510" s="4">
        <v>0.4637</v>
      </c>
    </row>
    <row r="511" spans="1:2" x14ac:dyDescent="0.35">
      <c r="A511" s="4" t="s">
        <v>513</v>
      </c>
      <c r="B511" s="4">
        <v>0.2893</v>
      </c>
    </row>
    <row r="512" spans="1:2" x14ac:dyDescent="0.35">
      <c r="A512" s="4" t="s">
        <v>514</v>
      </c>
      <c r="B512" s="4">
        <v>0.39560000000000001</v>
      </c>
    </row>
    <row r="513" spans="1:2" x14ac:dyDescent="0.35">
      <c r="A513" s="4" t="s">
        <v>515</v>
      </c>
      <c r="B513" s="4">
        <v>0.4864</v>
      </c>
    </row>
    <row r="514" spans="1:2" x14ac:dyDescent="0.35">
      <c r="A514" s="4" t="s">
        <v>516</v>
      </c>
      <c r="B514" s="4">
        <v>0.48820000000000002</v>
      </c>
    </row>
    <row r="515" spans="1:2" x14ac:dyDescent="0.35">
      <c r="A515" s="4" t="s">
        <v>517</v>
      </c>
      <c r="B515" s="4">
        <v>0.47399999999999998</v>
      </c>
    </row>
    <row r="516" spans="1:2" x14ac:dyDescent="0.35">
      <c r="A516" s="4" t="s">
        <v>518</v>
      </c>
      <c r="B516" s="4">
        <v>0.53549999999999998</v>
      </c>
    </row>
    <row r="517" spans="1:2" x14ac:dyDescent="0.35">
      <c r="A517" s="4" t="s">
        <v>519</v>
      </c>
      <c r="B517" s="4">
        <v>0.41520000000000001</v>
      </c>
    </row>
    <row r="518" spans="1:2" x14ac:dyDescent="0.35">
      <c r="A518" s="4" t="s">
        <v>520</v>
      </c>
      <c r="B518" s="4">
        <v>0.50919999999999999</v>
      </c>
    </row>
    <row r="519" spans="1:2" x14ac:dyDescent="0.35">
      <c r="A519" s="4" t="s">
        <v>521</v>
      </c>
      <c r="B519" s="4">
        <v>0.62219999999999998</v>
      </c>
    </row>
    <row r="520" spans="1:2" x14ac:dyDescent="0.35">
      <c r="A520" s="4" t="s">
        <v>522</v>
      </c>
      <c r="B520" s="4">
        <v>0.42949999999999999</v>
      </c>
    </row>
    <row r="521" spans="1:2" x14ac:dyDescent="0.35">
      <c r="A521" s="4" t="s">
        <v>523</v>
      </c>
      <c r="B521" s="4">
        <v>0.53480000000000005</v>
      </c>
    </row>
    <row r="522" spans="1:2" x14ac:dyDescent="0.35">
      <c r="A522" s="4" t="s">
        <v>524</v>
      </c>
      <c r="B522" s="4">
        <v>0.34549999999999997</v>
      </c>
    </row>
    <row r="523" spans="1:2" x14ac:dyDescent="0.35">
      <c r="A523" s="4" t="s">
        <v>525</v>
      </c>
      <c r="B523" s="4">
        <v>0.53139999999999998</v>
      </c>
    </row>
    <row r="524" spans="1:2" x14ac:dyDescent="0.35">
      <c r="A524" s="4" t="s">
        <v>526</v>
      </c>
      <c r="B524" s="4">
        <v>0.45469999999999999</v>
      </c>
    </row>
    <row r="525" spans="1:2" x14ac:dyDescent="0.35">
      <c r="A525" s="4" t="s">
        <v>527</v>
      </c>
      <c r="B525" s="4">
        <v>0.4304</v>
      </c>
    </row>
    <row r="526" spans="1:2" x14ac:dyDescent="0.35">
      <c r="A526" s="4" t="s">
        <v>528</v>
      </c>
      <c r="B526" s="4">
        <v>0.42909999999999998</v>
      </c>
    </row>
    <row r="527" spans="1:2" x14ac:dyDescent="0.35">
      <c r="A527" s="4" t="s">
        <v>529</v>
      </c>
      <c r="B527" s="4">
        <v>0.50290000000000001</v>
      </c>
    </row>
    <row r="528" spans="1:2" x14ac:dyDescent="0.35">
      <c r="A528" s="4" t="s">
        <v>530</v>
      </c>
      <c r="B528" s="4">
        <v>0.33250000000000002</v>
      </c>
    </row>
    <row r="529" spans="1:2" x14ac:dyDescent="0.35">
      <c r="A529" s="4" t="s">
        <v>531</v>
      </c>
      <c r="B529" s="4">
        <v>0.48299999999999998</v>
      </c>
    </row>
    <row r="530" spans="1:2" x14ac:dyDescent="0.35">
      <c r="A530" s="4" t="s">
        <v>532</v>
      </c>
      <c r="B530" s="4">
        <v>0.29699999999999999</v>
      </c>
    </row>
    <row r="531" spans="1:2" x14ac:dyDescent="0.35">
      <c r="A531" s="4" t="s">
        <v>533</v>
      </c>
      <c r="B531" s="4">
        <v>0.39300000000000002</v>
      </c>
    </row>
    <row r="532" spans="1:2" x14ac:dyDescent="0.35">
      <c r="A532" s="4" t="s">
        <v>534</v>
      </c>
      <c r="B532" s="4">
        <v>0.38669999999999999</v>
      </c>
    </row>
    <row r="533" spans="1:2" x14ac:dyDescent="0.35">
      <c r="A533" s="4" t="s">
        <v>535</v>
      </c>
      <c r="B533" s="4">
        <v>0.32590000000000002</v>
      </c>
    </row>
    <row r="534" spans="1:2" x14ac:dyDescent="0.35">
      <c r="A534" s="4" t="s">
        <v>536</v>
      </c>
      <c r="B534" s="4">
        <v>0.46179999999999999</v>
      </c>
    </row>
    <row r="535" spans="1:2" x14ac:dyDescent="0.35">
      <c r="A535" s="4" t="s">
        <v>537</v>
      </c>
      <c r="B535" s="4">
        <v>0.36559999999999998</v>
      </c>
    </row>
    <row r="536" spans="1:2" x14ac:dyDescent="0.35">
      <c r="A536" s="4" t="s">
        <v>538</v>
      </c>
      <c r="B536" s="4">
        <v>0.55610000000000004</v>
      </c>
    </row>
    <row r="537" spans="1:2" x14ac:dyDescent="0.35">
      <c r="A537" s="4" t="s">
        <v>539</v>
      </c>
      <c r="B537" s="4">
        <v>0.34239999999999998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rgb="FF00B050"/>
  </sheetPr>
  <dimension ref="A1:W79"/>
  <sheetViews>
    <sheetView tabSelected="1" topLeftCell="A43" zoomScale="70" zoomScaleNormal="70" workbookViewId="0">
      <selection activeCell="H66" sqref="H66"/>
    </sheetView>
  </sheetViews>
  <sheetFormatPr defaultColWidth="9" defaultRowHeight="14.15" x14ac:dyDescent="0.35"/>
  <cols>
    <col min="1" max="1" width="7.35546875" customWidth="1"/>
    <col min="2" max="2" width="16.85546875" customWidth="1"/>
    <col min="3" max="3" width="12.35546875" customWidth="1"/>
    <col min="4" max="4" width="9" hidden="1" customWidth="1"/>
    <col min="5" max="5" width="5.140625" hidden="1" customWidth="1"/>
    <col min="6" max="6" width="13.140625" hidden="1" customWidth="1"/>
    <col min="7" max="7" width="8.640625" hidden="1" customWidth="1"/>
    <col min="8" max="8" width="51.640625" customWidth="1"/>
    <col min="9" max="9" width="16" customWidth="1"/>
    <col min="10" max="10" width="13.140625" customWidth="1"/>
    <col min="11" max="11" width="11.140625" customWidth="1"/>
    <col min="12" max="12" width="16" customWidth="1"/>
    <col min="13" max="13" width="21.140625" customWidth="1"/>
    <col min="14" max="14" width="17.640625" customWidth="1"/>
    <col min="15" max="15" width="14.5" customWidth="1"/>
    <col min="18" max="18" width="9.640625" customWidth="1"/>
    <col min="19" max="19" width="11.640625" customWidth="1"/>
    <col min="20" max="20" width="11.140625" customWidth="1"/>
    <col min="21" max="21" width="10.640625" customWidth="1"/>
    <col min="22" max="22" width="16.640625" customWidth="1"/>
  </cols>
  <sheetData>
    <row r="1" spans="1:23" x14ac:dyDescent="0.35">
      <c r="A1" t="s">
        <v>0</v>
      </c>
      <c r="B1" t="s">
        <v>1</v>
      </c>
      <c r="C1" t="s">
        <v>540</v>
      </c>
      <c r="D1" t="s">
        <v>541</v>
      </c>
      <c r="E1" t="s">
        <v>2</v>
      </c>
      <c r="F1" t="s">
        <v>542</v>
      </c>
      <c r="G1" t="s">
        <v>543</v>
      </c>
      <c r="H1" t="s">
        <v>544</v>
      </c>
      <c r="I1" t="s">
        <v>545</v>
      </c>
      <c r="J1" t="s">
        <v>546</v>
      </c>
      <c r="K1" t="s">
        <v>547</v>
      </c>
      <c r="L1" t="s">
        <v>3</v>
      </c>
      <c r="M1" t="s">
        <v>4</v>
      </c>
      <c r="N1" t="s">
        <v>5</v>
      </c>
      <c r="O1" s="6" t="s">
        <v>591</v>
      </c>
      <c r="P1" s="6" t="s">
        <v>592</v>
      </c>
      <c r="Q1" s="6" t="s">
        <v>593</v>
      </c>
      <c r="R1" s="6" t="s">
        <v>589</v>
      </c>
      <c r="S1" s="6" t="s">
        <v>590</v>
      </c>
      <c r="T1" s="6" t="s">
        <v>596</v>
      </c>
      <c r="U1" s="6" t="s">
        <v>597</v>
      </c>
      <c r="V1" s="6" t="s">
        <v>594</v>
      </c>
      <c r="W1" s="6" t="s">
        <v>595</v>
      </c>
    </row>
    <row r="2" spans="1:23" x14ac:dyDescent="0.35">
      <c r="A2" t="s">
        <v>548</v>
      </c>
      <c r="B2" t="s">
        <v>19</v>
      </c>
      <c r="C2">
        <v>1</v>
      </c>
      <c r="D2">
        <v>1</v>
      </c>
      <c r="E2">
        <v>1</v>
      </c>
      <c r="F2">
        <v>3</v>
      </c>
      <c r="G2">
        <f>F2/24</f>
        <v>0.125</v>
      </c>
      <c r="H2" s="3">
        <v>45307.463194444397</v>
      </c>
      <c r="I2" s="3">
        <v>45307.589583333298</v>
      </c>
      <c r="J2">
        <f>ROUND((I2-H2)*24,3)</f>
        <v>3.0329999999999999</v>
      </c>
      <c r="K2">
        <f>ROUND(J2/24,3)</f>
        <v>0.126</v>
      </c>
      <c r="L2">
        <v>24.79</v>
      </c>
      <c r="M2">
        <v>16.98</v>
      </c>
      <c r="N2">
        <v>10.25</v>
      </c>
      <c r="O2">
        <v>0.54510000000000003</v>
      </c>
      <c r="P2">
        <v>0.1009</v>
      </c>
      <c r="Q2">
        <v>30</v>
      </c>
      <c r="R2">
        <v>21.0465812620882</v>
      </c>
      <c r="S2">
        <v>21.367859310078</v>
      </c>
      <c r="T2">
        <f>R2*Q2/1000/P2</f>
        <v>6.2576554793126462</v>
      </c>
      <c r="U2">
        <f>S2*Q2/1000/P2</f>
        <v>6.3531791803998017</v>
      </c>
      <c r="V2">
        <f>(U2-T2)*0.3083</f>
        <v>2.9449957045170033E-2</v>
      </c>
      <c r="W2">
        <v>0</v>
      </c>
    </row>
    <row r="3" spans="1:23" x14ac:dyDescent="0.35">
      <c r="A3" t="s">
        <v>548</v>
      </c>
      <c r="B3" t="s">
        <v>20</v>
      </c>
      <c r="C3">
        <v>1</v>
      </c>
      <c r="D3">
        <v>1</v>
      </c>
      <c r="E3">
        <v>2</v>
      </c>
      <c r="F3">
        <v>3</v>
      </c>
      <c r="G3">
        <f t="shared" ref="G3:G31" si="0">F3/24</f>
        <v>0.125</v>
      </c>
      <c r="H3" s="3">
        <v>45307.463194444397</v>
      </c>
      <c r="I3" s="3">
        <v>45307.589583333298</v>
      </c>
      <c r="J3">
        <f t="shared" ref="J3:J66" si="1">ROUND((I3-H3)*24,3)</f>
        <v>3.0329999999999999</v>
      </c>
      <c r="K3">
        <f t="shared" ref="K3:K66" si="2">ROUND(J3/24,3)</f>
        <v>0.126</v>
      </c>
      <c r="L3">
        <v>21.63</v>
      </c>
      <c r="M3">
        <v>15.84</v>
      </c>
      <c r="N3">
        <v>9.64</v>
      </c>
      <c r="O3">
        <v>0.45540000000000003</v>
      </c>
      <c r="P3" s="1">
        <v>8.5999999999999993E-2</v>
      </c>
      <c r="Q3">
        <v>30</v>
      </c>
      <c r="R3">
        <v>26.2135006485925</v>
      </c>
      <c r="S3">
        <v>36.044294407704101</v>
      </c>
      <c r="T3">
        <f t="shared" ref="T3:T18" si="3">R3*Q3/1000/P3</f>
        <v>9.1442444122997095</v>
      </c>
      <c r="U3">
        <f t="shared" ref="U3:U18" si="4">S3*Q3/1000/P3</f>
        <v>12.573591072454919</v>
      </c>
      <c r="V3">
        <f t="shared" ref="V3:V66" si="5">(U3-T3)*0.3083</f>
        <v>1.0572675753258511</v>
      </c>
      <c r="W3">
        <v>1</v>
      </c>
    </row>
    <row r="4" spans="1:23" x14ac:dyDescent="0.35">
      <c r="A4" t="s">
        <v>548</v>
      </c>
      <c r="B4" t="s">
        <v>21</v>
      </c>
      <c r="C4">
        <v>1</v>
      </c>
      <c r="D4">
        <v>2</v>
      </c>
      <c r="E4">
        <v>1</v>
      </c>
      <c r="F4">
        <v>3</v>
      </c>
      <c r="G4">
        <f t="shared" si="0"/>
        <v>0.125</v>
      </c>
      <c r="H4" s="3">
        <v>45307.463194386597</v>
      </c>
      <c r="I4" s="3">
        <v>45307.589583333298</v>
      </c>
      <c r="J4">
        <f t="shared" si="1"/>
        <v>3.0329999999999999</v>
      </c>
      <c r="K4">
        <f t="shared" si="2"/>
        <v>0.126</v>
      </c>
      <c r="L4">
        <v>23.66</v>
      </c>
      <c r="M4">
        <v>17.48</v>
      </c>
      <c r="N4">
        <v>10.7</v>
      </c>
      <c r="O4">
        <v>0.51500000000000001</v>
      </c>
      <c r="P4">
        <v>9.5600000000000004E-2</v>
      </c>
      <c r="Q4">
        <v>30</v>
      </c>
      <c r="R4">
        <v>21.410411230972802</v>
      </c>
      <c r="S4">
        <v>30.302539877238701</v>
      </c>
      <c r="T4">
        <f t="shared" si="3"/>
        <v>6.7187482942383268</v>
      </c>
      <c r="U4">
        <f t="shared" si="4"/>
        <v>9.509165233443106</v>
      </c>
      <c r="V4">
        <f t="shared" si="5"/>
        <v>0.86028554235683352</v>
      </c>
      <c r="W4">
        <v>1</v>
      </c>
    </row>
    <row r="5" spans="1:23" x14ac:dyDescent="0.35">
      <c r="A5" t="s">
        <v>548</v>
      </c>
      <c r="B5" t="s">
        <v>22</v>
      </c>
      <c r="C5">
        <v>1</v>
      </c>
      <c r="D5">
        <v>2</v>
      </c>
      <c r="E5">
        <v>2</v>
      </c>
      <c r="F5">
        <v>3</v>
      </c>
      <c r="G5">
        <f t="shared" si="0"/>
        <v>0.125</v>
      </c>
      <c r="H5" s="3">
        <v>45307.463194386597</v>
      </c>
      <c r="I5" s="3">
        <v>45307.589583333298</v>
      </c>
      <c r="J5">
        <f t="shared" si="1"/>
        <v>3.0329999999999999</v>
      </c>
      <c r="K5">
        <f t="shared" si="2"/>
        <v>0.126</v>
      </c>
      <c r="L5">
        <v>21.5</v>
      </c>
      <c r="M5">
        <v>15.88</v>
      </c>
      <c r="N5">
        <v>9.2799999999999994</v>
      </c>
      <c r="O5">
        <v>0.35270000000000001</v>
      </c>
      <c r="P5">
        <v>6.5500000000000003E-2</v>
      </c>
      <c r="Q5">
        <v>30</v>
      </c>
      <c r="R5">
        <v>13.9058731353025</v>
      </c>
      <c r="S5">
        <v>21.0771621195046</v>
      </c>
      <c r="T5">
        <f t="shared" si="3"/>
        <v>6.36910219937519</v>
      </c>
      <c r="U5">
        <f t="shared" si="4"/>
        <v>9.6536620394677559</v>
      </c>
      <c r="V5">
        <f t="shared" si="5"/>
        <v>1.0126297987005382</v>
      </c>
      <c r="W5">
        <v>1</v>
      </c>
    </row>
    <row r="6" spans="1:23" x14ac:dyDescent="0.35">
      <c r="A6" t="s">
        <v>548</v>
      </c>
      <c r="B6" t="s">
        <v>23</v>
      </c>
      <c r="C6">
        <v>1</v>
      </c>
      <c r="D6">
        <v>3</v>
      </c>
      <c r="E6">
        <v>1</v>
      </c>
      <c r="F6">
        <v>3</v>
      </c>
      <c r="G6">
        <f t="shared" si="0"/>
        <v>0.125</v>
      </c>
      <c r="H6" s="3">
        <v>45307.463194386597</v>
      </c>
      <c r="I6" s="3">
        <v>45307.589583333298</v>
      </c>
      <c r="J6">
        <f t="shared" si="1"/>
        <v>3.0329999999999999</v>
      </c>
      <c r="K6">
        <f t="shared" si="2"/>
        <v>0.126</v>
      </c>
      <c r="L6">
        <v>23.45</v>
      </c>
      <c r="M6">
        <v>16.22</v>
      </c>
      <c r="N6">
        <v>9.84</v>
      </c>
      <c r="O6">
        <v>0.48570000000000002</v>
      </c>
      <c r="P6">
        <v>9.5399999999999999E-2</v>
      </c>
      <c r="Q6">
        <v>30</v>
      </c>
      <c r="R6">
        <v>24.634946777599001</v>
      </c>
      <c r="S6">
        <v>36.958284595233501</v>
      </c>
      <c r="T6">
        <f t="shared" si="3"/>
        <v>7.7468386093078623</v>
      </c>
      <c r="U6">
        <f t="shared" si="4"/>
        <v>11.622102073972799</v>
      </c>
      <c r="V6">
        <f t="shared" si="5"/>
        <v>1.1947437261562002</v>
      </c>
      <c r="W6">
        <v>1</v>
      </c>
    </row>
    <row r="7" spans="1:23" x14ac:dyDescent="0.35">
      <c r="A7" t="s">
        <v>548</v>
      </c>
      <c r="B7" t="s">
        <v>24</v>
      </c>
      <c r="C7">
        <v>1</v>
      </c>
      <c r="D7">
        <v>3</v>
      </c>
      <c r="E7">
        <v>2</v>
      </c>
      <c r="F7">
        <v>3</v>
      </c>
      <c r="G7">
        <f t="shared" si="0"/>
        <v>0.125</v>
      </c>
      <c r="H7" s="3">
        <v>45307.463194386597</v>
      </c>
      <c r="I7" s="3">
        <v>45307.589583333298</v>
      </c>
      <c r="J7">
        <f t="shared" si="1"/>
        <v>3.0329999999999999</v>
      </c>
      <c r="K7">
        <f t="shared" si="2"/>
        <v>0.126</v>
      </c>
      <c r="L7">
        <v>22.06</v>
      </c>
      <c r="M7">
        <v>15.59</v>
      </c>
      <c r="N7">
        <v>9.02</v>
      </c>
      <c r="O7">
        <v>0.39229999999999998</v>
      </c>
      <c r="P7">
        <v>7.0499999999999993E-2</v>
      </c>
      <c r="Q7">
        <v>30</v>
      </c>
      <c r="R7">
        <v>16.0616439994701</v>
      </c>
      <c r="S7">
        <v>28.1081701738871</v>
      </c>
      <c r="T7">
        <f t="shared" si="3"/>
        <v>6.8347421274340849</v>
      </c>
      <c r="U7">
        <f t="shared" si="4"/>
        <v>11.96092347824983</v>
      </c>
      <c r="V7">
        <f t="shared" si="5"/>
        <v>1.5804017104564942</v>
      </c>
      <c r="W7">
        <v>1</v>
      </c>
    </row>
    <row r="8" spans="1:23" x14ac:dyDescent="0.35">
      <c r="A8" t="s">
        <v>548</v>
      </c>
      <c r="B8" t="s">
        <v>25</v>
      </c>
      <c r="C8">
        <v>2</v>
      </c>
      <c r="D8">
        <v>1</v>
      </c>
      <c r="E8">
        <v>1</v>
      </c>
      <c r="F8">
        <v>6</v>
      </c>
      <c r="G8">
        <f t="shared" si="0"/>
        <v>0.25</v>
      </c>
      <c r="H8" s="3">
        <v>45307.463194386597</v>
      </c>
      <c r="I8" s="3">
        <v>45307.715972222199</v>
      </c>
      <c r="J8">
        <f t="shared" si="1"/>
        <v>6.0670000000000002</v>
      </c>
      <c r="K8">
        <f t="shared" si="2"/>
        <v>0.253</v>
      </c>
      <c r="L8">
        <v>23.71</v>
      </c>
      <c r="M8">
        <v>16.420000000000002</v>
      </c>
      <c r="N8">
        <v>10.49</v>
      </c>
      <c r="O8">
        <v>0.62590000000000001</v>
      </c>
      <c r="P8">
        <v>0.1129</v>
      </c>
      <c r="Q8">
        <v>30</v>
      </c>
      <c r="R8">
        <v>24.2130587622494</v>
      </c>
      <c r="S8">
        <v>28.552047473765601</v>
      </c>
      <c r="T8">
        <f t="shared" si="3"/>
        <v>6.4339394408102928</v>
      </c>
      <c r="U8">
        <f t="shared" si="4"/>
        <v>7.5869036688482563</v>
      </c>
      <c r="V8">
        <f t="shared" si="5"/>
        <v>0.35545887150410416</v>
      </c>
      <c r="W8">
        <v>1</v>
      </c>
    </row>
    <row r="9" spans="1:23" x14ac:dyDescent="0.35">
      <c r="A9" t="s">
        <v>548</v>
      </c>
      <c r="B9" t="s">
        <v>26</v>
      </c>
      <c r="C9">
        <v>2</v>
      </c>
      <c r="D9">
        <v>1</v>
      </c>
      <c r="E9">
        <v>2</v>
      </c>
      <c r="F9">
        <v>6</v>
      </c>
      <c r="G9">
        <f t="shared" si="0"/>
        <v>0.25</v>
      </c>
      <c r="H9" s="3">
        <v>45307.463194386597</v>
      </c>
      <c r="I9" s="3">
        <v>45307.715972222199</v>
      </c>
      <c r="J9">
        <f t="shared" si="1"/>
        <v>6.0670000000000002</v>
      </c>
      <c r="K9">
        <f t="shared" si="2"/>
        <v>0.253</v>
      </c>
      <c r="L9">
        <v>25.06</v>
      </c>
      <c r="M9">
        <v>17.72</v>
      </c>
      <c r="N9">
        <v>11.08</v>
      </c>
      <c r="O9">
        <v>0.59519999999999995</v>
      </c>
      <c r="P9">
        <v>0.1023</v>
      </c>
      <c r="Q9">
        <v>30</v>
      </c>
      <c r="R9">
        <v>22.292835457475899</v>
      </c>
      <c r="S9">
        <v>31.019119295941199</v>
      </c>
      <c r="T9">
        <f t="shared" si="3"/>
        <v>6.5374884039518761</v>
      </c>
      <c r="U9">
        <f t="shared" si="4"/>
        <v>9.0965159225634</v>
      </c>
      <c r="V9">
        <f t="shared" si="5"/>
        <v>0.78894818398793287</v>
      </c>
      <c r="W9">
        <v>1</v>
      </c>
    </row>
    <row r="10" spans="1:23" x14ac:dyDescent="0.35">
      <c r="A10" t="s">
        <v>548</v>
      </c>
      <c r="B10" t="s">
        <v>27</v>
      </c>
      <c r="C10">
        <v>2</v>
      </c>
      <c r="D10">
        <v>2</v>
      </c>
      <c r="E10">
        <v>1</v>
      </c>
      <c r="F10">
        <v>6</v>
      </c>
      <c r="G10">
        <f t="shared" si="0"/>
        <v>0.25</v>
      </c>
      <c r="H10" s="3">
        <v>45307.463194386597</v>
      </c>
      <c r="I10" s="3">
        <v>45307.715972164398</v>
      </c>
      <c r="J10">
        <f t="shared" si="1"/>
        <v>6.0670000000000002</v>
      </c>
      <c r="K10">
        <f t="shared" si="2"/>
        <v>0.253</v>
      </c>
      <c r="L10">
        <v>24.04</v>
      </c>
      <c r="M10">
        <v>16.43</v>
      </c>
      <c r="N10">
        <v>10</v>
      </c>
      <c r="O10">
        <v>0.49740000000000001</v>
      </c>
      <c r="P10" s="1">
        <v>9.1999999999999998E-2</v>
      </c>
      <c r="Q10">
        <v>30</v>
      </c>
      <c r="R10">
        <v>22.302319815538901</v>
      </c>
      <c r="S10">
        <v>26.5562316601515</v>
      </c>
      <c r="T10">
        <f t="shared" si="3"/>
        <v>7.2724955920235539</v>
      </c>
      <c r="U10">
        <f t="shared" si="4"/>
        <v>8.6596407587450539</v>
      </c>
      <c r="V10">
        <f t="shared" si="5"/>
        <v>0.42765685490023847</v>
      </c>
      <c r="W10">
        <v>1</v>
      </c>
    </row>
    <row r="11" spans="1:23" x14ac:dyDescent="0.35">
      <c r="A11" t="s">
        <v>548</v>
      </c>
      <c r="B11" t="s">
        <v>28</v>
      </c>
      <c r="C11">
        <v>2</v>
      </c>
      <c r="D11">
        <v>2</v>
      </c>
      <c r="E11">
        <v>2</v>
      </c>
      <c r="F11">
        <v>6</v>
      </c>
      <c r="G11">
        <f t="shared" si="0"/>
        <v>0.25</v>
      </c>
      <c r="H11" s="3">
        <v>45307.463194386597</v>
      </c>
      <c r="I11" s="3">
        <v>45307.715972164398</v>
      </c>
      <c r="J11">
        <f t="shared" si="1"/>
        <v>6.0670000000000002</v>
      </c>
      <c r="K11">
        <f t="shared" si="2"/>
        <v>0.253</v>
      </c>
      <c r="L11">
        <v>24.33</v>
      </c>
      <c r="M11">
        <v>17.59</v>
      </c>
      <c r="N11">
        <v>10.029999999999999</v>
      </c>
      <c r="O11">
        <v>0.55910000000000004</v>
      </c>
      <c r="P11">
        <v>0.1096</v>
      </c>
      <c r="Q11">
        <v>30</v>
      </c>
      <c r="R11">
        <v>21.196292924158001</v>
      </c>
      <c r="S11">
        <v>21.173157058577502</v>
      </c>
      <c r="T11">
        <f t="shared" si="3"/>
        <v>5.8019049974885037</v>
      </c>
      <c r="U11">
        <f t="shared" si="4"/>
        <v>5.7955721875668349</v>
      </c>
      <c r="V11">
        <f t="shared" si="5"/>
        <v>-1.9524052988505057E-3</v>
      </c>
      <c r="W11">
        <v>0</v>
      </c>
    </row>
    <row r="12" spans="1:23" x14ac:dyDescent="0.35">
      <c r="A12" t="s">
        <v>548</v>
      </c>
      <c r="B12" t="s">
        <v>29</v>
      </c>
      <c r="C12">
        <v>2</v>
      </c>
      <c r="D12">
        <v>3</v>
      </c>
      <c r="E12">
        <v>1</v>
      </c>
      <c r="F12">
        <v>6</v>
      </c>
      <c r="G12">
        <f t="shared" si="0"/>
        <v>0.25</v>
      </c>
      <c r="H12" s="3">
        <v>45307.463194386597</v>
      </c>
      <c r="I12" s="3">
        <v>45307.715972164398</v>
      </c>
      <c r="J12">
        <f t="shared" si="1"/>
        <v>6.0670000000000002</v>
      </c>
      <c r="K12">
        <f t="shared" si="2"/>
        <v>0.253</v>
      </c>
      <c r="L12">
        <v>20.309999999999999</v>
      </c>
      <c r="M12">
        <v>14</v>
      </c>
      <c r="N12">
        <v>8.75</v>
      </c>
      <c r="O12">
        <v>0.35930000000000001</v>
      </c>
      <c r="P12">
        <v>7.0300000000000001E-2</v>
      </c>
      <c r="Q12">
        <v>30</v>
      </c>
      <c r="R12">
        <v>15.1060838475503</v>
      </c>
      <c r="S12">
        <v>15.283130074828</v>
      </c>
      <c r="T12">
        <f t="shared" si="3"/>
        <v>6.4464084697938686</v>
      </c>
      <c r="U12">
        <f t="shared" si="4"/>
        <v>6.5219616251044092</v>
      </c>
      <c r="V12">
        <f t="shared" si="5"/>
        <v>2.3293037782239678E-2</v>
      </c>
      <c r="W12">
        <v>0</v>
      </c>
    </row>
    <row r="13" spans="1:23" x14ac:dyDescent="0.35">
      <c r="A13" t="s">
        <v>548</v>
      </c>
      <c r="B13" t="s">
        <v>30</v>
      </c>
      <c r="C13">
        <v>2</v>
      </c>
      <c r="D13">
        <v>3</v>
      </c>
      <c r="E13">
        <v>2</v>
      </c>
      <c r="F13">
        <v>6</v>
      </c>
      <c r="G13">
        <f t="shared" si="0"/>
        <v>0.25</v>
      </c>
      <c r="H13" s="3">
        <v>45307.463194386597</v>
      </c>
      <c r="I13" s="3">
        <v>45307.715972164398</v>
      </c>
      <c r="J13">
        <f t="shared" si="1"/>
        <v>6.0670000000000002</v>
      </c>
      <c r="K13">
        <f t="shared" si="2"/>
        <v>0.253</v>
      </c>
      <c r="L13">
        <v>23.05</v>
      </c>
      <c r="M13">
        <v>16.12</v>
      </c>
      <c r="N13">
        <v>9.6300000000000008</v>
      </c>
      <c r="O13">
        <v>0.52439999999999998</v>
      </c>
      <c r="P13">
        <v>9.6199999999999994E-2</v>
      </c>
      <c r="Q13">
        <v>30</v>
      </c>
      <c r="R13">
        <v>20.833199555221199</v>
      </c>
      <c r="S13">
        <v>34.1718964686224</v>
      </c>
      <c r="T13">
        <f t="shared" si="3"/>
        <v>6.4968397781355103</v>
      </c>
      <c r="U13">
        <f t="shared" si="4"/>
        <v>10.656516570256466</v>
      </c>
      <c r="V13">
        <f t="shared" si="5"/>
        <v>1.2824283550108908</v>
      </c>
      <c r="W13">
        <v>1</v>
      </c>
    </row>
    <row r="14" spans="1:23" x14ac:dyDescent="0.35">
      <c r="A14" t="s">
        <v>548</v>
      </c>
      <c r="B14" t="s">
        <v>31</v>
      </c>
      <c r="C14">
        <v>3</v>
      </c>
      <c r="D14">
        <v>1</v>
      </c>
      <c r="E14">
        <v>1</v>
      </c>
      <c r="F14">
        <v>12</v>
      </c>
      <c r="G14">
        <f t="shared" si="0"/>
        <v>0.5</v>
      </c>
      <c r="H14" s="3">
        <v>45307.463194386597</v>
      </c>
      <c r="I14" s="3">
        <v>45307.963194444397</v>
      </c>
      <c r="J14">
        <f t="shared" si="1"/>
        <v>12</v>
      </c>
      <c r="K14">
        <f t="shared" si="2"/>
        <v>0.5</v>
      </c>
      <c r="L14">
        <v>22.38</v>
      </c>
      <c r="M14">
        <v>16.510000000000002</v>
      </c>
      <c r="N14">
        <v>9.83</v>
      </c>
      <c r="O14">
        <v>0.45960000000000001</v>
      </c>
      <c r="P14">
        <v>8.9399999999999993E-2</v>
      </c>
      <c r="Q14">
        <v>30</v>
      </c>
      <c r="R14">
        <v>20.81350806243</v>
      </c>
      <c r="S14">
        <v>29.299653068421101</v>
      </c>
      <c r="T14">
        <f t="shared" si="3"/>
        <v>6.9843986786677865</v>
      </c>
      <c r="U14">
        <f t="shared" si="4"/>
        <v>9.8320983451077524</v>
      </c>
      <c r="V14">
        <f t="shared" si="5"/>
        <v>0.87794580716344151</v>
      </c>
      <c r="W14">
        <v>1</v>
      </c>
    </row>
    <row r="15" spans="1:23" x14ac:dyDescent="0.35">
      <c r="A15" t="s">
        <v>548</v>
      </c>
      <c r="B15" t="s">
        <v>32</v>
      </c>
      <c r="C15">
        <v>3</v>
      </c>
      <c r="D15">
        <v>1</v>
      </c>
      <c r="E15">
        <v>2</v>
      </c>
      <c r="F15">
        <v>12</v>
      </c>
      <c r="G15">
        <f t="shared" si="0"/>
        <v>0.5</v>
      </c>
      <c r="H15" s="3">
        <v>45307.463194386597</v>
      </c>
      <c r="I15" s="3">
        <v>45307.963194444397</v>
      </c>
      <c r="J15">
        <f t="shared" si="1"/>
        <v>12</v>
      </c>
      <c r="K15">
        <f t="shared" si="2"/>
        <v>0.5</v>
      </c>
      <c r="L15">
        <v>22.34</v>
      </c>
      <c r="M15">
        <v>17.13</v>
      </c>
      <c r="N15">
        <v>9.86</v>
      </c>
      <c r="O15">
        <v>0.42509999999999998</v>
      </c>
      <c r="P15">
        <v>7.9299999999999995E-2</v>
      </c>
      <c r="Q15">
        <v>30</v>
      </c>
      <c r="R15">
        <v>18.053600776164501</v>
      </c>
      <c r="S15">
        <v>34.354872403748402</v>
      </c>
      <c r="T15">
        <f t="shared" si="3"/>
        <v>6.8298615798856881</v>
      </c>
      <c r="U15">
        <f t="shared" si="4"/>
        <v>12.996799143914906</v>
      </c>
      <c r="V15">
        <f t="shared" si="5"/>
        <v>1.901266850990208</v>
      </c>
      <c r="W15">
        <v>1</v>
      </c>
    </row>
    <row r="16" spans="1:23" x14ac:dyDescent="0.35">
      <c r="A16" t="s">
        <v>548</v>
      </c>
      <c r="B16" t="s">
        <v>33</v>
      </c>
      <c r="C16">
        <v>3</v>
      </c>
      <c r="D16">
        <v>2</v>
      </c>
      <c r="E16">
        <v>1</v>
      </c>
      <c r="F16">
        <v>12</v>
      </c>
      <c r="G16">
        <f t="shared" si="0"/>
        <v>0.5</v>
      </c>
      <c r="H16" s="3">
        <v>45307.463194386597</v>
      </c>
      <c r="I16" s="3">
        <v>45307.963194386597</v>
      </c>
      <c r="J16">
        <f t="shared" si="1"/>
        <v>12</v>
      </c>
      <c r="K16">
        <f t="shared" si="2"/>
        <v>0.5</v>
      </c>
      <c r="L16">
        <v>23.45</v>
      </c>
      <c r="M16">
        <v>16.12</v>
      </c>
      <c r="N16">
        <v>10.039999999999999</v>
      </c>
      <c r="O16">
        <v>0.55830000000000002</v>
      </c>
      <c r="P16" s="1">
        <v>0.10199999999999999</v>
      </c>
      <c r="Q16">
        <v>30</v>
      </c>
      <c r="R16">
        <v>22.691309456903198</v>
      </c>
      <c r="S16">
        <v>34.476238598209399</v>
      </c>
      <c r="T16">
        <f t="shared" si="3"/>
        <v>6.6739145461480005</v>
      </c>
      <c r="U16">
        <f t="shared" si="4"/>
        <v>10.140070175943942</v>
      </c>
      <c r="V16">
        <f t="shared" si="5"/>
        <v>1.0686157806660888</v>
      </c>
      <c r="W16">
        <v>1</v>
      </c>
    </row>
    <row r="17" spans="1:23" x14ac:dyDescent="0.35">
      <c r="A17" t="s">
        <v>548</v>
      </c>
      <c r="B17" t="s">
        <v>34</v>
      </c>
      <c r="C17">
        <v>3</v>
      </c>
      <c r="D17">
        <v>2</v>
      </c>
      <c r="E17">
        <v>2</v>
      </c>
      <c r="F17">
        <v>12</v>
      </c>
      <c r="G17">
        <f t="shared" si="0"/>
        <v>0.5</v>
      </c>
      <c r="H17" s="3">
        <v>45307.463194386597</v>
      </c>
      <c r="I17" s="3">
        <v>45307.963194386597</v>
      </c>
      <c r="J17">
        <f t="shared" si="1"/>
        <v>12</v>
      </c>
      <c r="K17">
        <f t="shared" si="2"/>
        <v>0.5</v>
      </c>
      <c r="L17">
        <v>20.38</v>
      </c>
      <c r="M17">
        <v>14.54</v>
      </c>
      <c r="N17">
        <v>9.6</v>
      </c>
      <c r="O17">
        <v>0.34899999999999998</v>
      </c>
      <c r="P17">
        <v>6.1800000000000001E-2</v>
      </c>
      <c r="Q17">
        <v>30</v>
      </c>
      <c r="R17">
        <v>13.7244188691151</v>
      </c>
      <c r="S17">
        <v>28.114195132529201</v>
      </c>
      <c r="T17">
        <f t="shared" si="3"/>
        <v>6.6623392568519897</v>
      </c>
      <c r="U17">
        <f t="shared" si="4"/>
        <v>13.64766754006272</v>
      </c>
      <c r="V17">
        <f t="shared" si="5"/>
        <v>2.1535767097138683</v>
      </c>
      <c r="W17">
        <v>1</v>
      </c>
    </row>
    <row r="18" spans="1:23" x14ac:dyDescent="0.35">
      <c r="A18" t="s">
        <v>548</v>
      </c>
      <c r="B18" t="s">
        <v>35</v>
      </c>
      <c r="C18">
        <v>3</v>
      </c>
      <c r="D18">
        <v>3</v>
      </c>
      <c r="E18">
        <v>1</v>
      </c>
      <c r="F18">
        <v>12</v>
      </c>
      <c r="G18">
        <f t="shared" si="0"/>
        <v>0.5</v>
      </c>
      <c r="H18" s="3">
        <v>45307.463194386597</v>
      </c>
      <c r="I18" s="3">
        <v>45307.963194386597</v>
      </c>
      <c r="J18">
        <f t="shared" si="1"/>
        <v>12</v>
      </c>
      <c r="K18">
        <f t="shared" si="2"/>
        <v>0.5</v>
      </c>
      <c r="L18">
        <v>21.93</v>
      </c>
      <c r="M18">
        <v>15.84</v>
      </c>
      <c r="N18">
        <v>8.9</v>
      </c>
      <c r="O18">
        <v>0.44019999999999998</v>
      </c>
      <c r="P18" s="1">
        <v>8.2000000000000003E-2</v>
      </c>
      <c r="Q18">
        <v>30</v>
      </c>
      <c r="R18">
        <v>25.925312491807301</v>
      </c>
      <c r="S18">
        <v>41.731494024511299</v>
      </c>
      <c r="T18">
        <f t="shared" si="3"/>
        <v>9.4848704238319392</v>
      </c>
      <c r="U18">
        <f t="shared" si="4"/>
        <v>15.267619765065108</v>
      </c>
      <c r="V18">
        <f t="shared" si="5"/>
        <v>1.782821621902186</v>
      </c>
      <c r="W18">
        <v>1</v>
      </c>
    </row>
    <row r="19" spans="1:23" ht="24.45" customHeight="1" x14ac:dyDescent="0.35">
      <c r="A19" t="s">
        <v>548</v>
      </c>
      <c r="B19" t="s">
        <v>36</v>
      </c>
      <c r="C19">
        <v>3</v>
      </c>
      <c r="D19">
        <v>3</v>
      </c>
      <c r="E19">
        <v>2</v>
      </c>
      <c r="F19">
        <v>12</v>
      </c>
      <c r="G19">
        <f t="shared" si="0"/>
        <v>0.5</v>
      </c>
      <c r="H19" s="3">
        <v>45307.463194386597</v>
      </c>
      <c r="I19" s="3">
        <v>45307.963194386597</v>
      </c>
      <c r="J19">
        <f t="shared" si="1"/>
        <v>12</v>
      </c>
      <c r="K19">
        <f t="shared" si="2"/>
        <v>0.5</v>
      </c>
      <c r="L19">
        <v>24.54</v>
      </c>
      <c r="M19">
        <v>17.079999999999998</v>
      </c>
      <c r="N19">
        <v>10.63</v>
      </c>
      <c r="O19">
        <v>0.58430000000000004</v>
      </c>
      <c r="P19">
        <v>0.10730000000000001</v>
      </c>
      <c r="Q19">
        <v>30</v>
      </c>
      <c r="R19">
        <v>26.039945344663298</v>
      </c>
      <c r="S19">
        <v>35.6964752904302</v>
      </c>
      <c r="T19">
        <f>R19*Q19/1000/P19</f>
        <v>7.2805066201295334</v>
      </c>
      <c r="U19">
        <f>S19*Q19/1000/P19</f>
        <v>9.9803751976971657</v>
      </c>
      <c r="V19">
        <f t="shared" si="5"/>
        <v>0.83236948246410114</v>
      </c>
      <c r="W19">
        <v>1</v>
      </c>
    </row>
    <row r="20" spans="1:23" x14ac:dyDescent="0.35">
      <c r="A20" t="s">
        <v>548</v>
      </c>
      <c r="B20" t="s">
        <v>37</v>
      </c>
      <c r="C20">
        <v>4</v>
      </c>
      <c r="D20">
        <v>1</v>
      </c>
      <c r="E20">
        <v>1</v>
      </c>
      <c r="F20">
        <v>24</v>
      </c>
      <c r="G20">
        <f t="shared" si="0"/>
        <v>1</v>
      </c>
      <c r="H20" s="3">
        <v>45307.463194386597</v>
      </c>
      <c r="I20" s="3">
        <v>45308.465277777803</v>
      </c>
      <c r="J20">
        <f t="shared" si="1"/>
        <v>24.05</v>
      </c>
      <c r="K20">
        <f t="shared" si="2"/>
        <v>1.002</v>
      </c>
      <c r="L20">
        <v>21.57</v>
      </c>
      <c r="M20">
        <v>15.26</v>
      </c>
      <c r="N20">
        <v>9.4700000000000006</v>
      </c>
      <c r="O20">
        <v>0.38159999999999999</v>
      </c>
      <c r="P20">
        <v>6.83E-2</v>
      </c>
      <c r="Q20">
        <v>30</v>
      </c>
      <c r="R20">
        <v>14.933907162676901</v>
      </c>
      <c r="S20">
        <v>23.324668537263602</v>
      </c>
      <c r="T20">
        <f t="shared" ref="T20:T49" si="6">R20*Q20/1000/P20</f>
        <v>6.5595492661831196</v>
      </c>
      <c r="U20">
        <f t="shared" ref="U20:U49" si="7">S20*Q20/1000/P20</f>
        <v>10.245095990013295</v>
      </c>
      <c r="V20">
        <f t="shared" si="5"/>
        <v>1.1362540549568432</v>
      </c>
      <c r="W20">
        <v>1</v>
      </c>
    </row>
    <row r="21" spans="1:23" x14ac:dyDescent="0.35">
      <c r="A21" t="s">
        <v>548</v>
      </c>
      <c r="B21" t="s">
        <v>38</v>
      </c>
      <c r="C21">
        <v>4</v>
      </c>
      <c r="D21">
        <v>1</v>
      </c>
      <c r="E21">
        <v>2</v>
      </c>
      <c r="F21">
        <v>24</v>
      </c>
      <c r="G21">
        <f t="shared" si="0"/>
        <v>1</v>
      </c>
      <c r="H21" s="3">
        <v>45307.463194386597</v>
      </c>
      <c r="I21" s="3">
        <v>45308.465277777803</v>
      </c>
      <c r="J21">
        <f t="shared" si="1"/>
        <v>24.05</v>
      </c>
      <c r="K21">
        <f t="shared" si="2"/>
        <v>1.002</v>
      </c>
      <c r="L21">
        <v>19.34</v>
      </c>
      <c r="M21">
        <v>14.19</v>
      </c>
      <c r="N21">
        <v>8.75</v>
      </c>
      <c r="O21">
        <v>0.35449999999999998</v>
      </c>
      <c r="P21">
        <v>6.5100000000000005E-2</v>
      </c>
      <c r="Q21">
        <v>30</v>
      </c>
      <c r="R21">
        <v>14.3054290808258</v>
      </c>
      <c r="S21">
        <v>28.754665774511999</v>
      </c>
      <c r="T21">
        <f t="shared" si="6"/>
        <v>6.5923636317169576</v>
      </c>
      <c r="U21">
        <f t="shared" si="7"/>
        <v>13.250998052770505</v>
      </c>
      <c r="V21">
        <f t="shared" si="5"/>
        <v>2.0528569920108088</v>
      </c>
      <c r="W21">
        <v>1</v>
      </c>
    </row>
    <row r="22" spans="1:23" x14ac:dyDescent="0.35">
      <c r="A22" t="s">
        <v>548</v>
      </c>
      <c r="B22" t="s">
        <v>39</v>
      </c>
      <c r="C22">
        <v>4</v>
      </c>
      <c r="D22">
        <v>2</v>
      </c>
      <c r="E22">
        <v>1</v>
      </c>
      <c r="F22">
        <v>24</v>
      </c>
      <c r="G22">
        <f t="shared" si="0"/>
        <v>1</v>
      </c>
      <c r="H22" s="3">
        <v>45307.463194386597</v>
      </c>
      <c r="I22" s="3">
        <v>45308.465277777803</v>
      </c>
      <c r="J22">
        <f t="shared" si="1"/>
        <v>24.05</v>
      </c>
      <c r="K22">
        <f t="shared" si="2"/>
        <v>1.002</v>
      </c>
      <c r="L22">
        <v>24.49</v>
      </c>
      <c r="M22">
        <v>17.16</v>
      </c>
      <c r="N22">
        <v>10.64</v>
      </c>
      <c r="O22">
        <v>0.57299999999999995</v>
      </c>
      <c r="P22">
        <v>0.1013</v>
      </c>
      <c r="Q22">
        <v>30</v>
      </c>
      <c r="R22">
        <v>21.081480341895698</v>
      </c>
      <c r="S22">
        <v>38.599652690919399</v>
      </c>
      <c r="T22">
        <f t="shared" si="6"/>
        <v>6.2432814437993178</v>
      </c>
      <c r="U22">
        <f t="shared" si="7"/>
        <v>11.431289049630621</v>
      </c>
      <c r="V22">
        <f t="shared" si="5"/>
        <v>1.5994627448777909</v>
      </c>
      <c r="W22">
        <v>1</v>
      </c>
    </row>
    <row r="23" spans="1:23" x14ac:dyDescent="0.35">
      <c r="A23" t="s">
        <v>548</v>
      </c>
      <c r="B23" t="s">
        <v>40</v>
      </c>
      <c r="C23">
        <v>4</v>
      </c>
      <c r="D23">
        <v>2</v>
      </c>
      <c r="E23">
        <v>2</v>
      </c>
      <c r="F23">
        <v>24</v>
      </c>
      <c r="G23">
        <f t="shared" si="0"/>
        <v>1</v>
      </c>
      <c r="H23" s="3">
        <v>45307.463194386597</v>
      </c>
      <c r="I23" s="3">
        <v>45308.465277777803</v>
      </c>
      <c r="J23">
        <f t="shared" si="1"/>
        <v>24.05</v>
      </c>
      <c r="K23">
        <f t="shared" si="2"/>
        <v>1.002</v>
      </c>
      <c r="L23">
        <v>23.56</v>
      </c>
      <c r="M23">
        <v>15.99</v>
      </c>
      <c r="N23">
        <v>9.42</v>
      </c>
      <c r="O23">
        <v>0.52890000000000004</v>
      </c>
      <c r="P23">
        <v>9.8599999999999993E-2</v>
      </c>
      <c r="Q23">
        <v>30</v>
      </c>
      <c r="R23">
        <v>17.574381476095599</v>
      </c>
      <c r="S23">
        <v>29.809101791095902</v>
      </c>
      <c r="T23">
        <f t="shared" si="6"/>
        <v>5.3471748913069774</v>
      </c>
      <c r="U23">
        <f t="shared" si="7"/>
        <v>9.069706427311127</v>
      </c>
      <c r="V23">
        <f t="shared" si="5"/>
        <v>1.1476564725500793</v>
      </c>
      <c r="W23">
        <v>1</v>
      </c>
    </row>
    <row r="24" spans="1:23" x14ac:dyDescent="0.35">
      <c r="A24" t="s">
        <v>548</v>
      </c>
      <c r="B24" t="s">
        <v>41</v>
      </c>
      <c r="C24">
        <v>4</v>
      </c>
      <c r="D24">
        <v>3</v>
      </c>
      <c r="E24">
        <v>1</v>
      </c>
      <c r="F24">
        <v>24</v>
      </c>
      <c r="G24">
        <f t="shared" si="0"/>
        <v>1</v>
      </c>
      <c r="H24" s="3">
        <v>45307.463194386597</v>
      </c>
      <c r="I24" s="3">
        <v>45308.465277777803</v>
      </c>
      <c r="J24">
        <f t="shared" si="1"/>
        <v>24.05</v>
      </c>
      <c r="K24">
        <f t="shared" si="2"/>
        <v>1.002</v>
      </c>
      <c r="L24">
        <v>20.64</v>
      </c>
      <c r="M24">
        <v>14.76</v>
      </c>
      <c r="N24">
        <v>8.52</v>
      </c>
      <c r="O24">
        <v>0.36149999999999999</v>
      </c>
      <c r="P24" s="1">
        <v>6.5000000000000002E-2</v>
      </c>
      <c r="Q24">
        <v>30</v>
      </c>
      <c r="R24">
        <v>18.304493021528501</v>
      </c>
      <c r="S24">
        <v>38.429150713156702</v>
      </c>
      <c r="T24">
        <f t="shared" si="6"/>
        <v>8.4482275483977691</v>
      </c>
      <c r="U24">
        <f t="shared" si="7"/>
        <v>17.736531098380016</v>
      </c>
      <c r="V24">
        <f t="shared" si="5"/>
        <v>2.863583984459527</v>
      </c>
      <c r="W24">
        <v>1</v>
      </c>
    </row>
    <row r="25" spans="1:23" x14ac:dyDescent="0.35">
      <c r="A25" t="s">
        <v>548</v>
      </c>
      <c r="B25" t="s">
        <v>42</v>
      </c>
      <c r="C25">
        <v>4</v>
      </c>
      <c r="D25">
        <v>3</v>
      </c>
      <c r="E25">
        <v>2</v>
      </c>
      <c r="F25">
        <v>24</v>
      </c>
      <c r="G25">
        <f t="shared" si="0"/>
        <v>1</v>
      </c>
      <c r="H25" s="3">
        <v>45307.463194386597</v>
      </c>
      <c r="I25" s="3">
        <v>45308.465277777803</v>
      </c>
      <c r="J25">
        <f t="shared" si="1"/>
        <v>24.05</v>
      </c>
      <c r="K25">
        <f t="shared" si="2"/>
        <v>1.002</v>
      </c>
      <c r="L25">
        <v>25.56</v>
      </c>
      <c r="M25">
        <v>17.75</v>
      </c>
      <c r="N25">
        <v>10.46</v>
      </c>
      <c r="O25">
        <v>0.52200000000000002</v>
      </c>
      <c r="P25">
        <v>9.1200000000000003E-2</v>
      </c>
      <c r="Q25">
        <v>30</v>
      </c>
      <c r="R25">
        <v>22.432175064509899</v>
      </c>
      <c r="S25">
        <v>47.202935480760999</v>
      </c>
      <c r="T25">
        <f t="shared" si="6"/>
        <v>7.3790049554308865</v>
      </c>
      <c r="U25">
        <f t="shared" si="7"/>
        <v>15.527281408145065</v>
      </c>
      <c r="V25">
        <f t="shared" si="5"/>
        <v>2.5121136303717813</v>
      </c>
      <c r="W25">
        <v>1</v>
      </c>
    </row>
    <row r="26" spans="1:23" x14ac:dyDescent="0.35">
      <c r="A26" t="s">
        <v>548</v>
      </c>
      <c r="B26" t="s">
        <v>43</v>
      </c>
      <c r="C26">
        <v>5</v>
      </c>
      <c r="D26">
        <v>1</v>
      </c>
      <c r="E26">
        <v>1</v>
      </c>
      <c r="F26">
        <v>48</v>
      </c>
      <c r="G26">
        <f t="shared" si="0"/>
        <v>2</v>
      </c>
      <c r="H26" s="3">
        <v>45307.463194386597</v>
      </c>
      <c r="I26" s="3">
        <v>45309.465277777803</v>
      </c>
      <c r="J26">
        <f t="shared" si="1"/>
        <v>48.05</v>
      </c>
      <c r="K26">
        <f t="shared" si="2"/>
        <v>2.0019999999999998</v>
      </c>
      <c r="L26">
        <v>22.94</v>
      </c>
      <c r="M26">
        <v>15.62</v>
      </c>
      <c r="N26">
        <v>9.51</v>
      </c>
      <c r="O26">
        <v>0.45860000000000001</v>
      </c>
      <c r="P26">
        <v>8.77E-2</v>
      </c>
      <c r="Q26">
        <v>30</v>
      </c>
      <c r="R26">
        <v>18.298982102084999</v>
      </c>
      <c r="S26">
        <v>29.498206815493202</v>
      </c>
      <c r="T26">
        <f t="shared" si="6"/>
        <v>6.2596289972924728</v>
      </c>
      <c r="U26">
        <f t="shared" si="7"/>
        <v>10.090606664364836</v>
      </c>
      <c r="V26">
        <f t="shared" si="5"/>
        <v>1.1810904147584098</v>
      </c>
      <c r="W26">
        <v>1</v>
      </c>
    </row>
    <row r="27" spans="1:23" x14ac:dyDescent="0.35">
      <c r="A27" t="s">
        <v>548</v>
      </c>
      <c r="B27" t="s">
        <v>44</v>
      </c>
      <c r="C27">
        <v>5</v>
      </c>
      <c r="D27">
        <v>1</v>
      </c>
      <c r="E27">
        <v>2</v>
      </c>
      <c r="F27">
        <v>48</v>
      </c>
      <c r="G27">
        <f t="shared" si="0"/>
        <v>2</v>
      </c>
      <c r="H27" s="3">
        <v>45307.463194386597</v>
      </c>
      <c r="I27" s="3">
        <v>45309.465277777803</v>
      </c>
      <c r="J27">
        <f t="shared" si="1"/>
        <v>48.05</v>
      </c>
      <c r="K27">
        <f t="shared" si="2"/>
        <v>2.0019999999999998</v>
      </c>
      <c r="L27">
        <v>23.62</v>
      </c>
      <c r="M27">
        <v>16.45</v>
      </c>
      <c r="N27">
        <v>10.63</v>
      </c>
      <c r="O27">
        <v>0.49730000000000002</v>
      </c>
      <c r="P27">
        <v>9.1499999999999998E-2</v>
      </c>
      <c r="Q27">
        <v>30</v>
      </c>
      <c r="R27">
        <v>30.781671651489699</v>
      </c>
      <c r="S27">
        <v>45.643337815809502</v>
      </c>
      <c r="T27">
        <f t="shared" si="6"/>
        <v>10.092351361144164</v>
      </c>
      <c r="U27">
        <f t="shared" si="7"/>
        <v>14.965028792068692</v>
      </c>
      <c r="V27">
        <f t="shared" si="5"/>
        <v>1.5022464519540319</v>
      </c>
      <c r="W27">
        <v>1</v>
      </c>
    </row>
    <row r="28" spans="1:23" x14ac:dyDescent="0.35">
      <c r="A28" t="s">
        <v>548</v>
      </c>
      <c r="B28" t="s">
        <v>45</v>
      </c>
      <c r="C28">
        <v>5</v>
      </c>
      <c r="D28">
        <v>2</v>
      </c>
      <c r="E28">
        <v>1</v>
      </c>
      <c r="F28">
        <v>48</v>
      </c>
      <c r="G28">
        <f t="shared" si="0"/>
        <v>2</v>
      </c>
      <c r="H28" s="3">
        <v>45307.463194386597</v>
      </c>
      <c r="I28" s="3">
        <v>45309.465277777803</v>
      </c>
      <c r="J28">
        <f t="shared" si="1"/>
        <v>48.05</v>
      </c>
      <c r="K28">
        <f t="shared" si="2"/>
        <v>2.0019999999999998</v>
      </c>
      <c r="L28">
        <v>23.37</v>
      </c>
      <c r="M28">
        <v>17.37</v>
      </c>
      <c r="N28">
        <v>9.86</v>
      </c>
      <c r="O28">
        <v>0.4541</v>
      </c>
      <c r="P28">
        <v>7.8799999999999995E-2</v>
      </c>
      <c r="Q28">
        <v>30</v>
      </c>
      <c r="R28">
        <v>16.933347853623999</v>
      </c>
      <c r="S28">
        <v>34.779242420674301</v>
      </c>
      <c r="T28">
        <f t="shared" si="6"/>
        <v>6.446706035643655</v>
      </c>
      <c r="U28">
        <f t="shared" si="7"/>
        <v>13.240828332744025</v>
      </c>
      <c r="V28">
        <f t="shared" si="5"/>
        <v>2.0946279041960443</v>
      </c>
      <c r="W28">
        <v>1</v>
      </c>
    </row>
    <row r="29" spans="1:23" x14ac:dyDescent="0.35">
      <c r="A29" t="s">
        <v>548</v>
      </c>
      <c r="B29" t="s">
        <v>46</v>
      </c>
      <c r="C29">
        <v>5</v>
      </c>
      <c r="D29">
        <v>2</v>
      </c>
      <c r="E29">
        <v>2</v>
      </c>
      <c r="F29">
        <v>48</v>
      </c>
      <c r="G29">
        <f t="shared" si="0"/>
        <v>2</v>
      </c>
      <c r="H29" s="3">
        <v>45307.463194386597</v>
      </c>
      <c r="I29" s="3">
        <v>45309.465277777803</v>
      </c>
      <c r="J29">
        <f t="shared" si="1"/>
        <v>48.05</v>
      </c>
      <c r="K29">
        <f t="shared" si="2"/>
        <v>2.0019999999999998</v>
      </c>
      <c r="L29">
        <v>23.89</v>
      </c>
      <c r="M29">
        <v>17.2</v>
      </c>
      <c r="N29">
        <v>10.06</v>
      </c>
      <c r="O29">
        <v>0.50729999999999997</v>
      </c>
      <c r="P29">
        <v>8.8300000000000003E-2</v>
      </c>
      <c r="Q29">
        <v>30</v>
      </c>
      <c r="R29">
        <v>19.976257798958599</v>
      </c>
      <c r="S29">
        <v>36.944098580487598</v>
      </c>
      <c r="T29">
        <f t="shared" si="6"/>
        <v>6.7869505545725692</v>
      </c>
      <c r="U29">
        <f t="shared" si="7"/>
        <v>12.551788872192843</v>
      </c>
      <c r="V29">
        <f t="shared" si="5"/>
        <v>1.7772996533223304</v>
      </c>
      <c r="W29">
        <v>1</v>
      </c>
    </row>
    <row r="30" spans="1:23" x14ac:dyDescent="0.35">
      <c r="A30" t="s">
        <v>548</v>
      </c>
      <c r="B30" t="s">
        <v>47</v>
      </c>
      <c r="C30">
        <v>5</v>
      </c>
      <c r="D30">
        <v>3</v>
      </c>
      <c r="E30">
        <v>1</v>
      </c>
      <c r="F30">
        <v>48</v>
      </c>
      <c r="G30">
        <f t="shared" si="0"/>
        <v>2</v>
      </c>
      <c r="H30" s="3">
        <v>45307.463194386597</v>
      </c>
      <c r="I30" s="3">
        <v>45309.465277777803</v>
      </c>
      <c r="J30">
        <f t="shared" si="1"/>
        <v>48.05</v>
      </c>
      <c r="K30">
        <f t="shared" si="2"/>
        <v>2.0019999999999998</v>
      </c>
      <c r="L30">
        <v>23.35</v>
      </c>
      <c r="M30">
        <v>15.91</v>
      </c>
      <c r="N30">
        <v>10.19</v>
      </c>
      <c r="O30">
        <v>0.54679999999999995</v>
      </c>
      <c r="P30">
        <v>9.8799999999999999E-2</v>
      </c>
      <c r="Q30">
        <v>30</v>
      </c>
      <c r="R30">
        <v>19.665261091860899</v>
      </c>
      <c r="S30">
        <v>33.390398663423603</v>
      </c>
      <c r="T30">
        <f t="shared" si="6"/>
        <v>5.9712331250589781</v>
      </c>
      <c r="U30">
        <f t="shared" si="7"/>
        <v>10.138785019258181</v>
      </c>
      <c r="V30">
        <f t="shared" si="5"/>
        <v>1.2848562489816144</v>
      </c>
      <c r="W30">
        <v>1</v>
      </c>
    </row>
    <row r="31" spans="1:23" x14ac:dyDescent="0.35">
      <c r="A31" t="s">
        <v>548</v>
      </c>
      <c r="B31" t="s">
        <v>48</v>
      </c>
      <c r="C31">
        <v>5</v>
      </c>
      <c r="D31">
        <v>3</v>
      </c>
      <c r="E31">
        <v>2</v>
      </c>
      <c r="F31">
        <v>48</v>
      </c>
      <c r="G31">
        <f t="shared" si="0"/>
        <v>2</v>
      </c>
      <c r="H31" s="3">
        <v>45307.463194386597</v>
      </c>
      <c r="I31" s="3">
        <v>45309.465277777803</v>
      </c>
      <c r="J31">
        <f t="shared" si="1"/>
        <v>48.05</v>
      </c>
      <c r="K31">
        <f t="shared" si="2"/>
        <v>2.0019999999999998</v>
      </c>
      <c r="L31">
        <v>20.83</v>
      </c>
      <c r="M31">
        <v>14.77</v>
      </c>
      <c r="N31">
        <v>9.0399999999999991</v>
      </c>
      <c r="O31">
        <v>0.34210000000000002</v>
      </c>
      <c r="P31">
        <v>6.1100000000000002E-2</v>
      </c>
      <c r="Q31">
        <v>30</v>
      </c>
      <c r="R31">
        <v>15.803858512934401</v>
      </c>
      <c r="S31">
        <v>34.891803495858198</v>
      </c>
      <c r="T31">
        <f t="shared" si="6"/>
        <v>7.7596686642885766</v>
      </c>
      <c r="U31">
        <f t="shared" si="7"/>
        <v>17.131818410405007</v>
      </c>
      <c r="V31">
        <f t="shared" si="5"/>
        <v>2.8894337667276959</v>
      </c>
      <c r="W31">
        <v>1</v>
      </c>
    </row>
    <row r="32" spans="1:23" x14ac:dyDescent="0.35">
      <c r="A32" t="s">
        <v>548</v>
      </c>
      <c r="B32" t="s">
        <v>49</v>
      </c>
      <c r="C32">
        <v>6</v>
      </c>
      <c r="D32">
        <v>1</v>
      </c>
      <c r="E32">
        <v>1</v>
      </c>
      <c r="F32">
        <f>G32*24</f>
        <v>60</v>
      </c>
      <c r="G32">
        <v>2.5</v>
      </c>
      <c r="H32" s="3">
        <v>45307.463194386597</v>
      </c>
      <c r="I32" s="3">
        <v>45309.968055555597</v>
      </c>
      <c r="J32">
        <f t="shared" si="1"/>
        <v>60.116999999999997</v>
      </c>
      <c r="K32">
        <f t="shared" si="2"/>
        <v>2.5049999999999999</v>
      </c>
      <c r="L32">
        <v>23.13</v>
      </c>
      <c r="M32">
        <v>15.43</v>
      </c>
      <c r="N32">
        <v>10.62</v>
      </c>
      <c r="O32">
        <v>0.39</v>
      </c>
      <c r="P32">
        <v>6.6100000000000006E-2</v>
      </c>
      <c r="Q32">
        <v>30</v>
      </c>
      <c r="R32">
        <v>16.295738253789001</v>
      </c>
      <c r="S32">
        <v>29.034598213994101</v>
      </c>
      <c r="T32">
        <f t="shared" si="6"/>
        <v>7.3959477702521923</v>
      </c>
      <c r="U32">
        <f t="shared" si="7"/>
        <v>13.177578614520771</v>
      </c>
      <c r="V32">
        <f t="shared" si="5"/>
        <v>1.7824767892880029</v>
      </c>
      <c r="W32">
        <v>1</v>
      </c>
    </row>
    <row r="33" spans="1:23" x14ac:dyDescent="0.35">
      <c r="A33" t="s">
        <v>548</v>
      </c>
      <c r="B33" t="s">
        <v>50</v>
      </c>
      <c r="C33">
        <v>6</v>
      </c>
      <c r="D33">
        <v>1</v>
      </c>
      <c r="E33">
        <v>2</v>
      </c>
      <c r="F33">
        <f t="shared" ref="F33:F55" si="8">G33*24</f>
        <v>60</v>
      </c>
      <c r="G33">
        <v>2.5</v>
      </c>
      <c r="H33" s="3">
        <v>45307.463194386597</v>
      </c>
      <c r="I33" s="3">
        <v>45309.968055555597</v>
      </c>
      <c r="J33">
        <f t="shared" si="1"/>
        <v>60.116999999999997</v>
      </c>
      <c r="K33">
        <f t="shared" si="2"/>
        <v>2.5049999999999999</v>
      </c>
      <c r="L33">
        <v>20.83</v>
      </c>
      <c r="M33">
        <v>14.85</v>
      </c>
      <c r="N33">
        <v>8.8800000000000008</v>
      </c>
      <c r="O33">
        <v>0.38080000000000003</v>
      </c>
      <c r="P33">
        <v>6.93E-2</v>
      </c>
      <c r="Q33">
        <v>30</v>
      </c>
      <c r="R33">
        <v>18.198808933565999</v>
      </c>
      <c r="S33">
        <v>28.143156296361401</v>
      </c>
      <c r="T33">
        <f t="shared" si="6"/>
        <v>7.8782722656129858</v>
      </c>
      <c r="U33">
        <f t="shared" si="7"/>
        <v>12.183184543879394</v>
      </c>
      <c r="V33">
        <f t="shared" si="5"/>
        <v>1.3272044553895337</v>
      </c>
      <c r="W33">
        <v>1</v>
      </c>
    </row>
    <row r="34" spans="1:23" x14ac:dyDescent="0.35">
      <c r="A34" t="s">
        <v>548</v>
      </c>
      <c r="B34" t="s">
        <v>51</v>
      </c>
      <c r="C34">
        <v>6</v>
      </c>
      <c r="D34">
        <v>2</v>
      </c>
      <c r="E34">
        <v>1</v>
      </c>
      <c r="F34">
        <f t="shared" si="8"/>
        <v>60</v>
      </c>
      <c r="G34">
        <v>2.5</v>
      </c>
      <c r="H34" s="3">
        <v>45307.463194386597</v>
      </c>
      <c r="I34" s="3">
        <v>45309.968055497702</v>
      </c>
      <c r="J34">
        <f t="shared" si="1"/>
        <v>60.116999999999997</v>
      </c>
      <c r="K34">
        <f t="shared" si="2"/>
        <v>2.5049999999999999</v>
      </c>
      <c r="L34">
        <v>22.18</v>
      </c>
      <c r="M34">
        <v>15.24</v>
      </c>
      <c r="N34">
        <v>9.4499999999999993</v>
      </c>
      <c r="O34">
        <v>0.34399999999999997</v>
      </c>
      <c r="P34" s="1">
        <v>0.06</v>
      </c>
      <c r="Q34">
        <v>30</v>
      </c>
      <c r="R34">
        <v>14.0851817110012</v>
      </c>
      <c r="S34">
        <v>32.0572243652786</v>
      </c>
      <c r="T34">
        <f t="shared" si="6"/>
        <v>7.0425908555005998</v>
      </c>
      <c r="U34">
        <f t="shared" si="7"/>
        <v>16.0286121826393</v>
      </c>
      <c r="V34">
        <f t="shared" si="5"/>
        <v>2.7703903751568615</v>
      </c>
      <c r="W34">
        <v>1</v>
      </c>
    </row>
    <row r="35" spans="1:23" x14ac:dyDescent="0.35">
      <c r="A35" t="s">
        <v>548</v>
      </c>
      <c r="B35" t="s">
        <v>52</v>
      </c>
      <c r="C35">
        <v>6</v>
      </c>
      <c r="D35">
        <v>2</v>
      </c>
      <c r="E35">
        <v>2</v>
      </c>
      <c r="F35">
        <f t="shared" si="8"/>
        <v>60</v>
      </c>
      <c r="G35">
        <v>2.5</v>
      </c>
      <c r="H35" s="3">
        <v>45307.463194386597</v>
      </c>
      <c r="I35" s="3">
        <v>45309.968055497702</v>
      </c>
      <c r="J35">
        <f t="shared" si="1"/>
        <v>60.116999999999997</v>
      </c>
      <c r="K35">
        <f t="shared" si="2"/>
        <v>2.5049999999999999</v>
      </c>
      <c r="L35">
        <v>24.42</v>
      </c>
      <c r="M35">
        <v>17.54</v>
      </c>
      <c r="N35">
        <v>10.07</v>
      </c>
      <c r="O35">
        <v>0.58320000000000005</v>
      </c>
      <c r="P35">
        <v>0.1055</v>
      </c>
      <c r="Q35">
        <v>30</v>
      </c>
      <c r="R35">
        <v>21.450279962268699</v>
      </c>
      <c r="S35">
        <v>33.232093807985898</v>
      </c>
      <c r="T35">
        <f t="shared" si="6"/>
        <v>6.0996056764745106</v>
      </c>
      <c r="U35">
        <f t="shared" si="7"/>
        <v>9.4498844951618661</v>
      </c>
      <c r="V35">
        <f t="shared" si="5"/>
        <v>1.0328909598013118</v>
      </c>
      <c r="W35">
        <v>1</v>
      </c>
    </row>
    <row r="36" spans="1:23" x14ac:dyDescent="0.35">
      <c r="A36" t="s">
        <v>548</v>
      </c>
      <c r="B36" t="s">
        <v>53</v>
      </c>
      <c r="C36">
        <v>6</v>
      </c>
      <c r="D36">
        <v>3</v>
      </c>
      <c r="E36">
        <v>1</v>
      </c>
      <c r="F36">
        <f t="shared" si="8"/>
        <v>60</v>
      </c>
      <c r="G36">
        <v>2.5</v>
      </c>
      <c r="H36" s="3">
        <v>45307.463194386597</v>
      </c>
      <c r="I36" s="3">
        <v>45309.968055497702</v>
      </c>
      <c r="J36">
        <f t="shared" si="1"/>
        <v>60.116999999999997</v>
      </c>
      <c r="K36">
        <f t="shared" si="2"/>
        <v>2.5049999999999999</v>
      </c>
      <c r="L36">
        <v>23.88</v>
      </c>
      <c r="M36">
        <v>16.43</v>
      </c>
      <c r="N36">
        <v>9.8000000000000007</v>
      </c>
      <c r="O36">
        <v>0.50249999999999995</v>
      </c>
      <c r="P36" s="1">
        <v>8.3000000000000004E-2</v>
      </c>
      <c r="Q36">
        <v>30</v>
      </c>
      <c r="R36">
        <v>17.742344121101201</v>
      </c>
      <c r="S36">
        <v>35.240482156863102</v>
      </c>
      <c r="T36">
        <f t="shared" si="6"/>
        <v>6.4128954654582655</v>
      </c>
      <c r="U36">
        <f t="shared" si="7"/>
        <v>12.737523671155337</v>
      </c>
      <c r="V36">
        <f t="shared" si="5"/>
        <v>1.9498828758164073</v>
      </c>
      <c r="W36">
        <v>1</v>
      </c>
    </row>
    <row r="37" spans="1:23" x14ac:dyDescent="0.35">
      <c r="A37" t="s">
        <v>548</v>
      </c>
      <c r="B37" t="s">
        <v>54</v>
      </c>
      <c r="C37">
        <v>6</v>
      </c>
      <c r="D37">
        <v>3</v>
      </c>
      <c r="E37">
        <v>2</v>
      </c>
      <c r="F37">
        <f t="shared" si="8"/>
        <v>60</v>
      </c>
      <c r="G37">
        <v>2.5</v>
      </c>
      <c r="H37" s="3">
        <v>45307.463194386597</v>
      </c>
      <c r="I37" s="3">
        <v>45309.968055497702</v>
      </c>
      <c r="J37">
        <f t="shared" si="1"/>
        <v>60.116999999999997</v>
      </c>
      <c r="K37">
        <f t="shared" si="2"/>
        <v>2.5049999999999999</v>
      </c>
      <c r="L37">
        <v>21.74</v>
      </c>
      <c r="M37">
        <v>15.38</v>
      </c>
      <c r="N37">
        <v>9.52</v>
      </c>
      <c r="O37">
        <v>0.48080000000000001</v>
      </c>
      <c r="P37">
        <v>8.7099999999999997E-2</v>
      </c>
      <c r="Q37">
        <v>30</v>
      </c>
      <c r="R37">
        <v>18.597771561221201</v>
      </c>
      <c r="S37">
        <v>27.6883688545472</v>
      </c>
      <c r="T37">
        <f t="shared" si="6"/>
        <v>6.4056618465744677</v>
      </c>
      <c r="U37">
        <f t="shared" si="7"/>
        <v>9.5367516146546034</v>
      </c>
      <c r="V37">
        <f t="shared" si="5"/>
        <v>0.96531497549910594</v>
      </c>
      <c r="W37">
        <v>1</v>
      </c>
    </row>
    <row r="38" spans="1:23" x14ac:dyDescent="0.35">
      <c r="A38" t="s">
        <v>548</v>
      </c>
      <c r="B38" t="s">
        <v>55</v>
      </c>
      <c r="C38">
        <v>7</v>
      </c>
      <c r="D38">
        <v>1</v>
      </c>
      <c r="E38">
        <v>1</v>
      </c>
      <c r="F38">
        <f t="shared" si="8"/>
        <v>72</v>
      </c>
      <c r="G38">
        <v>3</v>
      </c>
      <c r="H38" s="3">
        <v>45307.463194386597</v>
      </c>
      <c r="I38" s="3">
        <v>45310.468055555597</v>
      </c>
      <c r="J38">
        <f t="shared" si="1"/>
        <v>72.117000000000004</v>
      </c>
      <c r="K38">
        <f t="shared" si="2"/>
        <v>3.0049999999999999</v>
      </c>
      <c r="L38">
        <v>22.2</v>
      </c>
      <c r="M38">
        <v>15.75</v>
      </c>
      <c r="N38">
        <v>9.56</v>
      </c>
      <c r="O38">
        <v>0.43020000000000003</v>
      </c>
      <c r="P38">
        <v>7.8700000000000006E-2</v>
      </c>
      <c r="Q38">
        <v>30</v>
      </c>
      <c r="R38">
        <v>13.6848151295048</v>
      </c>
      <c r="S38">
        <v>22.601938179479699</v>
      </c>
      <c r="T38">
        <f t="shared" si="6"/>
        <v>5.2165750176003041</v>
      </c>
      <c r="U38">
        <f t="shared" si="7"/>
        <v>8.6157324699414346</v>
      </c>
      <c r="V38">
        <f t="shared" si="5"/>
        <v>1.0479602425567707</v>
      </c>
      <c r="W38">
        <v>1</v>
      </c>
    </row>
    <row r="39" spans="1:23" x14ac:dyDescent="0.35">
      <c r="A39" t="s">
        <v>548</v>
      </c>
      <c r="B39" t="s">
        <v>56</v>
      </c>
      <c r="C39">
        <v>7</v>
      </c>
      <c r="D39">
        <v>1</v>
      </c>
      <c r="E39">
        <v>2</v>
      </c>
      <c r="F39">
        <f t="shared" si="8"/>
        <v>72</v>
      </c>
      <c r="G39">
        <v>3</v>
      </c>
      <c r="H39" s="3">
        <v>45307.463194386597</v>
      </c>
      <c r="I39" s="3">
        <v>45310.468055555597</v>
      </c>
      <c r="J39">
        <f t="shared" si="1"/>
        <v>72.117000000000004</v>
      </c>
      <c r="K39">
        <f t="shared" si="2"/>
        <v>3.0049999999999999</v>
      </c>
      <c r="L39">
        <v>21.62</v>
      </c>
      <c r="M39">
        <v>15.47</v>
      </c>
      <c r="N39">
        <v>9.7100000000000009</v>
      </c>
      <c r="O39">
        <v>0.44169999999999998</v>
      </c>
      <c r="P39">
        <v>7.8299999999999995E-2</v>
      </c>
      <c r="Q39">
        <v>30</v>
      </c>
      <c r="R39">
        <v>15.3623596130717</v>
      </c>
      <c r="S39">
        <v>26.021575202741399</v>
      </c>
      <c r="T39">
        <f t="shared" si="6"/>
        <v>5.8859615375753647</v>
      </c>
      <c r="U39">
        <f t="shared" si="7"/>
        <v>9.969952184958391</v>
      </c>
      <c r="V39">
        <f t="shared" si="5"/>
        <v>1.2590943165881872</v>
      </c>
      <c r="W39">
        <v>1</v>
      </c>
    </row>
    <row r="40" spans="1:23" x14ac:dyDescent="0.35">
      <c r="A40" t="s">
        <v>548</v>
      </c>
      <c r="B40" t="s">
        <v>57</v>
      </c>
      <c r="C40">
        <v>7</v>
      </c>
      <c r="D40">
        <v>2</v>
      </c>
      <c r="E40">
        <v>1</v>
      </c>
      <c r="F40">
        <f t="shared" si="8"/>
        <v>72</v>
      </c>
      <c r="G40">
        <v>3</v>
      </c>
      <c r="H40" s="3">
        <v>45307.463194386597</v>
      </c>
      <c r="I40" s="3">
        <v>45310.468055497702</v>
      </c>
      <c r="J40">
        <f t="shared" si="1"/>
        <v>72.117000000000004</v>
      </c>
      <c r="K40">
        <f t="shared" si="2"/>
        <v>3.0049999999999999</v>
      </c>
      <c r="L40">
        <v>22.09</v>
      </c>
      <c r="M40">
        <v>15.63</v>
      </c>
      <c r="N40">
        <v>9.74</v>
      </c>
      <c r="O40">
        <v>0.4748</v>
      </c>
      <c r="P40">
        <v>8.72E-2</v>
      </c>
      <c r="Q40">
        <v>30</v>
      </c>
      <c r="R40">
        <v>15.779924010146599</v>
      </c>
      <c r="S40">
        <v>30.3610425253976</v>
      </c>
      <c r="T40">
        <f t="shared" si="6"/>
        <v>5.4288729392706188</v>
      </c>
      <c r="U40">
        <f t="shared" si="7"/>
        <v>10.445312795434955</v>
      </c>
      <c r="V40">
        <f t="shared" si="5"/>
        <v>1.5465684076554649</v>
      </c>
      <c r="W40">
        <v>1</v>
      </c>
    </row>
    <row r="41" spans="1:23" x14ac:dyDescent="0.35">
      <c r="A41" t="s">
        <v>548</v>
      </c>
      <c r="B41" t="s">
        <v>58</v>
      </c>
      <c r="C41">
        <v>7</v>
      </c>
      <c r="D41">
        <v>2</v>
      </c>
      <c r="E41">
        <v>2</v>
      </c>
      <c r="F41">
        <f t="shared" si="8"/>
        <v>72</v>
      </c>
      <c r="G41">
        <v>3</v>
      </c>
      <c r="H41" s="3">
        <v>45307.463194386597</v>
      </c>
      <c r="I41" s="3">
        <v>45310.468055497702</v>
      </c>
      <c r="J41">
        <f t="shared" si="1"/>
        <v>72.117000000000004</v>
      </c>
      <c r="K41">
        <f t="shared" si="2"/>
        <v>3.0049999999999999</v>
      </c>
      <c r="L41">
        <v>23.2</v>
      </c>
      <c r="M41">
        <v>16.63</v>
      </c>
      <c r="N41">
        <v>9.52</v>
      </c>
      <c r="O41">
        <v>0.42080000000000001</v>
      </c>
      <c r="P41">
        <v>7.3499999999999996E-2</v>
      </c>
      <c r="Q41">
        <v>30</v>
      </c>
      <c r="R41">
        <v>14.1158006420315</v>
      </c>
      <c r="S41">
        <v>25.695594329602901</v>
      </c>
      <c r="T41">
        <f t="shared" si="6"/>
        <v>5.7615512824618378</v>
      </c>
      <c r="U41">
        <f t="shared" si="7"/>
        <v>10.487997685552205</v>
      </c>
      <c r="V41">
        <f t="shared" si="5"/>
        <v>1.4571634260727604</v>
      </c>
      <c r="W41">
        <v>1</v>
      </c>
    </row>
    <row r="42" spans="1:23" x14ac:dyDescent="0.35">
      <c r="A42" t="s">
        <v>548</v>
      </c>
      <c r="B42" t="s">
        <v>59</v>
      </c>
      <c r="C42">
        <v>7</v>
      </c>
      <c r="D42">
        <v>3</v>
      </c>
      <c r="E42">
        <v>1</v>
      </c>
      <c r="F42">
        <f t="shared" si="8"/>
        <v>72</v>
      </c>
      <c r="G42">
        <v>3</v>
      </c>
      <c r="H42" s="3">
        <v>45307.463194386597</v>
      </c>
      <c r="I42" s="3">
        <v>45310.468055497702</v>
      </c>
      <c r="J42">
        <f t="shared" si="1"/>
        <v>72.117000000000004</v>
      </c>
      <c r="K42">
        <f t="shared" si="2"/>
        <v>3.0049999999999999</v>
      </c>
      <c r="L42">
        <v>22.35</v>
      </c>
      <c r="M42">
        <v>15.21</v>
      </c>
      <c r="N42">
        <v>9.07</v>
      </c>
      <c r="O42">
        <v>0.43690000000000001</v>
      </c>
      <c r="P42">
        <v>7.6300000000000007E-2</v>
      </c>
      <c r="Q42">
        <v>30</v>
      </c>
      <c r="R42">
        <v>16.4738138597919</v>
      </c>
      <c r="S42">
        <v>25.840548678264</v>
      </c>
      <c r="T42">
        <f t="shared" si="6"/>
        <v>6.4772531558814803</v>
      </c>
      <c r="U42">
        <f t="shared" si="7"/>
        <v>10.160110882672608</v>
      </c>
      <c r="V42">
        <f t="shared" si="5"/>
        <v>1.1354250371697048</v>
      </c>
      <c r="W42">
        <v>1</v>
      </c>
    </row>
    <row r="43" spans="1:23" x14ac:dyDescent="0.35">
      <c r="A43" t="s">
        <v>548</v>
      </c>
      <c r="B43" t="s">
        <v>60</v>
      </c>
      <c r="C43">
        <v>7</v>
      </c>
      <c r="D43">
        <v>3</v>
      </c>
      <c r="E43">
        <v>2</v>
      </c>
      <c r="F43">
        <f t="shared" si="8"/>
        <v>72</v>
      </c>
      <c r="G43">
        <v>3</v>
      </c>
      <c r="H43" s="3">
        <v>45307.463194386597</v>
      </c>
      <c r="I43" s="3">
        <v>45310.468055497702</v>
      </c>
      <c r="J43">
        <f t="shared" si="1"/>
        <v>72.117000000000004</v>
      </c>
      <c r="K43">
        <f t="shared" si="2"/>
        <v>3.0049999999999999</v>
      </c>
      <c r="L43">
        <v>20.149999999999999</v>
      </c>
      <c r="M43">
        <v>14.91</v>
      </c>
      <c r="N43">
        <v>9.2799999999999994</v>
      </c>
      <c r="O43">
        <v>0.39300000000000002</v>
      </c>
      <c r="P43">
        <v>7.8799999999999995E-2</v>
      </c>
      <c r="Q43">
        <v>30</v>
      </c>
      <c r="R43">
        <v>15.457424310264599</v>
      </c>
      <c r="S43">
        <v>38.060522330834601</v>
      </c>
      <c r="T43">
        <f t="shared" si="6"/>
        <v>5.8848062094915994</v>
      </c>
      <c r="U43">
        <f t="shared" si="7"/>
        <v>14.490046572652769</v>
      </c>
      <c r="V43">
        <f t="shared" si="5"/>
        <v>2.6529956039625886</v>
      </c>
      <c r="W43">
        <v>1</v>
      </c>
    </row>
    <row r="44" spans="1:23" x14ac:dyDescent="0.35">
      <c r="A44" t="s">
        <v>548</v>
      </c>
      <c r="B44" t="s">
        <v>61</v>
      </c>
      <c r="C44">
        <v>8</v>
      </c>
      <c r="D44">
        <v>1</v>
      </c>
      <c r="E44">
        <v>1</v>
      </c>
      <c r="F44">
        <f t="shared" si="8"/>
        <v>96</v>
      </c>
      <c r="G44">
        <v>4</v>
      </c>
      <c r="H44" s="3">
        <v>45307.463194386597</v>
      </c>
      <c r="I44" s="3">
        <v>45311.46875</v>
      </c>
      <c r="J44">
        <f t="shared" si="1"/>
        <v>96.132999999999996</v>
      </c>
      <c r="K44">
        <f t="shared" si="2"/>
        <v>4.0060000000000002</v>
      </c>
      <c r="L44">
        <v>22.82</v>
      </c>
      <c r="M44">
        <v>16.53</v>
      </c>
      <c r="N44">
        <v>10.37</v>
      </c>
      <c r="O44">
        <v>0.52590000000000003</v>
      </c>
      <c r="P44">
        <v>9.9599999999999994E-2</v>
      </c>
      <c r="Q44">
        <v>30</v>
      </c>
      <c r="R44">
        <v>15.237356455197</v>
      </c>
      <c r="S44">
        <v>26.824608387410201</v>
      </c>
      <c r="T44">
        <f t="shared" si="6"/>
        <v>4.5895651973484943</v>
      </c>
      <c r="U44">
        <f t="shared" si="7"/>
        <v>8.0797013215090967</v>
      </c>
      <c r="V44">
        <f t="shared" si="5"/>
        <v>1.0760089670787139</v>
      </c>
      <c r="W44">
        <v>1</v>
      </c>
    </row>
    <row r="45" spans="1:23" x14ac:dyDescent="0.35">
      <c r="A45" t="s">
        <v>548</v>
      </c>
      <c r="B45" t="s">
        <v>62</v>
      </c>
      <c r="C45">
        <v>8</v>
      </c>
      <c r="D45">
        <v>1</v>
      </c>
      <c r="E45">
        <v>2</v>
      </c>
      <c r="F45">
        <f t="shared" si="8"/>
        <v>96</v>
      </c>
      <c r="G45">
        <v>4</v>
      </c>
      <c r="H45" s="3">
        <v>45307.463194386597</v>
      </c>
      <c r="I45" s="3">
        <v>45311.46875</v>
      </c>
      <c r="J45">
        <f t="shared" si="1"/>
        <v>96.132999999999996</v>
      </c>
      <c r="K45">
        <f t="shared" si="2"/>
        <v>4.0060000000000002</v>
      </c>
      <c r="L45">
        <v>21.76</v>
      </c>
      <c r="M45">
        <v>15.28</v>
      </c>
      <c r="N45">
        <v>8.91</v>
      </c>
      <c r="O45">
        <v>0.32950000000000002</v>
      </c>
      <c r="P45">
        <v>5.9700000000000003E-2</v>
      </c>
      <c r="Q45">
        <v>30</v>
      </c>
      <c r="R45">
        <v>11.0755708495963</v>
      </c>
      <c r="S45">
        <v>19.239261491448602</v>
      </c>
      <c r="T45">
        <f t="shared" si="6"/>
        <v>5.5656134922594473</v>
      </c>
      <c r="U45">
        <f t="shared" si="7"/>
        <v>9.6679705987178917</v>
      </c>
      <c r="V45">
        <f t="shared" si="5"/>
        <v>1.2647566959211385</v>
      </c>
      <c r="W45">
        <v>1</v>
      </c>
    </row>
    <row r="46" spans="1:23" x14ac:dyDescent="0.35">
      <c r="A46" t="s">
        <v>548</v>
      </c>
      <c r="B46" t="s">
        <v>63</v>
      </c>
      <c r="C46">
        <v>8</v>
      </c>
      <c r="D46">
        <v>2</v>
      </c>
      <c r="E46">
        <v>1</v>
      </c>
      <c r="F46">
        <f t="shared" si="8"/>
        <v>96</v>
      </c>
      <c r="G46">
        <v>4</v>
      </c>
      <c r="H46" s="3">
        <v>45307.463194386597</v>
      </c>
      <c r="I46" s="3">
        <v>45311.46875</v>
      </c>
      <c r="J46">
        <f t="shared" si="1"/>
        <v>96.132999999999996</v>
      </c>
      <c r="K46">
        <f t="shared" si="2"/>
        <v>4.0060000000000002</v>
      </c>
      <c r="L46">
        <v>23.74</v>
      </c>
      <c r="M46">
        <v>16.149999999999999</v>
      </c>
      <c r="N46">
        <v>9.9600000000000009</v>
      </c>
      <c r="O46">
        <v>0.4572</v>
      </c>
      <c r="P46">
        <v>8.1100000000000005E-2</v>
      </c>
      <c r="Q46">
        <v>30</v>
      </c>
      <c r="R46">
        <v>25.045324502099799</v>
      </c>
      <c r="S46">
        <v>33.683288840420602</v>
      </c>
      <c r="T46">
        <f t="shared" si="6"/>
        <v>9.2646083238346968</v>
      </c>
      <c r="U46">
        <f t="shared" si="7"/>
        <v>12.459909558725252</v>
      </c>
      <c r="V46">
        <f t="shared" si="5"/>
        <v>0.98511137071675836</v>
      </c>
      <c r="W46">
        <v>1</v>
      </c>
    </row>
    <row r="47" spans="1:23" x14ac:dyDescent="0.35">
      <c r="A47" t="s">
        <v>548</v>
      </c>
      <c r="B47" t="s">
        <v>64</v>
      </c>
      <c r="C47">
        <v>8</v>
      </c>
      <c r="D47">
        <v>2</v>
      </c>
      <c r="E47">
        <v>2</v>
      </c>
      <c r="F47">
        <f t="shared" si="8"/>
        <v>96</v>
      </c>
      <c r="G47">
        <v>4</v>
      </c>
      <c r="H47" s="3">
        <v>45307.463194386597</v>
      </c>
      <c r="I47" s="3">
        <v>45311.46875</v>
      </c>
      <c r="J47">
        <f t="shared" si="1"/>
        <v>96.132999999999996</v>
      </c>
      <c r="K47">
        <f t="shared" si="2"/>
        <v>4.0060000000000002</v>
      </c>
      <c r="L47">
        <v>21.75</v>
      </c>
      <c r="M47">
        <v>16.21</v>
      </c>
      <c r="N47">
        <v>9.65</v>
      </c>
      <c r="O47">
        <v>0.39779999999999999</v>
      </c>
      <c r="P47">
        <v>6.8599999999999994E-2</v>
      </c>
      <c r="Q47">
        <v>30</v>
      </c>
      <c r="R47">
        <v>20.030146644364901</v>
      </c>
      <c r="S47">
        <v>38.164179284474699</v>
      </c>
      <c r="T47">
        <f t="shared" si="6"/>
        <v>8.7595393488476265</v>
      </c>
      <c r="U47">
        <f t="shared" si="7"/>
        <v>16.689874322656575</v>
      </c>
      <c r="V47">
        <f t="shared" si="5"/>
        <v>2.4449222724252988</v>
      </c>
      <c r="W47">
        <v>1</v>
      </c>
    </row>
    <row r="48" spans="1:23" x14ac:dyDescent="0.35">
      <c r="A48" t="s">
        <v>548</v>
      </c>
      <c r="B48" t="s">
        <v>65</v>
      </c>
      <c r="C48">
        <v>8</v>
      </c>
      <c r="D48">
        <v>3</v>
      </c>
      <c r="E48">
        <v>1</v>
      </c>
      <c r="F48">
        <f t="shared" si="8"/>
        <v>96</v>
      </c>
      <c r="G48">
        <v>4</v>
      </c>
      <c r="H48" s="3">
        <v>45307.463194386597</v>
      </c>
      <c r="I48" s="3">
        <v>45311.46875</v>
      </c>
      <c r="J48">
        <f t="shared" si="1"/>
        <v>96.132999999999996</v>
      </c>
      <c r="K48">
        <f t="shared" si="2"/>
        <v>4.0060000000000002</v>
      </c>
      <c r="L48">
        <v>22.37</v>
      </c>
      <c r="M48">
        <v>16.170000000000002</v>
      </c>
      <c r="N48">
        <v>9.85</v>
      </c>
      <c r="O48">
        <v>0.45100000000000001</v>
      </c>
      <c r="P48">
        <v>7.6399999999999996E-2</v>
      </c>
      <c r="Q48">
        <v>30</v>
      </c>
      <c r="R48">
        <v>17.535010374530199</v>
      </c>
      <c r="S48">
        <v>31.541414959329298</v>
      </c>
      <c r="T48">
        <f t="shared" si="6"/>
        <v>6.8854752779568846</v>
      </c>
      <c r="U48">
        <f t="shared" si="7"/>
        <v>12.385372366228783</v>
      </c>
      <c r="V48">
        <f t="shared" si="5"/>
        <v>1.6956182723142263</v>
      </c>
      <c r="W48">
        <v>1</v>
      </c>
    </row>
    <row r="49" spans="1:23" x14ac:dyDescent="0.35">
      <c r="A49" t="s">
        <v>548</v>
      </c>
      <c r="B49" t="s">
        <v>66</v>
      </c>
      <c r="C49">
        <v>8</v>
      </c>
      <c r="D49">
        <v>3</v>
      </c>
      <c r="E49">
        <v>2</v>
      </c>
      <c r="F49">
        <f t="shared" si="8"/>
        <v>96</v>
      </c>
      <c r="G49">
        <v>4</v>
      </c>
      <c r="H49" s="3">
        <v>45307.463194386597</v>
      </c>
      <c r="I49" s="3">
        <v>45311.46875</v>
      </c>
      <c r="J49">
        <f t="shared" si="1"/>
        <v>96.132999999999996</v>
      </c>
      <c r="K49">
        <f t="shared" si="2"/>
        <v>4.0060000000000002</v>
      </c>
      <c r="L49">
        <v>20.39</v>
      </c>
      <c r="M49">
        <v>15.87</v>
      </c>
      <c r="N49">
        <v>9.15</v>
      </c>
      <c r="O49">
        <v>0.379</v>
      </c>
      <c r="P49">
        <v>6.6500000000000004E-2</v>
      </c>
      <c r="Q49">
        <v>30</v>
      </c>
      <c r="R49">
        <v>15.375998939635499</v>
      </c>
      <c r="S49">
        <v>23.327305349161499</v>
      </c>
      <c r="T49">
        <f t="shared" si="6"/>
        <v>6.9365408750235327</v>
      </c>
      <c r="U49">
        <f t="shared" si="7"/>
        <v>10.523596398117968</v>
      </c>
      <c r="V49">
        <f t="shared" si="5"/>
        <v>1.1058892177700146</v>
      </c>
      <c r="W49">
        <v>1</v>
      </c>
    </row>
    <row r="50" spans="1:23" x14ac:dyDescent="0.35">
      <c r="A50" t="s">
        <v>548</v>
      </c>
      <c r="B50" t="s">
        <v>67</v>
      </c>
      <c r="C50">
        <v>9</v>
      </c>
      <c r="D50">
        <v>1</v>
      </c>
      <c r="E50">
        <v>1</v>
      </c>
      <c r="F50">
        <f t="shared" si="8"/>
        <v>144</v>
      </c>
      <c r="G50">
        <v>6</v>
      </c>
      <c r="H50" s="3">
        <v>45307.463194386597</v>
      </c>
      <c r="I50" s="3">
        <v>45313.481249999997</v>
      </c>
      <c r="J50">
        <f t="shared" si="1"/>
        <v>144.43299999999999</v>
      </c>
      <c r="K50">
        <f t="shared" si="2"/>
        <v>6.0179999999999998</v>
      </c>
      <c r="L50">
        <v>21.26</v>
      </c>
      <c r="M50">
        <v>15.27</v>
      </c>
      <c r="N50">
        <v>9.1300000000000008</v>
      </c>
      <c r="O50">
        <v>0.40360000000000001</v>
      </c>
      <c r="P50">
        <v>7.4499999999999997E-2</v>
      </c>
      <c r="Q50">
        <v>30</v>
      </c>
      <c r="R50">
        <v>16.348570383873501</v>
      </c>
      <c r="S50">
        <v>25.1729268588685</v>
      </c>
      <c r="T50">
        <f t="shared" ref="T50:T79" si="9">R50*Q50/1000/P50</f>
        <v>6.5833169331034238</v>
      </c>
      <c r="U50">
        <f t="shared" ref="U50:U79" si="10">S50*Q50/1000/P50</f>
        <v>10.136749070685303</v>
      </c>
      <c r="V50">
        <f t="shared" si="5"/>
        <v>1.0955231280164934</v>
      </c>
      <c r="W50">
        <v>1</v>
      </c>
    </row>
    <row r="51" spans="1:23" x14ac:dyDescent="0.35">
      <c r="A51" t="s">
        <v>548</v>
      </c>
      <c r="B51" t="s">
        <v>68</v>
      </c>
      <c r="C51">
        <v>9</v>
      </c>
      <c r="D51">
        <v>1</v>
      </c>
      <c r="E51">
        <v>2</v>
      </c>
      <c r="F51">
        <f t="shared" si="8"/>
        <v>144</v>
      </c>
      <c r="G51">
        <v>6</v>
      </c>
      <c r="H51" s="3">
        <v>45307.463194386597</v>
      </c>
      <c r="I51" s="3">
        <v>45313.481249999997</v>
      </c>
      <c r="J51">
        <f t="shared" si="1"/>
        <v>144.43299999999999</v>
      </c>
      <c r="K51">
        <f t="shared" si="2"/>
        <v>6.0179999999999998</v>
      </c>
      <c r="L51">
        <v>20.13</v>
      </c>
      <c r="M51">
        <v>14.57</v>
      </c>
      <c r="N51">
        <v>9.1300000000000008</v>
      </c>
      <c r="O51">
        <v>0.32650000000000001</v>
      </c>
      <c r="P51">
        <v>5.7099999999999998E-2</v>
      </c>
      <c r="Q51">
        <v>30</v>
      </c>
      <c r="R51">
        <v>11.6001210604952</v>
      </c>
      <c r="S51">
        <v>21.082902678551299</v>
      </c>
      <c r="T51">
        <f t="shared" si="9"/>
        <v>6.094634532659474</v>
      </c>
      <c r="U51">
        <f t="shared" si="10"/>
        <v>11.076831529886848</v>
      </c>
      <c r="V51">
        <f t="shared" si="5"/>
        <v>1.5360113342451993</v>
      </c>
      <c r="W51">
        <v>1</v>
      </c>
    </row>
    <row r="52" spans="1:23" x14ac:dyDescent="0.35">
      <c r="A52" t="s">
        <v>548</v>
      </c>
      <c r="B52" t="s">
        <v>69</v>
      </c>
      <c r="C52">
        <v>9</v>
      </c>
      <c r="D52">
        <v>2</v>
      </c>
      <c r="E52">
        <v>1</v>
      </c>
      <c r="F52">
        <f t="shared" si="8"/>
        <v>144</v>
      </c>
      <c r="G52">
        <v>6</v>
      </c>
      <c r="H52" s="3">
        <v>45307.463194386597</v>
      </c>
      <c r="I52" s="3">
        <v>45313.481249942102</v>
      </c>
      <c r="J52">
        <f t="shared" si="1"/>
        <v>144.43299999999999</v>
      </c>
      <c r="K52">
        <f t="shared" si="2"/>
        <v>6.0179999999999998</v>
      </c>
      <c r="L52">
        <v>24.44</v>
      </c>
      <c r="M52">
        <v>17.690000000000001</v>
      </c>
      <c r="N52">
        <v>10.72</v>
      </c>
      <c r="O52">
        <v>0.6</v>
      </c>
      <c r="P52">
        <v>0.1113</v>
      </c>
      <c r="Q52">
        <v>30</v>
      </c>
      <c r="R52">
        <v>19.188946437191799</v>
      </c>
      <c r="S52">
        <v>31.528339286987599</v>
      </c>
      <c r="T52">
        <f t="shared" si="9"/>
        <v>5.1722227593508885</v>
      </c>
      <c r="U52">
        <f t="shared" si="10"/>
        <v>8.4982046595653902</v>
      </c>
      <c r="V52">
        <f t="shared" si="5"/>
        <v>1.0254002198361309</v>
      </c>
      <c r="W52">
        <v>1</v>
      </c>
    </row>
    <row r="53" spans="1:23" x14ac:dyDescent="0.35">
      <c r="A53" t="s">
        <v>548</v>
      </c>
      <c r="B53" t="s">
        <v>70</v>
      </c>
      <c r="C53">
        <v>9</v>
      </c>
      <c r="D53">
        <v>2</v>
      </c>
      <c r="E53">
        <v>2</v>
      </c>
      <c r="F53">
        <f t="shared" si="8"/>
        <v>144</v>
      </c>
      <c r="G53">
        <v>6</v>
      </c>
      <c r="H53" s="3">
        <v>45307.463194386597</v>
      </c>
      <c r="I53" s="3">
        <v>45313.481249942102</v>
      </c>
      <c r="J53">
        <f t="shared" si="1"/>
        <v>144.43299999999999</v>
      </c>
      <c r="K53">
        <f t="shared" si="2"/>
        <v>6.0179999999999998</v>
      </c>
      <c r="L53">
        <v>20.21</v>
      </c>
      <c r="M53">
        <v>14.25</v>
      </c>
      <c r="N53">
        <v>9.0399999999999991</v>
      </c>
      <c r="O53">
        <v>0.32929999999999998</v>
      </c>
      <c r="P53">
        <v>6.0600000000000001E-2</v>
      </c>
      <c r="Q53">
        <v>30</v>
      </c>
      <c r="R53">
        <v>13.247439392990501</v>
      </c>
      <c r="S53">
        <v>22.4127376147154</v>
      </c>
      <c r="T53">
        <f t="shared" si="9"/>
        <v>6.558138313361634</v>
      </c>
      <c r="U53">
        <f t="shared" si="10"/>
        <v>11.095414660750198</v>
      </c>
      <c r="V53">
        <f t="shared" si="5"/>
        <v>1.3988422978998942</v>
      </c>
      <c r="W53">
        <v>1</v>
      </c>
    </row>
    <row r="54" spans="1:23" x14ac:dyDescent="0.35">
      <c r="A54" t="s">
        <v>548</v>
      </c>
      <c r="B54" t="s">
        <v>71</v>
      </c>
      <c r="C54">
        <v>9</v>
      </c>
      <c r="D54">
        <v>3</v>
      </c>
      <c r="E54">
        <v>1</v>
      </c>
      <c r="F54">
        <f t="shared" si="8"/>
        <v>144</v>
      </c>
      <c r="G54">
        <v>6</v>
      </c>
      <c r="H54" s="3">
        <v>45307.463194386597</v>
      </c>
      <c r="I54" s="3">
        <v>45313.481249942102</v>
      </c>
      <c r="J54">
        <f t="shared" si="1"/>
        <v>144.43299999999999</v>
      </c>
      <c r="K54">
        <f t="shared" si="2"/>
        <v>6.0179999999999998</v>
      </c>
      <c r="L54">
        <v>22.85</v>
      </c>
      <c r="M54">
        <v>16.010000000000002</v>
      </c>
      <c r="N54">
        <v>9.81</v>
      </c>
      <c r="O54">
        <v>0.45500000000000002</v>
      </c>
      <c r="P54">
        <v>8.0500000000000002E-2</v>
      </c>
      <c r="Q54">
        <v>30</v>
      </c>
      <c r="R54">
        <v>16.597055735841799</v>
      </c>
      <c r="S54">
        <v>30.953629990659401</v>
      </c>
      <c r="T54">
        <f t="shared" si="9"/>
        <v>6.1852381624255157</v>
      </c>
      <c r="U54">
        <f t="shared" si="10"/>
        <v>11.535514282233317</v>
      </c>
      <c r="V54">
        <f t="shared" si="5"/>
        <v>1.6494901277367451</v>
      </c>
      <c r="W54">
        <v>1</v>
      </c>
    </row>
    <row r="55" spans="1:23" x14ac:dyDescent="0.35">
      <c r="A55" t="s">
        <v>548</v>
      </c>
      <c r="B55" t="s">
        <v>72</v>
      </c>
      <c r="C55">
        <v>9</v>
      </c>
      <c r="D55">
        <v>3</v>
      </c>
      <c r="E55">
        <v>2</v>
      </c>
      <c r="F55">
        <f t="shared" si="8"/>
        <v>144</v>
      </c>
      <c r="G55">
        <v>6</v>
      </c>
      <c r="H55" s="3">
        <v>45307.463194386597</v>
      </c>
      <c r="I55" s="3">
        <v>45313.481249942102</v>
      </c>
      <c r="J55">
        <f t="shared" si="1"/>
        <v>144.43299999999999</v>
      </c>
      <c r="K55">
        <f t="shared" si="2"/>
        <v>6.0179999999999998</v>
      </c>
      <c r="L55">
        <v>21.55</v>
      </c>
      <c r="M55">
        <v>15.35</v>
      </c>
      <c r="N55">
        <v>8.6300000000000008</v>
      </c>
      <c r="O55">
        <v>0.39500000000000002</v>
      </c>
      <c r="P55">
        <v>7.6600000000000001E-2</v>
      </c>
      <c r="Q55">
        <v>30</v>
      </c>
      <c r="R55">
        <v>14.3185531379486</v>
      </c>
      <c r="S55">
        <v>25.929436820012899</v>
      </c>
      <c r="T55">
        <f t="shared" si="9"/>
        <v>5.6077884352279108</v>
      </c>
      <c r="U55">
        <f t="shared" si="10"/>
        <v>10.155131913843173</v>
      </c>
      <c r="V55">
        <f t="shared" si="5"/>
        <v>1.4019459944570853</v>
      </c>
      <c r="W55">
        <v>1</v>
      </c>
    </row>
    <row r="56" spans="1:23" x14ac:dyDescent="0.35">
      <c r="A56" t="s">
        <v>548</v>
      </c>
      <c r="B56" t="s">
        <v>73</v>
      </c>
      <c r="C56">
        <v>10</v>
      </c>
      <c r="D56">
        <v>1</v>
      </c>
      <c r="E56">
        <v>1</v>
      </c>
      <c r="F56">
        <f t="shared" ref="F56:F61" si="11">G56*24</f>
        <v>216</v>
      </c>
      <c r="G56">
        <v>9</v>
      </c>
      <c r="H56" s="3">
        <v>45307.463194386597</v>
      </c>
      <c r="I56" s="3">
        <v>45316.595833333296</v>
      </c>
      <c r="J56">
        <f t="shared" si="1"/>
        <v>219.18299999999999</v>
      </c>
      <c r="K56">
        <f t="shared" si="2"/>
        <v>9.1329999999999991</v>
      </c>
      <c r="L56">
        <v>21.34</v>
      </c>
      <c r="M56">
        <v>15.05</v>
      </c>
      <c r="N56">
        <v>9.57</v>
      </c>
      <c r="O56">
        <v>0.38059999999999999</v>
      </c>
      <c r="P56">
        <v>7.3400000000000007E-2</v>
      </c>
      <c r="Q56">
        <v>30</v>
      </c>
      <c r="R56">
        <v>12.3601791597681</v>
      </c>
      <c r="S56">
        <v>19.7657773227672</v>
      </c>
      <c r="T56">
        <f t="shared" si="9"/>
        <v>5.051844343229468</v>
      </c>
      <c r="U56">
        <f t="shared" si="10"/>
        <v>8.0786555815124785</v>
      </c>
      <c r="V56">
        <f t="shared" si="5"/>
        <v>0.93316590476265227</v>
      </c>
      <c r="W56">
        <v>1</v>
      </c>
    </row>
    <row r="57" spans="1:23" x14ac:dyDescent="0.35">
      <c r="A57" t="s">
        <v>548</v>
      </c>
      <c r="B57" t="s">
        <v>74</v>
      </c>
      <c r="C57">
        <v>10</v>
      </c>
      <c r="D57">
        <v>1</v>
      </c>
      <c r="E57">
        <v>2</v>
      </c>
      <c r="F57">
        <f t="shared" si="11"/>
        <v>216</v>
      </c>
      <c r="G57">
        <v>9</v>
      </c>
      <c r="H57" s="3">
        <v>45307.463194386597</v>
      </c>
      <c r="I57" s="3">
        <v>45316.595833333296</v>
      </c>
      <c r="J57">
        <f t="shared" si="1"/>
        <v>219.18299999999999</v>
      </c>
      <c r="K57">
        <f t="shared" si="2"/>
        <v>9.1329999999999991</v>
      </c>
      <c r="L57">
        <v>22.82</v>
      </c>
      <c r="M57">
        <v>15.22</v>
      </c>
      <c r="N57">
        <v>9.14</v>
      </c>
      <c r="O57">
        <v>0.47189999999999999</v>
      </c>
      <c r="P57">
        <v>9.5600000000000004E-2</v>
      </c>
      <c r="Q57">
        <v>30</v>
      </c>
      <c r="R57">
        <v>19.5569963654494</v>
      </c>
      <c r="S57">
        <v>29.6009327592744</v>
      </c>
      <c r="T57">
        <f t="shared" si="9"/>
        <v>6.1371327506640379</v>
      </c>
      <c r="U57">
        <f t="shared" si="10"/>
        <v>9.2889956357555636</v>
      </c>
      <c r="V57">
        <f t="shared" si="5"/>
        <v>0.97171932747371748</v>
      </c>
      <c r="W57">
        <v>1</v>
      </c>
    </row>
    <row r="58" spans="1:23" x14ac:dyDescent="0.35">
      <c r="A58" t="s">
        <v>548</v>
      </c>
      <c r="B58" t="s">
        <v>75</v>
      </c>
      <c r="C58">
        <v>10</v>
      </c>
      <c r="D58">
        <v>2</v>
      </c>
      <c r="E58">
        <v>1</v>
      </c>
      <c r="F58">
        <f t="shared" si="11"/>
        <v>216</v>
      </c>
      <c r="G58">
        <v>9</v>
      </c>
      <c r="H58" s="3">
        <v>45307.463194386597</v>
      </c>
      <c r="I58" s="3">
        <v>45316.595833275504</v>
      </c>
      <c r="J58">
        <f t="shared" si="1"/>
        <v>219.18299999999999</v>
      </c>
      <c r="K58">
        <f t="shared" si="2"/>
        <v>9.1329999999999991</v>
      </c>
      <c r="L58">
        <v>21.1</v>
      </c>
      <c r="M58">
        <v>15</v>
      </c>
      <c r="N58">
        <v>8.9700000000000006</v>
      </c>
      <c r="O58">
        <v>0.27039999999999997</v>
      </c>
      <c r="P58">
        <v>4.8399999999999999E-2</v>
      </c>
      <c r="Q58">
        <v>30</v>
      </c>
      <c r="R58">
        <v>10.3215820004883</v>
      </c>
      <c r="S58">
        <v>20.184725109680301</v>
      </c>
      <c r="T58">
        <f t="shared" si="9"/>
        <v>6.3976747936910963</v>
      </c>
      <c r="U58">
        <f t="shared" si="10"/>
        <v>12.51119324980184</v>
      </c>
      <c r="V58">
        <f t="shared" si="5"/>
        <v>1.8847977400189424</v>
      </c>
      <c r="W58">
        <v>1</v>
      </c>
    </row>
    <row r="59" spans="1:23" x14ac:dyDescent="0.35">
      <c r="A59" t="s">
        <v>548</v>
      </c>
      <c r="B59" t="s">
        <v>76</v>
      </c>
      <c r="C59">
        <v>10</v>
      </c>
      <c r="D59">
        <v>2</v>
      </c>
      <c r="E59">
        <v>2</v>
      </c>
      <c r="F59">
        <f t="shared" si="11"/>
        <v>216</v>
      </c>
      <c r="G59">
        <v>9</v>
      </c>
      <c r="H59" s="3">
        <v>45307.463194386597</v>
      </c>
      <c r="I59" s="3">
        <v>45316.595833275504</v>
      </c>
      <c r="J59">
        <f t="shared" si="1"/>
        <v>219.18299999999999</v>
      </c>
      <c r="K59">
        <f t="shared" si="2"/>
        <v>9.1329999999999991</v>
      </c>
      <c r="L59">
        <v>25.52</v>
      </c>
      <c r="M59">
        <v>17.71</v>
      </c>
      <c r="N59">
        <v>11.21</v>
      </c>
      <c r="O59">
        <v>0.62939999999999996</v>
      </c>
      <c r="P59">
        <v>0.1062</v>
      </c>
      <c r="Q59">
        <v>30</v>
      </c>
      <c r="R59">
        <v>20.132456585301501</v>
      </c>
      <c r="S59">
        <v>36.6133883933242</v>
      </c>
      <c r="T59">
        <f t="shared" si="9"/>
        <v>5.687134628616243</v>
      </c>
      <c r="U59">
        <f t="shared" si="10"/>
        <v>10.342765082859945</v>
      </c>
      <c r="V59">
        <f t="shared" si="5"/>
        <v>1.4353308690433333</v>
      </c>
      <c r="W59">
        <v>1</v>
      </c>
    </row>
    <row r="60" spans="1:23" x14ac:dyDescent="0.35">
      <c r="A60" t="s">
        <v>548</v>
      </c>
      <c r="B60" t="s">
        <v>77</v>
      </c>
      <c r="C60">
        <v>10</v>
      </c>
      <c r="D60">
        <v>3</v>
      </c>
      <c r="E60">
        <v>1</v>
      </c>
      <c r="F60">
        <f t="shared" si="11"/>
        <v>216</v>
      </c>
      <c r="G60">
        <v>9</v>
      </c>
      <c r="H60" s="3">
        <v>45307.463194386597</v>
      </c>
      <c r="I60" s="3">
        <v>45316.595833275504</v>
      </c>
      <c r="J60">
        <f t="shared" si="1"/>
        <v>219.18299999999999</v>
      </c>
      <c r="K60">
        <f t="shared" si="2"/>
        <v>9.1329999999999991</v>
      </c>
      <c r="L60">
        <v>25.53</v>
      </c>
      <c r="M60">
        <v>17.22</v>
      </c>
      <c r="N60">
        <v>10.17</v>
      </c>
      <c r="O60">
        <v>0.57079999999999997</v>
      </c>
      <c r="P60">
        <v>0.1116</v>
      </c>
      <c r="Q60">
        <v>30</v>
      </c>
      <c r="R60">
        <v>23.359891685527799</v>
      </c>
      <c r="S60">
        <v>39.150590342858202</v>
      </c>
      <c r="T60">
        <f t="shared" si="9"/>
        <v>6.2795407756795152</v>
      </c>
      <c r="U60">
        <f t="shared" si="10"/>
        <v>10.524352242703817</v>
      </c>
      <c r="V60">
        <f t="shared" si="5"/>
        <v>1.3086753752835922</v>
      </c>
      <c r="W60">
        <v>1</v>
      </c>
    </row>
    <row r="61" spans="1:23" x14ac:dyDescent="0.35">
      <c r="A61" t="s">
        <v>548</v>
      </c>
      <c r="B61" t="s">
        <v>78</v>
      </c>
      <c r="C61">
        <v>10</v>
      </c>
      <c r="D61">
        <v>3</v>
      </c>
      <c r="E61">
        <v>2</v>
      </c>
      <c r="F61">
        <f t="shared" si="11"/>
        <v>216</v>
      </c>
      <c r="G61">
        <v>9</v>
      </c>
      <c r="H61" s="3">
        <v>45307.463194386597</v>
      </c>
      <c r="I61" s="3">
        <v>45316.595833275504</v>
      </c>
      <c r="J61">
        <f t="shared" si="1"/>
        <v>219.18299999999999</v>
      </c>
      <c r="K61">
        <f t="shared" si="2"/>
        <v>9.1329999999999991</v>
      </c>
      <c r="L61">
        <v>21.87</v>
      </c>
      <c r="M61">
        <v>22.03</v>
      </c>
      <c r="N61">
        <v>9.92</v>
      </c>
      <c r="W61">
        <v>0</v>
      </c>
    </row>
    <row r="62" spans="1:23" x14ac:dyDescent="0.35">
      <c r="A62" t="s">
        <v>548</v>
      </c>
      <c r="B62" t="s">
        <v>80</v>
      </c>
      <c r="C62">
        <v>11</v>
      </c>
      <c r="D62">
        <v>1</v>
      </c>
      <c r="E62">
        <v>1</v>
      </c>
      <c r="F62">
        <f t="shared" ref="F62:F79" si="12">G62*24</f>
        <v>312</v>
      </c>
      <c r="G62">
        <v>13</v>
      </c>
      <c r="H62" s="3">
        <v>45307.463194386597</v>
      </c>
      <c r="I62" s="3">
        <v>45320.468055555597</v>
      </c>
      <c r="J62">
        <f t="shared" si="1"/>
        <v>312.11700000000002</v>
      </c>
      <c r="K62">
        <f t="shared" si="2"/>
        <v>13.005000000000001</v>
      </c>
      <c r="L62">
        <v>21.41</v>
      </c>
      <c r="M62">
        <v>16.09</v>
      </c>
      <c r="N62">
        <v>9.33</v>
      </c>
      <c r="O62">
        <v>0.3755</v>
      </c>
      <c r="P62">
        <v>6.8000000000000005E-2</v>
      </c>
      <c r="Q62">
        <v>30</v>
      </c>
      <c r="R62">
        <v>15.1663458515686</v>
      </c>
      <c r="S62">
        <v>23.922646891034098</v>
      </c>
      <c r="T62">
        <f t="shared" si="9"/>
        <v>6.6910349345155584</v>
      </c>
      <c r="U62">
        <f t="shared" si="10"/>
        <v>10.554108922515042</v>
      </c>
      <c r="V62">
        <f t="shared" si="5"/>
        <v>1.1909857105002406</v>
      </c>
      <c r="W62">
        <v>1</v>
      </c>
    </row>
    <row r="63" spans="1:23" x14ac:dyDescent="0.35">
      <c r="A63" t="s">
        <v>548</v>
      </c>
      <c r="B63" t="s">
        <v>81</v>
      </c>
      <c r="C63">
        <v>11</v>
      </c>
      <c r="D63">
        <v>1</v>
      </c>
      <c r="E63">
        <v>2</v>
      </c>
      <c r="F63">
        <f t="shared" si="12"/>
        <v>312</v>
      </c>
      <c r="G63">
        <v>13</v>
      </c>
      <c r="H63" s="3">
        <v>45307.463194386597</v>
      </c>
      <c r="I63" s="3">
        <v>45320.468055555597</v>
      </c>
      <c r="J63">
        <f t="shared" si="1"/>
        <v>312.11700000000002</v>
      </c>
      <c r="K63">
        <f t="shared" si="2"/>
        <v>13.005000000000001</v>
      </c>
      <c r="L63">
        <v>20.79</v>
      </c>
      <c r="M63">
        <v>14.35</v>
      </c>
      <c r="N63" s="2">
        <v>9.24</v>
      </c>
      <c r="O63">
        <v>0.32029999999999997</v>
      </c>
      <c r="P63">
        <v>6.0199999999999997E-2</v>
      </c>
      <c r="Q63">
        <v>30</v>
      </c>
      <c r="R63">
        <v>9.0574669320219492</v>
      </c>
      <c r="S63">
        <v>13.973404806388899</v>
      </c>
      <c r="T63">
        <f t="shared" si="9"/>
        <v>4.513687839878048</v>
      </c>
      <c r="U63">
        <f t="shared" si="10"/>
        <v>6.9634907673034387</v>
      </c>
      <c r="V63">
        <f t="shared" si="5"/>
        <v>0.755274242525248</v>
      </c>
      <c r="W63">
        <v>1</v>
      </c>
    </row>
    <row r="64" spans="1:23" x14ac:dyDescent="0.35">
      <c r="A64" t="s">
        <v>548</v>
      </c>
      <c r="B64" t="s">
        <v>82</v>
      </c>
      <c r="C64">
        <v>11</v>
      </c>
      <c r="D64">
        <v>2</v>
      </c>
      <c r="E64">
        <v>1</v>
      </c>
      <c r="F64">
        <f t="shared" si="12"/>
        <v>312</v>
      </c>
      <c r="G64">
        <v>13</v>
      </c>
      <c r="H64" s="3">
        <v>45307.463194386597</v>
      </c>
      <c r="I64" s="3">
        <v>45320.468055497702</v>
      </c>
      <c r="J64">
        <f t="shared" si="1"/>
        <v>312.11700000000002</v>
      </c>
      <c r="K64">
        <f t="shared" si="2"/>
        <v>13.005000000000001</v>
      </c>
      <c r="L64">
        <v>21.92</v>
      </c>
      <c r="M64">
        <v>14.73</v>
      </c>
      <c r="N64">
        <v>8.57</v>
      </c>
      <c r="O64">
        <v>0.3</v>
      </c>
      <c r="P64">
        <v>5.5100000000000003E-2</v>
      </c>
      <c r="Q64">
        <v>30</v>
      </c>
      <c r="R64">
        <v>12.1678512041129</v>
      </c>
      <c r="S64">
        <v>18.462329211658702</v>
      </c>
      <c r="T64">
        <f t="shared" si="9"/>
        <v>6.6249643579562054</v>
      </c>
      <c r="U64">
        <f t="shared" si="10"/>
        <v>10.052084870231598</v>
      </c>
      <c r="V64">
        <f t="shared" si="5"/>
        <v>1.0565812539345034</v>
      </c>
      <c r="W64">
        <v>1</v>
      </c>
    </row>
    <row r="65" spans="1:23" x14ac:dyDescent="0.35">
      <c r="A65" t="s">
        <v>548</v>
      </c>
      <c r="B65" t="s">
        <v>83</v>
      </c>
      <c r="C65">
        <v>11</v>
      </c>
      <c r="D65">
        <v>2</v>
      </c>
      <c r="E65">
        <v>2</v>
      </c>
      <c r="F65">
        <f t="shared" si="12"/>
        <v>312</v>
      </c>
      <c r="G65">
        <v>13</v>
      </c>
      <c r="H65" s="3">
        <v>45307.463194386597</v>
      </c>
      <c r="I65" s="3">
        <v>45320.468055497702</v>
      </c>
      <c r="J65">
        <f t="shared" si="1"/>
        <v>312.11700000000002</v>
      </c>
      <c r="K65">
        <f t="shared" si="2"/>
        <v>13.005000000000001</v>
      </c>
      <c r="L65">
        <v>21.12</v>
      </c>
      <c r="M65">
        <v>14.85</v>
      </c>
      <c r="N65">
        <v>9.16</v>
      </c>
      <c r="O65">
        <v>0.44</v>
      </c>
      <c r="P65">
        <v>8.4699999999999998E-2</v>
      </c>
      <c r="Q65">
        <v>30</v>
      </c>
      <c r="R65">
        <v>15.319726680265701</v>
      </c>
      <c r="S65">
        <v>24.199896396263298</v>
      </c>
      <c r="T65">
        <f t="shared" si="9"/>
        <v>5.4261133460209097</v>
      </c>
      <c r="U65">
        <f t="shared" si="10"/>
        <v>8.571391875890189</v>
      </c>
      <c r="V65">
        <f t="shared" si="5"/>
        <v>0.96968937075869888</v>
      </c>
      <c r="W65">
        <v>1</v>
      </c>
    </row>
    <row r="66" spans="1:23" x14ac:dyDescent="0.35">
      <c r="A66" t="s">
        <v>548</v>
      </c>
      <c r="B66" t="s">
        <v>84</v>
      </c>
      <c r="C66">
        <v>11</v>
      </c>
      <c r="D66">
        <v>3</v>
      </c>
      <c r="E66">
        <v>1</v>
      </c>
      <c r="F66">
        <f t="shared" si="12"/>
        <v>312</v>
      </c>
      <c r="G66">
        <v>13</v>
      </c>
      <c r="H66" s="3">
        <v>45307.463194386597</v>
      </c>
      <c r="I66" s="3">
        <v>45320.468055497702</v>
      </c>
      <c r="J66">
        <f t="shared" si="1"/>
        <v>312.11700000000002</v>
      </c>
      <c r="K66">
        <f t="shared" si="2"/>
        <v>13.005000000000001</v>
      </c>
      <c r="L66">
        <v>21.4</v>
      </c>
      <c r="M66">
        <v>15.12</v>
      </c>
      <c r="N66">
        <v>9.6199999999999992</v>
      </c>
      <c r="O66">
        <v>0.33460000000000001</v>
      </c>
      <c r="P66">
        <v>6.1199999999999997E-2</v>
      </c>
      <c r="Q66">
        <v>30</v>
      </c>
      <c r="R66">
        <v>13.1665362233117</v>
      </c>
      <c r="S66">
        <v>19.816880546529799</v>
      </c>
      <c r="T66">
        <f t="shared" si="9"/>
        <v>6.45418442319201</v>
      </c>
      <c r="U66">
        <f t="shared" si="10"/>
        <v>9.7141571306518628</v>
      </c>
      <c r="V66">
        <f t="shared" si="5"/>
        <v>1.0050495857098727</v>
      </c>
      <c r="W66">
        <v>1</v>
      </c>
    </row>
    <row r="67" spans="1:23" x14ac:dyDescent="0.35">
      <c r="A67" t="s">
        <v>548</v>
      </c>
      <c r="B67" t="s">
        <v>85</v>
      </c>
      <c r="C67">
        <v>11</v>
      </c>
      <c r="D67">
        <v>3</v>
      </c>
      <c r="E67">
        <v>2</v>
      </c>
      <c r="F67">
        <f t="shared" si="12"/>
        <v>312</v>
      </c>
      <c r="G67">
        <v>13</v>
      </c>
      <c r="H67" s="3">
        <v>45307.463194386597</v>
      </c>
      <c r="I67" s="3">
        <v>45320.468055497702</v>
      </c>
      <c r="J67">
        <f t="shared" ref="J67:J79" si="13">ROUND((I67-H67)*24,3)</f>
        <v>312.11700000000002</v>
      </c>
      <c r="K67">
        <f t="shared" ref="K67:K79" si="14">ROUND(J67/24,3)</f>
        <v>13.005000000000001</v>
      </c>
      <c r="L67">
        <v>23.22</v>
      </c>
      <c r="M67">
        <v>15.9</v>
      </c>
      <c r="N67">
        <v>10.130000000000001</v>
      </c>
      <c r="O67">
        <v>0.39910000000000001</v>
      </c>
      <c r="P67">
        <v>7.2099999999999997E-2</v>
      </c>
      <c r="Q67">
        <v>30</v>
      </c>
      <c r="R67">
        <v>13.667973916880401</v>
      </c>
      <c r="S67">
        <v>20.536215600620199</v>
      </c>
      <c r="T67">
        <f t="shared" si="9"/>
        <v>5.687090395373259</v>
      </c>
      <c r="U67">
        <f t="shared" si="10"/>
        <v>8.5448885994258816</v>
      </c>
      <c r="V67">
        <f t="shared" ref="V67:V79" si="15">(U67-T67)*0.3083</f>
        <v>0.88105918630942359</v>
      </c>
      <c r="W67">
        <v>1</v>
      </c>
    </row>
    <row r="68" spans="1:23" x14ac:dyDescent="0.35">
      <c r="A68" t="s">
        <v>548</v>
      </c>
      <c r="B68" t="s">
        <v>86</v>
      </c>
      <c r="C68">
        <v>12</v>
      </c>
      <c r="D68">
        <v>1</v>
      </c>
      <c r="E68">
        <v>1</v>
      </c>
      <c r="F68">
        <f t="shared" si="12"/>
        <v>432</v>
      </c>
      <c r="G68">
        <v>18</v>
      </c>
      <c r="H68" s="3">
        <v>45307.463194386597</v>
      </c>
      <c r="I68" s="3">
        <v>45325.4819444444</v>
      </c>
      <c r="J68">
        <f t="shared" si="13"/>
        <v>432.45</v>
      </c>
      <c r="K68">
        <f t="shared" si="14"/>
        <v>18.018999999999998</v>
      </c>
      <c r="L68">
        <v>27.08</v>
      </c>
      <c r="M68">
        <v>18.09</v>
      </c>
      <c r="N68">
        <v>11.54</v>
      </c>
      <c r="O68">
        <v>0.68610000000000004</v>
      </c>
      <c r="P68">
        <v>0.13159999999999999</v>
      </c>
      <c r="Q68">
        <v>30</v>
      </c>
      <c r="R68">
        <v>22.141945937575901</v>
      </c>
      <c r="S68">
        <v>32.561531555554097</v>
      </c>
      <c r="T68">
        <f t="shared" si="9"/>
        <v>5.0475560647969386</v>
      </c>
      <c r="U68">
        <f t="shared" si="10"/>
        <v>7.4228415400199319</v>
      </c>
      <c r="V68">
        <f t="shared" si="15"/>
        <v>0.73230051201124891</v>
      </c>
      <c r="W68">
        <v>1</v>
      </c>
    </row>
    <row r="69" spans="1:23" x14ac:dyDescent="0.35">
      <c r="A69" t="s">
        <v>548</v>
      </c>
      <c r="B69" t="s">
        <v>87</v>
      </c>
      <c r="C69">
        <v>12</v>
      </c>
      <c r="D69">
        <v>1</v>
      </c>
      <c r="E69">
        <v>2</v>
      </c>
      <c r="F69">
        <f t="shared" si="12"/>
        <v>432</v>
      </c>
      <c r="G69">
        <v>18</v>
      </c>
      <c r="H69" s="3">
        <v>45307.463194386597</v>
      </c>
      <c r="I69" s="3">
        <v>45325.4819444444</v>
      </c>
      <c r="J69">
        <f t="shared" si="13"/>
        <v>432.45</v>
      </c>
      <c r="K69">
        <f t="shared" si="14"/>
        <v>18.018999999999998</v>
      </c>
      <c r="L69">
        <v>20.190000000000001</v>
      </c>
      <c r="M69">
        <v>14.76</v>
      </c>
      <c r="N69">
        <v>9.24</v>
      </c>
      <c r="O69">
        <v>0.34899999999999998</v>
      </c>
      <c r="P69">
        <v>6.7699999999999996E-2</v>
      </c>
      <c r="Q69">
        <v>30</v>
      </c>
      <c r="R69">
        <v>14.238375615288801</v>
      </c>
      <c r="S69">
        <v>21.2342839810184</v>
      </c>
      <c r="T69">
        <f t="shared" si="9"/>
        <v>6.3094722076612122</v>
      </c>
      <c r="U69">
        <f t="shared" si="10"/>
        <v>9.4095793121204157</v>
      </c>
      <c r="V69">
        <f t="shared" si="15"/>
        <v>0.95576302030477245</v>
      </c>
      <c r="W69">
        <v>1</v>
      </c>
    </row>
    <row r="70" spans="1:23" x14ac:dyDescent="0.35">
      <c r="A70" t="s">
        <v>548</v>
      </c>
      <c r="B70" t="s">
        <v>549</v>
      </c>
      <c r="C70">
        <v>12</v>
      </c>
      <c r="D70">
        <v>1</v>
      </c>
      <c r="E70">
        <v>3</v>
      </c>
      <c r="F70">
        <f t="shared" si="12"/>
        <v>432</v>
      </c>
      <c r="G70">
        <v>18</v>
      </c>
      <c r="H70" s="3">
        <v>45307.463194386597</v>
      </c>
      <c r="I70" s="3">
        <v>45325.4819443866</v>
      </c>
      <c r="J70">
        <f t="shared" si="13"/>
        <v>432.45</v>
      </c>
      <c r="K70">
        <f t="shared" si="14"/>
        <v>18.018999999999998</v>
      </c>
      <c r="L70">
        <v>19.36</v>
      </c>
      <c r="M70">
        <v>14.17</v>
      </c>
      <c r="N70">
        <v>9.15</v>
      </c>
      <c r="O70">
        <v>0.307</v>
      </c>
      <c r="P70">
        <v>6.2100000000000002E-2</v>
      </c>
      <c r="Q70">
        <v>30</v>
      </c>
      <c r="R70">
        <v>11.238671195586001</v>
      </c>
      <c r="S70">
        <v>18.077020294591801</v>
      </c>
      <c r="T70">
        <f t="shared" si="9"/>
        <v>5.4293097563217394</v>
      </c>
      <c r="U70">
        <f t="shared" si="10"/>
        <v>8.7328600456965209</v>
      </c>
      <c r="V70">
        <f t="shared" si="15"/>
        <v>1.0184845542142451</v>
      </c>
      <c r="W70">
        <v>1</v>
      </c>
    </row>
    <row r="71" spans="1:23" x14ac:dyDescent="0.35">
      <c r="A71" t="s">
        <v>548</v>
      </c>
      <c r="B71" t="s">
        <v>550</v>
      </c>
      <c r="C71">
        <v>12</v>
      </c>
      <c r="D71">
        <v>1</v>
      </c>
      <c r="E71">
        <v>4</v>
      </c>
      <c r="F71">
        <f t="shared" si="12"/>
        <v>432</v>
      </c>
      <c r="G71">
        <v>18</v>
      </c>
      <c r="H71" s="3">
        <v>45307.463194386597</v>
      </c>
      <c r="I71" s="3">
        <v>45325.4819443866</v>
      </c>
      <c r="J71">
        <f t="shared" si="13"/>
        <v>432.45</v>
      </c>
      <c r="K71">
        <f t="shared" si="14"/>
        <v>18.018999999999998</v>
      </c>
      <c r="L71">
        <v>18.850000000000001</v>
      </c>
      <c r="M71">
        <v>14.07</v>
      </c>
      <c r="N71">
        <v>8.5299999999999994</v>
      </c>
      <c r="O71">
        <v>0.25090000000000001</v>
      </c>
      <c r="P71">
        <v>4.7600000000000003E-2</v>
      </c>
      <c r="Q71">
        <v>30</v>
      </c>
      <c r="R71">
        <v>12.566538012435</v>
      </c>
      <c r="S71">
        <v>15.805327080496999</v>
      </c>
      <c r="T71">
        <f t="shared" si="9"/>
        <v>7.920086982627101</v>
      </c>
      <c r="U71">
        <f t="shared" si="10"/>
        <v>9.9613405969518904</v>
      </c>
      <c r="V71">
        <f t="shared" si="15"/>
        <v>0.62931848929633261</v>
      </c>
      <c r="W71">
        <v>1</v>
      </c>
    </row>
    <row r="72" spans="1:23" x14ac:dyDescent="0.35">
      <c r="A72" t="s">
        <v>548</v>
      </c>
      <c r="B72" t="s">
        <v>88</v>
      </c>
      <c r="C72">
        <v>12</v>
      </c>
      <c r="D72">
        <v>2</v>
      </c>
      <c r="E72">
        <v>1</v>
      </c>
      <c r="F72">
        <f t="shared" si="12"/>
        <v>432</v>
      </c>
      <c r="G72">
        <v>18</v>
      </c>
      <c r="H72" s="3">
        <v>45307.463194386597</v>
      </c>
      <c r="I72" s="3">
        <v>45325.4819443866</v>
      </c>
      <c r="J72">
        <f t="shared" si="13"/>
        <v>432.45</v>
      </c>
      <c r="K72">
        <f t="shared" si="14"/>
        <v>18.018999999999998</v>
      </c>
      <c r="L72">
        <v>19.670000000000002</v>
      </c>
      <c r="M72">
        <v>14.43</v>
      </c>
      <c r="N72">
        <v>8.75</v>
      </c>
      <c r="O72">
        <v>0.33900000000000002</v>
      </c>
      <c r="P72">
        <v>6.3299999999999995E-2</v>
      </c>
      <c r="Q72">
        <v>30</v>
      </c>
      <c r="R72">
        <v>14.542932670783401</v>
      </c>
      <c r="S72">
        <v>20.3875249489924</v>
      </c>
      <c r="T72">
        <f t="shared" si="9"/>
        <v>6.892385152030049</v>
      </c>
      <c r="U72">
        <f t="shared" si="10"/>
        <v>9.6623340990485325</v>
      </c>
      <c r="V72">
        <f t="shared" si="15"/>
        <v>0.85397526036579852</v>
      </c>
      <c r="W72">
        <v>1</v>
      </c>
    </row>
    <row r="73" spans="1:23" x14ac:dyDescent="0.35">
      <c r="A73" t="s">
        <v>548</v>
      </c>
      <c r="B73" t="s">
        <v>89</v>
      </c>
      <c r="C73">
        <v>12</v>
      </c>
      <c r="D73">
        <v>2</v>
      </c>
      <c r="E73">
        <v>2</v>
      </c>
      <c r="F73">
        <f t="shared" si="12"/>
        <v>432</v>
      </c>
      <c r="G73">
        <v>18</v>
      </c>
      <c r="H73" s="3">
        <v>45307.463194386597</v>
      </c>
      <c r="I73" s="3">
        <v>45325.4819443866</v>
      </c>
      <c r="J73">
        <f t="shared" si="13"/>
        <v>432.45</v>
      </c>
      <c r="K73">
        <f t="shared" si="14"/>
        <v>18.018999999999998</v>
      </c>
      <c r="L73">
        <v>20.49</v>
      </c>
      <c r="M73">
        <v>13.43</v>
      </c>
      <c r="N73">
        <v>8.19</v>
      </c>
      <c r="O73">
        <v>0.30940000000000001</v>
      </c>
      <c r="P73">
        <v>6.0100000000000001E-2</v>
      </c>
      <c r="Q73">
        <v>30</v>
      </c>
      <c r="R73">
        <v>14.7066365207901</v>
      </c>
      <c r="S73">
        <v>18.616243534933201</v>
      </c>
      <c r="T73">
        <f t="shared" si="9"/>
        <v>7.3410831218586186</v>
      </c>
      <c r="U73">
        <f t="shared" si="10"/>
        <v>9.2926340440598363</v>
      </c>
      <c r="V73">
        <f t="shared" si="15"/>
        <v>0.60166314931463549</v>
      </c>
      <c r="W73">
        <v>1</v>
      </c>
    </row>
    <row r="74" spans="1:23" x14ac:dyDescent="0.35">
      <c r="A74" t="s">
        <v>548</v>
      </c>
      <c r="B74" t="s">
        <v>551</v>
      </c>
      <c r="C74">
        <v>12</v>
      </c>
      <c r="D74">
        <v>2</v>
      </c>
      <c r="E74">
        <v>3</v>
      </c>
      <c r="F74">
        <f t="shared" si="12"/>
        <v>432</v>
      </c>
      <c r="G74">
        <v>18</v>
      </c>
      <c r="H74" s="3">
        <v>45307.463194386597</v>
      </c>
      <c r="I74" s="3">
        <v>45325.4819443866</v>
      </c>
      <c r="J74">
        <f t="shared" si="13"/>
        <v>432.45</v>
      </c>
      <c r="K74">
        <f t="shared" si="14"/>
        <v>18.018999999999998</v>
      </c>
      <c r="L74">
        <v>20.14</v>
      </c>
      <c r="M74">
        <v>14.61</v>
      </c>
      <c r="N74">
        <v>9.36</v>
      </c>
      <c r="O74">
        <v>0.31259999999999999</v>
      </c>
      <c r="P74">
        <v>5.9400000000000001E-2</v>
      </c>
      <c r="Q74">
        <v>30</v>
      </c>
      <c r="R74">
        <v>11.1892460224426</v>
      </c>
      <c r="S74">
        <v>16.566871256770501</v>
      </c>
      <c r="T74">
        <f t="shared" si="9"/>
        <v>5.6511343547689892</v>
      </c>
      <c r="U74">
        <f t="shared" si="10"/>
        <v>8.3671066953386362</v>
      </c>
      <c r="V74">
        <f t="shared" si="15"/>
        <v>0.83733427259762216</v>
      </c>
      <c r="W74">
        <v>1</v>
      </c>
    </row>
    <row r="75" spans="1:23" x14ac:dyDescent="0.35">
      <c r="A75" t="s">
        <v>548</v>
      </c>
      <c r="B75" t="s">
        <v>552</v>
      </c>
      <c r="C75">
        <v>12</v>
      </c>
      <c r="D75">
        <v>2</v>
      </c>
      <c r="E75">
        <v>4</v>
      </c>
      <c r="F75">
        <f t="shared" si="12"/>
        <v>432</v>
      </c>
      <c r="G75">
        <v>18</v>
      </c>
      <c r="H75" s="3">
        <v>45307.463194386597</v>
      </c>
      <c r="I75" s="3">
        <v>45325.4819443866</v>
      </c>
      <c r="J75">
        <f t="shared" si="13"/>
        <v>432.45</v>
      </c>
      <c r="K75">
        <f t="shared" si="14"/>
        <v>18.018999999999998</v>
      </c>
      <c r="L75">
        <v>26.46</v>
      </c>
      <c r="M75">
        <v>17.91</v>
      </c>
      <c r="N75">
        <v>11.04</v>
      </c>
      <c r="O75">
        <v>0.46899999999999997</v>
      </c>
      <c r="P75">
        <v>8.0699999999999994E-2</v>
      </c>
      <c r="Q75">
        <v>30</v>
      </c>
      <c r="R75">
        <v>15.6934107858415</v>
      </c>
      <c r="S75">
        <v>23.516935839345301</v>
      </c>
      <c r="T75">
        <f t="shared" si="9"/>
        <v>5.8339817047737919</v>
      </c>
      <c r="U75">
        <f t="shared" si="10"/>
        <v>8.7423553306116357</v>
      </c>
      <c r="V75">
        <f t="shared" si="15"/>
        <v>0.89665158884580731</v>
      </c>
      <c r="W75">
        <v>1</v>
      </c>
    </row>
    <row r="76" spans="1:23" x14ac:dyDescent="0.35">
      <c r="A76" t="s">
        <v>548</v>
      </c>
      <c r="B76" t="s">
        <v>90</v>
      </c>
      <c r="C76">
        <v>12</v>
      </c>
      <c r="D76">
        <v>3</v>
      </c>
      <c r="E76">
        <v>1</v>
      </c>
      <c r="F76">
        <f t="shared" si="12"/>
        <v>432</v>
      </c>
      <c r="G76">
        <v>18</v>
      </c>
      <c r="H76" s="3">
        <v>45307.463194386597</v>
      </c>
      <c r="I76" s="3">
        <v>45325.4819443866</v>
      </c>
      <c r="J76">
        <f t="shared" si="13"/>
        <v>432.45</v>
      </c>
      <c r="K76">
        <f t="shared" si="14"/>
        <v>18.018999999999998</v>
      </c>
      <c r="L76">
        <v>21.01</v>
      </c>
      <c r="M76">
        <v>14.56</v>
      </c>
      <c r="N76">
        <v>8.59</v>
      </c>
      <c r="O76">
        <v>0.31269999999999998</v>
      </c>
      <c r="P76">
        <v>5.9299999999999999E-2</v>
      </c>
      <c r="Q76">
        <v>30</v>
      </c>
      <c r="R76">
        <v>10.805584703101699</v>
      </c>
      <c r="S76">
        <v>15.865045245833899</v>
      </c>
      <c r="T76">
        <f t="shared" si="9"/>
        <v>5.4665689897647729</v>
      </c>
      <c r="U76">
        <f t="shared" si="10"/>
        <v>8.0261611698991064</v>
      </c>
      <c r="V76">
        <f t="shared" si="15"/>
        <v>0.78912226913541506</v>
      </c>
      <c r="W76">
        <v>1</v>
      </c>
    </row>
    <row r="77" spans="1:23" x14ac:dyDescent="0.35">
      <c r="A77" t="s">
        <v>548</v>
      </c>
      <c r="B77" t="s">
        <v>91</v>
      </c>
      <c r="C77">
        <v>12</v>
      </c>
      <c r="D77">
        <v>3</v>
      </c>
      <c r="E77">
        <v>2</v>
      </c>
      <c r="F77">
        <f t="shared" si="12"/>
        <v>432</v>
      </c>
      <c r="G77">
        <v>18</v>
      </c>
      <c r="H77" s="3">
        <v>45307.463194386597</v>
      </c>
      <c r="I77" s="3">
        <v>45325.4819443866</v>
      </c>
      <c r="J77">
        <f t="shared" si="13"/>
        <v>432.45</v>
      </c>
      <c r="K77">
        <f t="shared" si="14"/>
        <v>18.018999999999998</v>
      </c>
      <c r="L77">
        <v>21.35</v>
      </c>
      <c r="M77">
        <v>15.04</v>
      </c>
      <c r="N77">
        <v>9.43</v>
      </c>
      <c r="O77">
        <v>0.3705</v>
      </c>
      <c r="P77">
        <v>6.7900000000000002E-2</v>
      </c>
      <c r="Q77">
        <v>30</v>
      </c>
      <c r="R77">
        <v>13.9801473424557</v>
      </c>
      <c r="S77">
        <v>22.305252914053199</v>
      </c>
      <c r="T77">
        <f t="shared" si="9"/>
        <v>6.1767955857683505</v>
      </c>
      <c r="U77">
        <f t="shared" si="10"/>
        <v>9.8550454701265959</v>
      </c>
      <c r="V77">
        <f t="shared" si="15"/>
        <v>1.1340044393476472</v>
      </c>
      <c r="W77">
        <v>1</v>
      </c>
    </row>
    <row r="78" spans="1:23" x14ac:dyDescent="0.35">
      <c r="A78" t="s">
        <v>548</v>
      </c>
      <c r="B78" t="s">
        <v>553</v>
      </c>
      <c r="C78">
        <v>12</v>
      </c>
      <c r="D78">
        <v>3</v>
      </c>
      <c r="E78">
        <v>3</v>
      </c>
      <c r="F78">
        <f t="shared" si="12"/>
        <v>432</v>
      </c>
      <c r="G78">
        <v>18</v>
      </c>
      <c r="H78" s="3">
        <v>45307.463194386597</v>
      </c>
      <c r="I78" s="3">
        <v>45325.4819443866</v>
      </c>
      <c r="J78">
        <f t="shared" si="13"/>
        <v>432.45</v>
      </c>
      <c r="K78">
        <f t="shared" si="14"/>
        <v>18.018999999999998</v>
      </c>
      <c r="L78">
        <v>25.26</v>
      </c>
      <c r="M78">
        <v>18.11</v>
      </c>
      <c r="N78">
        <v>11.72</v>
      </c>
      <c r="O78">
        <v>0.62009999999999998</v>
      </c>
      <c r="P78">
        <v>0.11210000000000001</v>
      </c>
      <c r="Q78">
        <v>30</v>
      </c>
      <c r="R78">
        <v>16.684463671645499</v>
      </c>
      <c r="S78">
        <v>27.5104084728349</v>
      </c>
      <c r="T78">
        <f t="shared" si="9"/>
        <v>4.4650661030273415</v>
      </c>
      <c r="U78">
        <f t="shared" si="10"/>
        <v>7.3622859427747267</v>
      </c>
      <c r="V78">
        <f t="shared" si="15"/>
        <v>0.89321287659411885</v>
      </c>
      <c r="W78">
        <v>1</v>
      </c>
    </row>
    <row r="79" spans="1:23" x14ac:dyDescent="0.35">
      <c r="A79" t="s">
        <v>548</v>
      </c>
      <c r="B79" t="s">
        <v>554</v>
      </c>
      <c r="C79">
        <v>12</v>
      </c>
      <c r="D79">
        <v>3</v>
      </c>
      <c r="E79">
        <v>4</v>
      </c>
      <c r="F79">
        <f t="shared" si="12"/>
        <v>432</v>
      </c>
      <c r="G79">
        <v>18</v>
      </c>
      <c r="H79" s="3">
        <v>45307.463194386597</v>
      </c>
      <c r="I79" s="3">
        <v>45325.4819443866</v>
      </c>
      <c r="J79">
        <f t="shared" si="13"/>
        <v>432.45</v>
      </c>
      <c r="K79">
        <f t="shared" si="14"/>
        <v>18.018999999999998</v>
      </c>
      <c r="L79">
        <v>19.13</v>
      </c>
      <c r="M79">
        <v>14.1</v>
      </c>
      <c r="N79">
        <v>8.43</v>
      </c>
      <c r="O79">
        <v>0.27289999999999998</v>
      </c>
      <c r="P79">
        <v>5.1799999999999999E-2</v>
      </c>
      <c r="Q79">
        <v>30</v>
      </c>
      <c r="R79">
        <v>10.1507348140301</v>
      </c>
      <c r="S79">
        <v>15.489345031523801</v>
      </c>
      <c r="T79">
        <f t="shared" si="9"/>
        <v>5.8788039463494792</v>
      </c>
      <c r="U79">
        <f t="shared" si="10"/>
        <v>8.9706631456701533</v>
      </c>
      <c r="V79">
        <f t="shared" si="15"/>
        <v>0.95322019115056389</v>
      </c>
      <c r="W79">
        <v>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L34"/>
  <sheetViews>
    <sheetView zoomScaleNormal="100" workbookViewId="0">
      <selection activeCell="L7" sqref="L7"/>
    </sheetView>
  </sheetViews>
  <sheetFormatPr defaultColWidth="9" defaultRowHeight="14.15" x14ac:dyDescent="0.35"/>
  <cols>
    <col min="1" max="1" width="10.140625" customWidth="1"/>
    <col min="3" max="3" width="10.85546875" customWidth="1"/>
    <col min="4" max="4" width="14.640625" customWidth="1"/>
    <col min="5" max="5" width="17.85546875" customWidth="1"/>
    <col min="6" max="7" width="11.640625" customWidth="1"/>
    <col min="8" max="8" width="10.85546875" customWidth="1"/>
    <col min="9" max="9" width="10.640625" customWidth="1"/>
    <col min="10" max="10" width="11.640625" customWidth="1"/>
    <col min="11" max="11" width="13.640625" customWidth="1"/>
    <col min="12" max="12" width="13.140625" customWidth="1"/>
  </cols>
  <sheetData>
    <row r="1" spans="1:12" x14ac:dyDescent="0.35">
      <c r="A1" s="6" t="s">
        <v>563</v>
      </c>
      <c r="B1" t="s">
        <v>542</v>
      </c>
      <c r="C1" t="s">
        <v>543</v>
      </c>
      <c r="D1" t="s">
        <v>544</v>
      </c>
      <c r="E1" t="s">
        <v>545</v>
      </c>
      <c r="F1" t="s">
        <v>546</v>
      </c>
      <c r="G1" t="s">
        <v>547</v>
      </c>
      <c r="H1" s="6" t="s">
        <v>589</v>
      </c>
      <c r="I1" s="6" t="s">
        <v>590</v>
      </c>
      <c r="J1" s="6" t="s">
        <v>598</v>
      </c>
      <c r="K1" s="6" t="s">
        <v>599</v>
      </c>
      <c r="L1" s="6" t="s">
        <v>600</v>
      </c>
    </row>
    <row r="2" spans="1:12" x14ac:dyDescent="0.35">
      <c r="A2" t="s">
        <v>556</v>
      </c>
      <c r="B2">
        <v>0</v>
      </c>
      <c r="C2">
        <f t="shared" ref="C2:C8" si="0">B2/24</f>
        <v>0</v>
      </c>
      <c r="D2" s="3">
        <v>45307.463194444397</v>
      </c>
      <c r="E2" s="3">
        <v>45307.589583333298</v>
      </c>
      <c r="F2">
        <v>0</v>
      </c>
      <c r="G2">
        <v>0</v>
      </c>
      <c r="H2">
        <v>0.14232763431258899</v>
      </c>
      <c r="I2">
        <v>2.85408275966673</v>
      </c>
      <c r="J2">
        <f>H2*10</f>
        <v>1.4232763431258899</v>
      </c>
      <c r="K2">
        <f>I2*10</f>
        <v>28.540827596667299</v>
      </c>
      <c r="L2">
        <f t="shared" ref="L2:L7" si="1">(K2-J2)*0.3083</f>
        <v>8.3603410514668166</v>
      </c>
    </row>
    <row r="3" spans="1:12" x14ac:dyDescent="0.35">
      <c r="A3" t="s">
        <v>556</v>
      </c>
      <c r="B3">
        <v>3</v>
      </c>
      <c r="C3">
        <f t="shared" si="0"/>
        <v>0.125</v>
      </c>
      <c r="D3" s="3">
        <v>45307.463194444397</v>
      </c>
      <c r="E3" s="3">
        <v>45307.589583333298</v>
      </c>
      <c r="F3">
        <f>(E3-D3)*24</f>
        <v>3.0333333336166106</v>
      </c>
      <c r="G3">
        <f>F3/24</f>
        <v>0.12638888890069211</v>
      </c>
      <c r="H3">
        <v>0.14118888354134601</v>
      </c>
      <c r="I3">
        <v>1.8974243756612199</v>
      </c>
      <c r="J3">
        <f t="shared" ref="J3:J15" si="2">H3*10</f>
        <v>1.41188883541346</v>
      </c>
      <c r="K3">
        <f t="shared" ref="K3:K15" si="3">I3*10</f>
        <v>18.9742437566122</v>
      </c>
      <c r="L3">
        <f t="shared" si="1"/>
        <v>5.4144740222055718</v>
      </c>
    </row>
    <row r="4" spans="1:12" x14ac:dyDescent="0.35">
      <c r="A4" t="s">
        <v>556</v>
      </c>
      <c r="B4">
        <v>6</v>
      </c>
      <c r="C4">
        <f t="shared" si="0"/>
        <v>0.25</v>
      </c>
      <c r="D4" s="3">
        <v>45307.463194386597</v>
      </c>
      <c r="E4" s="3">
        <v>45307.715972164398</v>
      </c>
      <c r="F4">
        <f>(E4-D4)*24</f>
        <v>6.0666666672332212</v>
      </c>
      <c r="G4">
        <f t="shared" ref="G4:G13" si="4">F4/24</f>
        <v>0.25277777780138422</v>
      </c>
      <c r="H4">
        <v>0.18180266049892599</v>
      </c>
      <c r="I4">
        <v>1.49826149123649</v>
      </c>
      <c r="J4">
        <f t="shared" si="2"/>
        <v>1.8180266049892599</v>
      </c>
      <c r="K4">
        <f t="shared" si="3"/>
        <v>14.9826149123649</v>
      </c>
      <c r="L4">
        <f t="shared" si="1"/>
        <v>4.0586425751639101</v>
      </c>
    </row>
    <row r="5" spans="1:12" x14ac:dyDescent="0.35">
      <c r="A5" t="s">
        <v>556</v>
      </c>
      <c r="B5">
        <v>12</v>
      </c>
      <c r="C5">
        <f t="shared" si="0"/>
        <v>0.5</v>
      </c>
      <c r="D5" s="3">
        <v>45307.463194386597</v>
      </c>
      <c r="E5" s="3">
        <v>45307.963194386597</v>
      </c>
      <c r="F5">
        <f>(E5-D5)*24</f>
        <v>12</v>
      </c>
      <c r="G5">
        <f t="shared" si="4"/>
        <v>0.5</v>
      </c>
      <c r="H5">
        <v>0.16263901895612701</v>
      </c>
      <c r="I5">
        <v>1.3753567824523301</v>
      </c>
      <c r="J5">
        <f t="shared" si="2"/>
        <v>1.62639018956127</v>
      </c>
      <c r="K5">
        <f t="shared" si="3"/>
        <v>13.753567824523302</v>
      </c>
      <c r="L5">
        <f t="shared" si="1"/>
        <v>3.7388088648587945</v>
      </c>
    </row>
    <row r="6" spans="1:12" x14ac:dyDescent="0.35">
      <c r="A6" t="s">
        <v>556</v>
      </c>
      <c r="B6">
        <v>24</v>
      </c>
      <c r="C6">
        <f t="shared" si="0"/>
        <v>1</v>
      </c>
      <c r="D6" s="3">
        <v>45307.463194386597</v>
      </c>
      <c r="E6" s="3">
        <v>45308.465277777803</v>
      </c>
      <c r="F6">
        <f>(E6-D6)*24</f>
        <v>24.050001388939563</v>
      </c>
      <c r="G6">
        <f t="shared" si="4"/>
        <v>1.0020833912058151</v>
      </c>
      <c r="H6">
        <v>0.17051442108263101</v>
      </c>
      <c r="I6">
        <v>1.6572255878300099</v>
      </c>
      <c r="J6">
        <f t="shared" si="2"/>
        <v>1.7051442108263102</v>
      </c>
      <c r="K6">
        <f t="shared" si="3"/>
        <v>16.572255878300098</v>
      </c>
      <c r="L6">
        <f t="shared" si="1"/>
        <v>4.5835305270821687</v>
      </c>
    </row>
    <row r="7" spans="1:12" x14ac:dyDescent="0.35">
      <c r="A7" t="s">
        <v>556</v>
      </c>
      <c r="B7">
        <v>48</v>
      </c>
      <c r="C7">
        <f t="shared" si="0"/>
        <v>2</v>
      </c>
      <c r="D7" s="3">
        <v>45307.463194386597</v>
      </c>
      <c r="E7" s="3">
        <v>45309.465277777803</v>
      </c>
      <c r="F7">
        <f>(E7-D7)*24</f>
        <v>48.050001388939563</v>
      </c>
      <c r="G7">
        <f t="shared" si="4"/>
        <v>2.0020833912058151</v>
      </c>
      <c r="H7">
        <v>0.17707957680021699</v>
      </c>
      <c r="I7">
        <v>1.8141739522488833</v>
      </c>
      <c r="J7">
        <f t="shared" si="2"/>
        <v>1.77079576800217</v>
      </c>
      <c r="K7">
        <f t="shared" si="3"/>
        <v>18.141739522488834</v>
      </c>
      <c r="L7">
        <f t="shared" si="1"/>
        <v>5.0471619595082391</v>
      </c>
    </row>
    <row r="8" spans="1:12" x14ac:dyDescent="0.35">
      <c r="A8" t="s">
        <v>556</v>
      </c>
      <c r="B8">
        <v>48.01</v>
      </c>
      <c r="C8">
        <f t="shared" si="0"/>
        <v>2.0004166666666667</v>
      </c>
      <c r="D8" s="3">
        <v>45307.463194386597</v>
      </c>
      <c r="E8" s="3">
        <v>45309.465277777803</v>
      </c>
      <c r="F8">
        <v>48.01</v>
      </c>
      <c r="G8">
        <f>F8/24</f>
        <v>2.0004166666666667</v>
      </c>
      <c r="H8">
        <v>0.19783549000164799</v>
      </c>
      <c r="I8">
        <v>0.15803315709052501</v>
      </c>
      <c r="J8">
        <f t="shared" si="2"/>
        <v>1.97835490001648</v>
      </c>
      <c r="K8">
        <f t="shared" si="3"/>
        <v>1.5803315709052501</v>
      </c>
      <c r="L8">
        <v>0</v>
      </c>
    </row>
    <row r="9" spans="1:12" x14ac:dyDescent="0.35">
      <c r="A9" t="s">
        <v>556</v>
      </c>
      <c r="B9">
        <f t="shared" ref="B9:B15" si="5">C9*24</f>
        <v>60</v>
      </c>
      <c r="C9">
        <v>2.5</v>
      </c>
      <c r="D9" s="3">
        <v>45307.463194386597</v>
      </c>
      <c r="E9" s="3">
        <v>45309.968055497702</v>
      </c>
      <c r="F9">
        <f t="shared" ref="F9:F15" si="6">(E9-D9)*24</f>
        <v>60.116666666523088</v>
      </c>
      <c r="G9">
        <f t="shared" si="4"/>
        <v>2.5048611111051287</v>
      </c>
      <c r="H9">
        <v>0.17074176982388201</v>
      </c>
      <c r="I9">
        <v>0.24147344493317599</v>
      </c>
      <c r="J9">
        <f t="shared" si="2"/>
        <v>1.7074176982388201</v>
      </c>
      <c r="K9">
        <f t="shared" si="3"/>
        <v>2.41473444933176</v>
      </c>
      <c r="L9">
        <v>0</v>
      </c>
    </row>
    <row r="10" spans="1:12" x14ac:dyDescent="0.35">
      <c r="A10" t="s">
        <v>556</v>
      </c>
      <c r="B10">
        <f t="shared" si="5"/>
        <v>72</v>
      </c>
      <c r="C10">
        <v>3</v>
      </c>
      <c r="D10" s="3">
        <v>45307.463194386597</v>
      </c>
      <c r="E10" s="3">
        <v>45310.468055497702</v>
      </c>
      <c r="F10">
        <f t="shared" si="6"/>
        <v>72.116666666523088</v>
      </c>
      <c r="G10">
        <f t="shared" si="4"/>
        <v>3.0048611111051287</v>
      </c>
      <c r="H10">
        <v>0.21791096847952299</v>
      </c>
      <c r="I10">
        <v>0.38193676107485502</v>
      </c>
      <c r="J10">
        <f t="shared" si="2"/>
        <v>2.1791096847952298</v>
      </c>
      <c r="K10">
        <f t="shared" si="3"/>
        <v>3.8193676107485501</v>
      </c>
      <c r="L10">
        <v>0</v>
      </c>
    </row>
    <row r="11" spans="1:12" x14ac:dyDescent="0.35">
      <c r="A11" t="s">
        <v>556</v>
      </c>
      <c r="B11">
        <f t="shared" si="5"/>
        <v>96</v>
      </c>
      <c r="C11">
        <v>4</v>
      </c>
      <c r="D11" s="3">
        <v>45307.463194386597</v>
      </c>
      <c r="E11" s="3">
        <v>45311.46875</v>
      </c>
      <c r="F11">
        <f t="shared" si="6"/>
        <v>96.133334721671417</v>
      </c>
      <c r="G11">
        <f t="shared" si="4"/>
        <v>4.0055556134029757</v>
      </c>
      <c r="H11">
        <v>0.18056450087950099</v>
      </c>
      <c r="I11">
        <v>0.32395019829780602</v>
      </c>
      <c r="J11">
        <f t="shared" si="2"/>
        <v>1.8056450087950098</v>
      </c>
      <c r="K11">
        <f t="shared" si="3"/>
        <v>3.2395019829780605</v>
      </c>
      <c r="L11">
        <v>0</v>
      </c>
    </row>
    <row r="12" spans="1:12" x14ac:dyDescent="0.35">
      <c r="A12" t="s">
        <v>556</v>
      </c>
      <c r="B12">
        <f t="shared" si="5"/>
        <v>144</v>
      </c>
      <c r="C12">
        <v>6</v>
      </c>
      <c r="D12" s="3">
        <v>45307.463194386597</v>
      </c>
      <c r="E12" s="3">
        <v>45313.481249942102</v>
      </c>
      <c r="F12">
        <f t="shared" si="6"/>
        <v>144.43333333212649</v>
      </c>
      <c r="G12">
        <f t="shared" si="4"/>
        <v>6.0180555555052706</v>
      </c>
      <c r="H12">
        <v>0.166294381885284</v>
      </c>
      <c r="I12">
        <v>0.16650859105483001</v>
      </c>
      <c r="J12">
        <f t="shared" si="2"/>
        <v>1.66294381885284</v>
      </c>
      <c r="K12">
        <f t="shared" si="3"/>
        <v>1.6650859105483002</v>
      </c>
      <c r="L12">
        <v>0</v>
      </c>
    </row>
    <row r="13" spans="1:12" x14ac:dyDescent="0.35">
      <c r="A13" t="s">
        <v>556</v>
      </c>
      <c r="B13">
        <f t="shared" si="5"/>
        <v>216</v>
      </c>
      <c r="C13">
        <v>9</v>
      </c>
      <c r="D13" s="3">
        <v>45307.463194386597</v>
      </c>
      <c r="E13" s="3">
        <v>45316.595833275504</v>
      </c>
      <c r="F13">
        <f t="shared" si="6"/>
        <v>219.18333333375631</v>
      </c>
      <c r="G13">
        <f t="shared" si="4"/>
        <v>9.1326388889065129</v>
      </c>
      <c r="H13">
        <v>0.151167136322618</v>
      </c>
      <c r="I13">
        <v>0.145627414281746</v>
      </c>
      <c r="J13">
        <f t="shared" si="2"/>
        <v>1.51167136322618</v>
      </c>
      <c r="K13">
        <f t="shared" si="3"/>
        <v>1.4562741428174599</v>
      </c>
      <c r="L13">
        <v>0</v>
      </c>
    </row>
    <row r="14" spans="1:12" x14ac:dyDescent="0.35">
      <c r="A14" t="s">
        <v>556</v>
      </c>
      <c r="B14">
        <f t="shared" si="5"/>
        <v>312</v>
      </c>
      <c r="C14">
        <v>13</v>
      </c>
      <c r="D14" s="3">
        <v>45307.463194386597</v>
      </c>
      <c r="E14" s="3">
        <v>45320.468055497702</v>
      </c>
      <c r="F14">
        <f t="shared" si="6"/>
        <v>312.11666666652309</v>
      </c>
      <c r="G14">
        <f>F14/24</f>
        <v>13.004861111105129</v>
      </c>
      <c r="H14">
        <v>0.15204322836908801</v>
      </c>
      <c r="I14">
        <v>0.117652281060373</v>
      </c>
      <c r="J14">
        <f t="shared" si="2"/>
        <v>1.5204322836908801</v>
      </c>
      <c r="K14">
        <f t="shared" si="3"/>
        <v>1.17652281060373</v>
      </c>
      <c r="L14">
        <v>0</v>
      </c>
    </row>
    <row r="15" spans="1:12" x14ac:dyDescent="0.35">
      <c r="A15" t="s">
        <v>556</v>
      </c>
      <c r="B15">
        <f t="shared" si="5"/>
        <v>432</v>
      </c>
      <c r="C15">
        <v>18</v>
      </c>
      <c r="D15" s="3">
        <v>45307.463194386597</v>
      </c>
      <c r="E15" s="3">
        <v>45325.4819443866</v>
      </c>
      <c r="F15">
        <f t="shared" si="6"/>
        <v>432.45000000006985</v>
      </c>
      <c r="G15">
        <f>F15/24</f>
        <v>18.01875000000291</v>
      </c>
      <c r="H15">
        <v>0.14411823274649899</v>
      </c>
      <c r="I15">
        <v>8.4470963158524204E-2</v>
      </c>
      <c r="J15">
        <f t="shared" si="2"/>
        <v>1.4411823274649898</v>
      </c>
      <c r="K15">
        <f t="shared" si="3"/>
        <v>0.84470963158524204</v>
      </c>
      <c r="L15">
        <v>0</v>
      </c>
    </row>
    <row r="20" spans="9:10" x14ac:dyDescent="0.35">
      <c r="I20" t="s">
        <v>547</v>
      </c>
      <c r="J20" s="6" t="s">
        <v>600</v>
      </c>
    </row>
    <row r="21" spans="9:10" x14ac:dyDescent="0.35">
      <c r="I21">
        <v>0</v>
      </c>
      <c r="J21">
        <v>8.3603410514668166</v>
      </c>
    </row>
    <row r="22" spans="9:10" x14ac:dyDescent="0.35">
      <c r="I22">
        <v>0.12638888890069211</v>
      </c>
      <c r="J22">
        <v>5.4144740222055718</v>
      </c>
    </row>
    <row r="23" spans="9:10" x14ac:dyDescent="0.35">
      <c r="I23">
        <v>0.25277777780138422</v>
      </c>
      <c r="J23">
        <v>4.0586425751639101</v>
      </c>
    </row>
    <row r="24" spans="9:10" x14ac:dyDescent="0.35">
      <c r="I24">
        <v>0.5</v>
      </c>
      <c r="J24">
        <v>3.7388088648587945</v>
      </c>
    </row>
    <row r="25" spans="9:10" x14ac:dyDescent="0.35">
      <c r="I25">
        <v>1.0020833912058151</v>
      </c>
      <c r="J25">
        <v>4.5835305270821687</v>
      </c>
    </row>
    <row r="26" spans="9:10" x14ac:dyDescent="0.35">
      <c r="I26">
        <v>2.0020833912058151</v>
      </c>
      <c r="J26">
        <v>5.0471619595082391</v>
      </c>
    </row>
    <row r="27" spans="9:10" x14ac:dyDescent="0.35">
      <c r="I27">
        <v>2.0004166666666667</v>
      </c>
      <c r="J27">
        <v>0</v>
      </c>
    </row>
    <row r="28" spans="9:10" x14ac:dyDescent="0.35">
      <c r="I28">
        <v>2.5048611111051287</v>
      </c>
      <c r="J28">
        <v>0</v>
      </c>
    </row>
    <row r="29" spans="9:10" x14ac:dyDescent="0.35">
      <c r="I29">
        <v>3.0048611111051287</v>
      </c>
      <c r="J29">
        <v>0</v>
      </c>
    </row>
    <row r="30" spans="9:10" x14ac:dyDescent="0.35">
      <c r="I30">
        <v>4.0055556134029757</v>
      </c>
      <c r="J30">
        <v>0</v>
      </c>
    </row>
    <row r="31" spans="9:10" x14ac:dyDescent="0.35">
      <c r="I31">
        <v>6.0180555555052706</v>
      </c>
      <c r="J31">
        <v>0</v>
      </c>
    </row>
    <row r="32" spans="9:10" x14ac:dyDescent="0.35">
      <c r="I32">
        <v>9.1326388889065129</v>
      </c>
      <c r="J32">
        <v>0</v>
      </c>
    </row>
    <row r="33" spans="9:10" x14ac:dyDescent="0.35">
      <c r="I33">
        <v>13.004861111105129</v>
      </c>
      <c r="J33">
        <v>0</v>
      </c>
    </row>
    <row r="34" spans="9:10" x14ac:dyDescent="0.35">
      <c r="I34">
        <v>18.01875000000291</v>
      </c>
      <c r="J34">
        <v>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>
    <tabColor rgb="FF00B050"/>
  </sheetPr>
  <dimension ref="A1:X79"/>
  <sheetViews>
    <sheetView topLeftCell="L1" zoomScale="85" zoomScaleNormal="85" workbookViewId="0">
      <selection activeCell="U7" sqref="U7"/>
    </sheetView>
  </sheetViews>
  <sheetFormatPr defaultColWidth="9" defaultRowHeight="14.15" x14ac:dyDescent="0.35"/>
  <cols>
    <col min="2" max="2" width="17.640625" customWidth="1"/>
    <col min="7" max="7" width="10.85546875" customWidth="1"/>
    <col min="8" max="8" width="14" customWidth="1"/>
    <col min="9" max="9" width="15.140625" customWidth="1"/>
    <col min="10" max="11" width="11.640625" customWidth="1"/>
    <col min="12" max="13" width="14.640625" customWidth="1"/>
    <col min="14" max="14" width="13.640625" customWidth="1"/>
    <col min="18" max="18" width="12.140625" customWidth="1"/>
    <col min="19" max="20" width="11.140625" customWidth="1"/>
    <col min="21" max="21" width="12.640625" customWidth="1"/>
    <col min="22" max="22" width="11.85546875" customWidth="1"/>
  </cols>
  <sheetData>
    <row r="1" spans="1:24" x14ac:dyDescent="0.35">
      <c r="A1" t="s">
        <v>555</v>
      </c>
      <c r="B1" t="s">
        <v>1</v>
      </c>
      <c r="C1" t="s">
        <v>540</v>
      </c>
      <c r="D1" t="s">
        <v>541</v>
      </c>
      <c r="E1" t="s">
        <v>2</v>
      </c>
      <c r="F1" t="s">
        <v>542</v>
      </c>
      <c r="G1" t="s">
        <v>543</v>
      </c>
      <c r="H1" t="s">
        <v>544</v>
      </c>
      <c r="I1" t="s">
        <v>545</v>
      </c>
      <c r="J1" t="s">
        <v>546</v>
      </c>
      <c r="K1" t="s">
        <v>547</v>
      </c>
      <c r="L1" t="s">
        <v>3</v>
      </c>
      <c r="M1" t="s">
        <v>4</v>
      </c>
      <c r="N1" t="s">
        <v>5</v>
      </c>
      <c r="O1" t="s">
        <v>601</v>
      </c>
      <c r="P1" t="s">
        <v>602</v>
      </c>
      <c r="Q1" t="s">
        <v>603</v>
      </c>
      <c r="R1" t="s">
        <v>604</v>
      </c>
      <c r="S1" t="s">
        <v>605</v>
      </c>
      <c r="T1" s="6" t="s">
        <v>596</v>
      </c>
      <c r="U1" s="6" t="s">
        <v>597</v>
      </c>
      <c r="V1" t="s">
        <v>606</v>
      </c>
      <c r="W1" s="6" t="s">
        <v>595</v>
      </c>
    </row>
    <row r="2" spans="1:24" x14ac:dyDescent="0.35">
      <c r="A2" t="s">
        <v>557</v>
      </c>
      <c r="B2" t="s">
        <v>92</v>
      </c>
      <c r="C2">
        <v>1</v>
      </c>
      <c r="D2">
        <v>1</v>
      </c>
      <c r="E2">
        <v>1</v>
      </c>
      <c r="F2">
        <v>3</v>
      </c>
      <c r="G2">
        <v>0.125</v>
      </c>
      <c r="H2" s="3">
        <v>45310.444444444445</v>
      </c>
      <c r="I2" s="3">
        <v>45310.574305555558</v>
      </c>
      <c r="J2">
        <v>3.1166666689999998</v>
      </c>
      <c r="K2">
        <v>0.129861111</v>
      </c>
      <c r="L2">
        <v>22.24</v>
      </c>
      <c r="M2">
        <v>16.100000000000001</v>
      </c>
      <c r="N2">
        <v>10.06</v>
      </c>
      <c r="O2">
        <v>0.52700000000000002</v>
      </c>
      <c r="P2">
        <v>9.5699999999999993E-2</v>
      </c>
      <c r="Q2">
        <v>30</v>
      </c>
      <c r="R2">
        <v>27.383038630000001</v>
      </c>
      <c r="S2">
        <v>55.045769749999998</v>
      </c>
      <c r="T2">
        <f>R2*30/1000/P2</f>
        <v>8.5840246489028225</v>
      </c>
      <c r="U2">
        <f>S2*30/1000/P2</f>
        <v>17.25572719435737</v>
      </c>
      <c r="V2">
        <f>(U2-T2)*0.3083</f>
        <v>2.6734858947636368</v>
      </c>
      <c r="W2">
        <v>1</v>
      </c>
    </row>
    <row r="3" spans="1:24" x14ac:dyDescent="0.35">
      <c r="A3" t="s">
        <v>557</v>
      </c>
      <c r="B3" t="s">
        <v>93</v>
      </c>
      <c r="C3">
        <v>1</v>
      </c>
      <c r="D3">
        <v>1</v>
      </c>
      <c r="E3">
        <v>2</v>
      </c>
      <c r="F3">
        <v>3</v>
      </c>
      <c r="G3">
        <v>0.125</v>
      </c>
      <c r="H3" s="3">
        <v>45310.444444444445</v>
      </c>
      <c r="I3" s="3">
        <v>45310.574305555558</v>
      </c>
      <c r="J3">
        <v>3.1166666689999998</v>
      </c>
      <c r="K3">
        <v>0.129861111</v>
      </c>
      <c r="L3">
        <v>23.16</v>
      </c>
      <c r="M3">
        <v>16.559999999999999</v>
      </c>
      <c r="N3">
        <v>9.5399999999999991</v>
      </c>
      <c r="O3">
        <v>0.51649999999999996</v>
      </c>
      <c r="P3">
        <v>9.5000000000000001E-2</v>
      </c>
      <c r="Q3">
        <v>30</v>
      </c>
      <c r="R3">
        <v>22.269942090000001</v>
      </c>
      <c r="S3">
        <v>23.355294749999999</v>
      </c>
      <c r="T3">
        <f t="shared" ref="T3:T31" si="0">R3*30/1000/P3</f>
        <v>7.0326132915789481</v>
      </c>
      <c r="U3">
        <f t="shared" ref="U3:U31" si="1">S3*30/1000/P3</f>
        <v>7.3753562368421051</v>
      </c>
      <c r="V3">
        <f t="shared" ref="V3:V31" si="2">(U3-T3)*0.3083</f>
        <v>0.1056676500246313</v>
      </c>
      <c r="W3">
        <v>0</v>
      </c>
    </row>
    <row r="4" spans="1:24" x14ac:dyDescent="0.35">
      <c r="A4" t="s">
        <v>557</v>
      </c>
      <c r="B4" t="s">
        <v>94</v>
      </c>
      <c r="C4">
        <v>1</v>
      </c>
      <c r="D4">
        <v>2</v>
      </c>
      <c r="E4">
        <v>1</v>
      </c>
      <c r="F4">
        <v>3</v>
      </c>
      <c r="G4">
        <v>0.125</v>
      </c>
      <c r="H4" s="3">
        <v>45310.444444444445</v>
      </c>
      <c r="I4" s="3">
        <v>45310.574305555558</v>
      </c>
      <c r="J4">
        <v>3.1166666689999998</v>
      </c>
      <c r="K4">
        <v>0.129861111</v>
      </c>
      <c r="L4">
        <v>22.81</v>
      </c>
      <c r="M4">
        <v>15.87</v>
      </c>
      <c r="N4">
        <v>9.91</v>
      </c>
      <c r="O4">
        <v>0.45829999999999999</v>
      </c>
      <c r="P4">
        <v>8.2699999999999996E-2</v>
      </c>
      <c r="Q4">
        <v>30</v>
      </c>
      <c r="R4">
        <v>19.352009649999999</v>
      </c>
      <c r="S4">
        <v>78.545588519999995</v>
      </c>
      <c r="T4">
        <f t="shared" si="0"/>
        <v>7.0200760519951633</v>
      </c>
      <c r="U4">
        <f t="shared" si="1"/>
        <v>28.492958350665059</v>
      </c>
      <c r="V4">
        <f t="shared" si="2"/>
        <v>6.6200896126799291</v>
      </c>
      <c r="W4">
        <v>1</v>
      </c>
    </row>
    <row r="5" spans="1:24" x14ac:dyDescent="0.35">
      <c r="A5" t="s">
        <v>557</v>
      </c>
      <c r="B5" t="s">
        <v>95</v>
      </c>
      <c r="C5">
        <v>1</v>
      </c>
      <c r="D5">
        <v>2</v>
      </c>
      <c r="E5">
        <v>2</v>
      </c>
      <c r="F5">
        <v>3</v>
      </c>
      <c r="G5">
        <v>0.125</v>
      </c>
      <c r="H5" s="3">
        <v>45310.444444444445</v>
      </c>
      <c r="I5" s="3">
        <v>45310.574305555558</v>
      </c>
      <c r="J5">
        <v>3.1166666689999998</v>
      </c>
      <c r="K5">
        <v>0.129861111</v>
      </c>
      <c r="L5">
        <v>22.71</v>
      </c>
      <c r="M5">
        <v>15.84</v>
      </c>
      <c r="N5">
        <v>9.91</v>
      </c>
      <c r="O5">
        <v>0.4894</v>
      </c>
      <c r="P5">
        <v>7.6499999999999999E-2</v>
      </c>
      <c r="Q5">
        <v>30</v>
      </c>
      <c r="R5">
        <v>16.65550373</v>
      </c>
      <c r="S5">
        <v>92.543281129999997</v>
      </c>
      <c r="T5">
        <f t="shared" si="0"/>
        <v>6.5315700901960785</v>
      </c>
      <c r="U5">
        <f t="shared" si="1"/>
        <v>36.291482796078434</v>
      </c>
      <c r="V5">
        <f t="shared" si="2"/>
        <v>9.1749810872235305</v>
      </c>
      <c r="W5">
        <v>1</v>
      </c>
    </row>
    <row r="6" spans="1:24" x14ac:dyDescent="0.35">
      <c r="A6" t="s">
        <v>557</v>
      </c>
      <c r="B6" t="s">
        <v>96</v>
      </c>
      <c r="C6">
        <v>1</v>
      </c>
      <c r="D6">
        <v>3</v>
      </c>
      <c r="E6">
        <v>1</v>
      </c>
      <c r="F6">
        <v>3</v>
      </c>
      <c r="G6">
        <v>0.125</v>
      </c>
      <c r="H6" s="3">
        <v>45310.444444444445</v>
      </c>
      <c r="I6" s="3">
        <v>45310.574305555558</v>
      </c>
      <c r="J6">
        <v>3.1166666689999998</v>
      </c>
      <c r="K6">
        <v>0.129861111</v>
      </c>
      <c r="L6">
        <v>24.46</v>
      </c>
      <c r="M6">
        <v>17.41</v>
      </c>
      <c r="N6">
        <v>10.32</v>
      </c>
      <c r="O6">
        <v>0.65659999999999996</v>
      </c>
      <c r="P6">
        <v>0.1178</v>
      </c>
      <c r="Q6">
        <v>30</v>
      </c>
      <c r="R6">
        <v>24.508917610000001</v>
      </c>
      <c r="S6">
        <v>73.693960099999998</v>
      </c>
      <c r="T6">
        <f t="shared" si="0"/>
        <v>6.241659832767402</v>
      </c>
      <c r="U6">
        <f t="shared" si="1"/>
        <v>18.767561994906622</v>
      </c>
      <c r="V6">
        <f t="shared" si="2"/>
        <v>3.8617356365875217</v>
      </c>
      <c r="W6">
        <v>1</v>
      </c>
    </row>
    <row r="7" spans="1:24" x14ac:dyDescent="0.35">
      <c r="A7" t="s">
        <v>557</v>
      </c>
      <c r="B7" t="s">
        <v>97</v>
      </c>
      <c r="C7">
        <v>1</v>
      </c>
      <c r="D7">
        <v>3</v>
      </c>
      <c r="E7">
        <v>2</v>
      </c>
      <c r="F7">
        <v>3</v>
      </c>
      <c r="G7">
        <v>0.125</v>
      </c>
      <c r="H7" s="3">
        <v>45310.444444444445</v>
      </c>
      <c r="I7" s="3">
        <v>45310.574305555558</v>
      </c>
      <c r="J7">
        <v>3.1166666689999998</v>
      </c>
      <c r="K7">
        <v>0.129861111</v>
      </c>
      <c r="L7">
        <v>24.56</v>
      </c>
      <c r="M7">
        <v>16.79</v>
      </c>
      <c r="N7">
        <v>10.31</v>
      </c>
      <c r="O7">
        <v>0.62080000000000002</v>
      </c>
      <c r="P7">
        <v>0.1109</v>
      </c>
      <c r="Q7">
        <v>30</v>
      </c>
      <c r="R7">
        <v>22.88113465</v>
      </c>
      <c r="S7">
        <v>76.839416619999994</v>
      </c>
      <c r="T7">
        <f t="shared" si="0"/>
        <v>6.1896667222723174</v>
      </c>
      <c r="U7">
        <f t="shared" si="1"/>
        <v>20.786136146077546</v>
      </c>
      <c r="V7">
        <f t="shared" si="2"/>
        <v>4.5000915233591519</v>
      </c>
      <c r="W7">
        <v>1</v>
      </c>
      <c r="X7">
        <f>AVERAGE(V2:V7)</f>
        <v>4.4893419007730673</v>
      </c>
    </row>
    <row r="8" spans="1:24" x14ac:dyDescent="0.35">
      <c r="A8" t="s">
        <v>557</v>
      </c>
      <c r="B8" t="s">
        <v>98</v>
      </c>
      <c r="C8">
        <v>2</v>
      </c>
      <c r="D8">
        <v>1</v>
      </c>
      <c r="E8">
        <v>1</v>
      </c>
      <c r="F8">
        <v>6</v>
      </c>
      <c r="G8">
        <v>0.25</v>
      </c>
      <c r="H8" s="3">
        <v>45310.444444444445</v>
      </c>
      <c r="I8" s="3">
        <v>45310.697222222225</v>
      </c>
      <c r="J8">
        <v>6.0666666669999998</v>
      </c>
      <c r="K8">
        <v>0.25277777800000001</v>
      </c>
      <c r="L8">
        <v>24.61</v>
      </c>
      <c r="M8">
        <v>17.809999999999999</v>
      </c>
      <c r="N8">
        <v>10.85</v>
      </c>
      <c r="O8">
        <v>0.55410000000000004</v>
      </c>
      <c r="P8">
        <v>8.9300000000000004E-2</v>
      </c>
      <c r="Q8">
        <v>30</v>
      </c>
      <c r="R8">
        <v>19.040427709999999</v>
      </c>
      <c r="S8">
        <v>126.8411641</v>
      </c>
      <c r="T8">
        <f t="shared" si="0"/>
        <v>6.3965602609182524</v>
      </c>
      <c r="U8">
        <f t="shared" si="1"/>
        <v>42.611813247480399</v>
      </c>
      <c r="V8">
        <f t="shared" si="2"/>
        <v>11.165162495757111</v>
      </c>
      <c r="W8">
        <v>1</v>
      </c>
    </row>
    <row r="9" spans="1:24" x14ac:dyDescent="0.35">
      <c r="A9" t="s">
        <v>557</v>
      </c>
      <c r="B9" t="s">
        <v>99</v>
      </c>
      <c r="C9">
        <v>2</v>
      </c>
      <c r="D9">
        <v>1</v>
      </c>
      <c r="E9">
        <v>2</v>
      </c>
      <c r="F9">
        <v>6</v>
      </c>
      <c r="G9">
        <v>0.25</v>
      </c>
      <c r="H9" s="3">
        <v>45310.444444444445</v>
      </c>
      <c r="I9" s="3">
        <v>45310.697222222225</v>
      </c>
      <c r="J9">
        <v>6.0666666669999998</v>
      </c>
      <c r="K9">
        <v>0.25277777800000001</v>
      </c>
      <c r="L9">
        <v>21.68</v>
      </c>
      <c r="M9">
        <v>15.09</v>
      </c>
      <c r="N9">
        <v>9.39</v>
      </c>
      <c r="O9">
        <v>0.38279999999999997</v>
      </c>
      <c r="P9">
        <v>6.7400000000000002E-2</v>
      </c>
      <c r="Q9">
        <v>30</v>
      </c>
      <c r="R9">
        <v>17.446277909999999</v>
      </c>
      <c r="S9">
        <v>36.624840130000003</v>
      </c>
      <c r="T9">
        <f t="shared" si="0"/>
        <v>7.7654055979228485</v>
      </c>
      <c r="U9">
        <f t="shared" si="1"/>
        <v>16.301857624629079</v>
      </c>
      <c r="V9">
        <f t="shared" si="2"/>
        <v>2.6317881598335311</v>
      </c>
      <c r="W9">
        <v>1</v>
      </c>
    </row>
    <row r="10" spans="1:24" x14ac:dyDescent="0.35">
      <c r="A10" t="s">
        <v>557</v>
      </c>
      <c r="B10" t="s">
        <v>100</v>
      </c>
      <c r="C10">
        <v>2</v>
      </c>
      <c r="D10">
        <v>2</v>
      </c>
      <c r="E10">
        <v>1</v>
      </c>
      <c r="F10">
        <v>6</v>
      </c>
      <c r="G10">
        <v>0.25</v>
      </c>
      <c r="H10" s="3">
        <v>45310.444444444445</v>
      </c>
      <c r="I10" s="3">
        <v>45310.697222222225</v>
      </c>
      <c r="J10">
        <v>6.0666666669999998</v>
      </c>
      <c r="K10">
        <v>0.25277777800000001</v>
      </c>
      <c r="L10">
        <v>22.63</v>
      </c>
      <c r="M10">
        <v>15.68</v>
      </c>
      <c r="N10">
        <v>10.16</v>
      </c>
      <c r="W10">
        <v>0</v>
      </c>
    </row>
    <row r="11" spans="1:24" x14ac:dyDescent="0.35">
      <c r="A11" t="s">
        <v>557</v>
      </c>
      <c r="B11" t="s">
        <v>101</v>
      </c>
      <c r="C11">
        <v>2</v>
      </c>
      <c r="D11">
        <v>2</v>
      </c>
      <c r="E11">
        <v>2</v>
      </c>
      <c r="F11">
        <v>6</v>
      </c>
      <c r="G11">
        <v>0.25</v>
      </c>
      <c r="H11" s="3">
        <v>45310.444444444445</v>
      </c>
      <c r="I11" s="3">
        <v>45310.697222222225</v>
      </c>
      <c r="J11">
        <v>6.0666666669999998</v>
      </c>
      <c r="K11">
        <v>0.25277777800000001</v>
      </c>
      <c r="L11">
        <v>23.28</v>
      </c>
      <c r="M11">
        <v>16.690000000000001</v>
      </c>
      <c r="N11">
        <v>8.92</v>
      </c>
      <c r="O11">
        <v>0.43509999999999999</v>
      </c>
      <c r="P11">
        <v>7.9299999999999995E-2</v>
      </c>
      <c r="Q11">
        <v>30</v>
      </c>
      <c r="R11">
        <v>17.454759209999999</v>
      </c>
      <c r="S11">
        <v>20.65289675</v>
      </c>
      <c r="T11">
        <f t="shared" si="0"/>
        <v>6.6033136986128618</v>
      </c>
      <c r="U11">
        <f t="shared" si="1"/>
        <v>7.8132017969735177</v>
      </c>
      <c r="V11">
        <f t="shared" si="2"/>
        <v>0.37300850072459024</v>
      </c>
      <c r="W11">
        <v>0</v>
      </c>
    </row>
    <row r="12" spans="1:24" x14ac:dyDescent="0.35">
      <c r="A12" t="s">
        <v>557</v>
      </c>
      <c r="B12" t="s">
        <v>102</v>
      </c>
      <c r="C12">
        <v>2</v>
      </c>
      <c r="D12">
        <v>3</v>
      </c>
      <c r="E12">
        <v>1</v>
      </c>
      <c r="F12">
        <v>6</v>
      </c>
      <c r="G12">
        <v>0.25</v>
      </c>
      <c r="H12" s="3">
        <v>45310.444444444445</v>
      </c>
      <c r="I12" s="3">
        <v>45310.697222222225</v>
      </c>
      <c r="J12">
        <v>6.0666666669999998</v>
      </c>
      <c r="K12">
        <v>0.25277777800000001</v>
      </c>
      <c r="L12">
        <v>26.16</v>
      </c>
      <c r="M12">
        <v>17.82</v>
      </c>
      <c r="N12">
        <v>11.43</v>
      </c>
      <c r="O12">
        <v>0.77910000000000001</v>
      </c>
      <c r="P12">
        <v>0.14019999999999999</v>
      </c>
      <c r="Q12">
        <v>30</v>
      </c>
      <c r="R12">
        <v>36.635375770000003</v>
      </c>
      <c r="S12">
        <v>38.275918189999999</v>
      </c>
      <c r="T12">
        <f t="shared" si="0"/>
        <v>7.839238752496434</v>
      </c>
      <c r="U12">
        <f t="shared" si="1"/>
        <v>8.1902820663338094</v>
      </c>
      <c r="V12">
        <f t="shared" si="2"/>
        <v>0.10822665365606285</v>
      </c>
      <c r="W12">
        <v>0</v>
      </c>
    </row>
    <row r="13" spans="1:24" x14ac:dyDescent="0.35">
      <c r="A13" t="s">
        <v>557</v>
      </c>
      <c r="B13" t="s">
        <v>103</v>
      </c>
      <c r="C13">
        <v>2</v>
      </c>
      <c r="D13">
        <v>3</v>
      </c>
      <c r="E13">
        <v>2</v>
      </c>
      <c r="F13">
        <v>6</v>
      </c>
      <c r="G13">
        <v>0.25</v>
      </c>
      <c r="H13" s="3">
        <v>45310.444444444445</v>
      </c>
      <c r="I13" s="3">
        <v>45310.697222222225</v>
      </c>
      <c r="J13">
        <v>6.0666666669999998</v>
      </c>
      <c r="K13">
        <v>0.25277777800000001</v>
      </c>
      <c r="L13">
        <v>24.89</v>
      </c>
      <c r="M13">
        <v>16.29</v>
      </c>
      <c r="N13">
        <v>9.23</v>
      </c>
      <c r="O13">
        <v>0.56920000000000004</v>
      </c>
      <c r="P13">
        <v>9.7000000000000003E-2</v>
      </c>
      <c r="Q13">
        <v>30</v>
      </c>
      <c r="R13">
        <v>23.23824973</v>
      </c>
      <c r="S13">
        <v>59.204776510000002</v>
      </c>
      <c r="T13">
        <f t="shared" si="0"/>
        <v>7.1870875453608249</v>
      </c>
      <c r="U13">
        <f t="shared" si="1"/>
        <v>18.310755621649484</v>
      </c>
      <c r="V13">
        <f t="shared" si="2"/>
        <v>3.4294268679197937</v>
      </c>
      <c r="W13">
        <v>1</v>
      </c>
      <c r="X13">
        <f>AVERAGE(V8:V13)</f>
        <v>3.5415225355782178</v>
      </c>
    </row>
    <row r="14" spans="1:24" x14ac:dyDescent="0.35">
      <c r="A14" t="s">
        <v>557</v>
      </c>
      <c r="B14" t="s">
        <v>104</v>
      </c>
      <c r="C14">
        <v>3</v>
      </c>
      <c r="D14">
        <v>1</v>
      </c>
      <c r="E14">
        <v>1</v>
      </c>
      <c r="F14">
        <v>9</v>
      </c>
      <c r="G14">
        <v>0.375</v>
      </c>
      <c r="H14" s="3">
        <v>45310.444444444445</v>
      </c>
      <c r="I14" s="3">
        <v>45310.826388888891</v>
      </c>
      <c r="J14">
        <v>9.1666666679999995</v>
      </c>
      <c r="K14">
        <v>0.38194444399999999</v>
      </c>
      <c r="L14">
        <v>21.39</v>
      </c>
      <c r="M14">
        <v>15.24</v>
      </c>
      <c r="N14">
        <v>10.1</v>
      </c>
      <c r="O14">
        <v>0.43</v>
      </c>
      <c r="P14">
        <v>7.7799999999999994E-2</v>
      </c>
      <c r="Q14">
        <v>30</v>
      </c>
      <c r="R14">
        <v>17.167856820000001</v>
      </c>
      <c r="S14">
        <v>76.909426710000005</v>
      </c>
      <c r="T14">
        <f t="shared" si="0"/>
        <v>6.6199962030848338</v>
      </c>
      <c r="U14">
        <f t="shared" si="1"/>
        <v>29.656591276349623</v>
      </c>
      <c r="V14">
        <f t="shared" si="2"/>
        <v>7.1021822610875347</v>
      </c>
      <c r="W14">
        <v>1</v>
      </c>
    </row>
    <row r="15" spans="1:24" x14ac:dyDescent="0.35">
      <c r="A15" t="s">
        <v>557</v>
      </c>
      <c r="B15" t="s">
        <v>105</v>
      </c>
      <c r="C15">
        <v>3</v>
      </c>
      <c r="D15">
        <v>1</v>
      </c>
      <c r="E15">
        <v>2</v>
      </c>
      <c r="F15">
        <v>9</v>
      </c>
      <c r="G15">
        <v>0.375</v>
      </c>
      <c r="H15" s="3">
        <v>45310.444444444445</v>
      </c>
      <c r="I15" s="3">
        <v>45310.826388888891</v>
      </c>
      <c r="J15">
        <v>9.1666666679999995</v>
      </c>
      <c r="K15">
        <v>0.38194444399999999</v>
      </c>
      <c r="L15">
        <v>25.73</v>
      </c>
      <c r="M15">
        <v>17.02</v>
      </c>
      <c r="N15">
        <v>10.36</v>
      </c>
      <c r="W15">
        <v>0</v>
      </c>
    </row>
    <row r="16" spans="1:24" x14ac:dyDescent="0.35">
      <c r="A16" t="s">
        <v>557</v>
      </c>
      <c r="B16" t="s">
        <v>106</v>
      </c>
      <c r="C16">
        <v>3</v>
      </c>
      <c r="D16">
        <v>2</v>
      </c>
      <c r="E16">
        <v>1</v>
      </c>
      <c r="F16">
        <v>9</v>
      </c>
      <c r="G16">
        <v>0.375</v>
      </c>
      <c r="H16" s="3">
        <v>45310.444444444445</v>
      </c>
      <c r="I16" s="3">
        <v>45310.826388888891</v>
      </c>
      <c r="J16">
        <v>9.1666666679999995</v>
      </c>
      <c r="K16">
        <v>0.38194444399999999</v>
      </c>
      <c r="L16">
        <v>23.94</v>
      </c>
      <c r="M16">
        <v>16.600000000000001</v>
      </c>
      <c r="N16">
        <v>9.6999999999999993</v>
      </c>
      <c r="O16">
        <v>0.48759999999999998</v>
      </c>
      <c r="P16">
        <v>8.7800000000000003E-2</v>
      </c>
      <c r="Q16">
        <v>30</v>
      </c>
      <c r="R16">
        <v>22.357578449999998</v>
      </c>
      <c r="S16">
        <v>86.854314790000004</v>
      </c>
      <c r="T16">
        <f t="shared" si="0"/>
        <v>7.6392637072892926</v>
      </c>
      <c r="U16">
        <f t="shared" si="1"/>
        <v>29.676872935079729</v>
      </c>
      <c r="V16">
        <f t="shared" si="2"/>
        <v>6.7941949249277922</v>
      </c>
      <c r="W16">
        <v>1</v>
      </c>
    </row>
    <row r="17" spans="1:24" x14ac:dyDescent="0.35">
      <c r="A17" t="s">
        <v>557</v>
      </c>
      <c r="B17" t="s">
        <v>107</v>
      </c>
      <c r="C17">
        <v>3</v>
      </c>
      <c r="D17">
        <v>2</v>
      </c>
      <c r="E17">
        <v>2</v>
      </c>
      <c r="F17">
        <v>9</v>
      </c>
      <c r="G17">
        <v>0.375</v>
      </c>
      <c r="H17" s="3">
        <v>45310.444444444445</v>
      </c>
      <c r="I17" s="3">
        <v>45310.826388888891</v>
      </c>
      <c r="J17">
        <v>9.1666666679999995</v>
      </c>
      <c r="K17">
        <v>0.38194444399999999</v>
      </c>
      <c r="L17">
        <v>23.15</v>
      </c>
      <c r="M17">
        <v>16.350000000000001</v>
      </c>
      <c r="N17">
        <v>10.15</v>
      </c>
      <c r="O17">
        <v>0.43120000000000003</v>
      </c>
      <c r="P17">
        <v>7.6899999999999996E-2</v>
      </c>
      <c r="Q17">
        <v>30</v>
      </c>
      <c r="R17">
        <v>17.10672593</v>
      </c>
      <c r="S17">
        <v>93.491533469999993</v>
      </c>
      <c r="T17">
        <f t="shared" si="0"/>
        <v>6.6736252002600782</v>
      </c>
      <c r="U17">
        <f t="shared" si="1"/>
        <v>36.472639845253582</v>
      </c>
      <c r="V17">
        <f t="shared" si="2"/>
        <v>9.1870362150514975</v>
      </c>
      <c r="W17">
        <v>1</v>
      </c>
    </row>
    <row r="18" spans="1:24" ht="15" customHeight="1" x14ac:dyDescent="0.35">
      <c r="A18" t="s">
        <v>557</v>
      </c>
      <c r="B18" t="s">
        <v>108</v>
      </c>
      <c r="C18">
        <v>3</v>
      </c>
      <c r="D18">
        <v>3</v>
      </c>
      <c r="E18">
        <v>1</v>
      </c>
      <c r="F18">
        <v>9</v>
      </c>
      <c r="G18">
        <v>0.375</v>
      </c>
      <c r="H18" s="3">
        <v>45310.444444444445</v>
      </c>
      <c r="I18" s="3">
        <v>45310.826388888891</v>
      </c>
      <c r="J18">
        <v>9.1666666679999995</v>
      </c>
      <c r="K18">
        <v>0.38194444399999999</v>
      </c>
      <c r="L18">
        <v>22.27</v>
      </c>
      <c r="M18">
        <v>15.75</v>
      </c>
      <c r="N18">
        <v>9.86</v>
      </c>
      <c r="O18">
        <v>0.4516</v>
      </c>
      <c r="P18">
        <v>8.7400000000000005E-2</v>
      </c>
      <c r="Q18">
        <v>30</v>
      </c>
      <c r="R18">
        <v>17.29944613</v>
      </c>
      <c r="S18">
        <v>95.307201939999999</v>
      </c>
      <c r="T18">
        <f t="shared" si="0"/>
        <v>5.9380249874141873</v>
      </c>
      <c r="U18">
        <f t="shared" si="1"/>
        <v>32.714142542334095</v>
      </c>
      <c r="V18">
        <f t="shared" si="2"/>
        <v>8.2550770421818083</v>
      </c>
      <c r="W18">
        <v>1</v>
      </c>
    </row>
    <row r="19" spans="1:24" x14ac:dyDescent="0.35">
      <c r="A19" t="s">
        <v>557</v>
      </c>
      <c r="B19" t="s">
        <v>109</v>
      </c>
      <c r="C19">
        <v>3</v>
      </c>
      <c r="D19">
        <v>3</v>
      </c>
      <c r="E19">
        <v>2</v>
      </c>
      <c r="F19">
        <v>9</v>
      </c>
      <c r="G19">
        <v>0.375</v>
      </c>
      <c r="H19" s="3">
        <v>45310.444444444445</v>
      </c>
      <c r="I19" s="3">
        <v>45310.826388888891</v>
      </c>
      <c r="J19">
        <v>9.1666666679999995</v>
      </c>
      <c r="K19">
        <v>0.38194444399999999</v>
      </c>
      <c r="L19">
        <v>23.32</v>
      </c>
      <c r="M19">
        <v>16.77</v>
      </c>
      <c r="N19">
        <v>10.19</v>
      </c>
      <c r="O19">
        <v>0.48709999999999998</v>
      </c>
      <c r="P19">
        <v>8.7900000000000006E-2</v>
      </c>
      <c r="Q19">
        <v>30</v>
      </c>
      <c r="R19">
        <v>19.186932370000001</v>
      </c>
      <c r="S19">
        <v>64.488601990000006</v>
      </c>
      <c r="T19">
        <f t="shared" si="0"/>
        <v>6.5484410819112622</v>
      </c>
      <c r="U19">
        <f t="shared" si="1"/>
        <v>22.00976177133106</v>
      </c>
      <c r="V19">
        <f t="shared" si="2"/>
        <v>4.766725168548124</v>
      </c>
      <c r="W19">
        <v>1</v>
      </c>
      <c r="X19">
        <f>AVERAGE(V14:V19)</f>
        <v>7.2210431223593501</v>
      </c>
    </row>
    <row r="20" spans="1:24" x14ac:dyDescent="0.35">
      <c r="A20" t="s">
        <v>557</v>
      </c>
      <c r="B20" t="s">
        <v>110</v>
      </c>
      <c r="C20">
        <v>4</v>
      </c>
      <c r="D20">
        <v>1</v>
      </c>
      <c r="E20">
        <v>1</v>
      </c>
      <c r="F20">
        <v>12</v>
      </c>
      <c r="G20">
        <v>0.5</v>
      </c>
      <c r="H20" s="3">
        <v>45310.444444444445</v>
      </c>
      <c r="I20" s="3">
        <v>45310.951388888891</v>
      </c>
      <c r="J20">
        <v>12.16666667</v>
      </c>
      <c r="K20">
        <v>0.50694444400000005</v>
      </c>
      <c r="L20">
        <v>20.07</v>
      </c>
      <c r="M20">
        <v>14.55</v>
      </c>
      <c r="N20">
        <v>9.02</v>
      </c>
      <c r="O20">
        <v>0.35120000000000001</v>
      </c>
      <c r="P20">
        <v>6.0100000000000001E-2</v>
      </c>
      <c r="Q20">
        <v>30</v>
      </c>
      <c r="R20">
        <v>14.99311284</v>
      </c>
      <c r="S20">
        <v>65.409832919999999</v>
      </c>
      <c r="T20">
        <f t="shared" si="0"/>
        <v>7.4840829484193012</v>
      </c>
      <c r="U20">
        <f t="shared" si="1"/>
        <v>32.650498961730449</v>
      </c>
      <c r="V20">
        <f t="shared" si="2"/>
        <v>7.7588060569038282</v>
      </c>
      <c r="W20">
        <v>1</v>
      </c>
    </row>
    <row r="21" spans="1:24" x14ac:dyDescent="0.35">
      <c r="A21" t="s">
        <v>557</v>
      </c>
      <c r="B21" t="s">
        <v>111</v>
      </c>
      <c r="C21">
        <v>4</v>
      </c>
      <c r="D21">
        <v>1</v>
      </c>
      <c r="E21">
        <v>2</v>
      </c>
      <c r="F21">
        <v>12</v>
      </c>
      <c r="G21">
        <v>0.5</v>
      </c>
      <c r="H21" s="3">
        <v>45310.444444444445</v>
      </c>
      <c r="I21" s="3">
        <v>45310.951388888891</v>
      </c>
      <c r="J21">
        <v>12.16666667</v>
      </c>
      <c r="K21">
        <v>0.50694444400000005</v>
      </c>
      <c r="L21">
        <v>22.85</v>
      </c>
      <c r="M21">
        <v>16.440000000000001</v>
      </c>
      <c r="N21">
        <v>10.17</v>
      </c>
      <c r="O21">
        <v>0.48039999999999999</v>
      </c>
      <c r="P21">
        <v>8.8099999999999998E-2</v>
      </c>
      <c r="Q21">
        <v>30</v>
      </c>
      <c r="R21">
        <v>18.68060058</v>
      </c>
      <c r="S21">
        <v>47.749228240000001</v>
      </c>
      <c r="T21">
        <f t="shared" si="0"/>
        <v>6.3611579727582299</v>
      </c>
      <c r="U21">
        <f t="shared" si="1"/>
        <v>16.259669094211123</v>
      </c>
      <c r="V21">
        <f t="shared" si="2"/>
        <v>3.0517109787439272</v>
      </c>
      <c r="W21">
        <v>1</v>
      </c>
    </row>
    <row r="22" spans="1:24" x14ac:dyDescent="0.35">
      <c r="A22" t="s">
        <v>557</v>
      </c>
      <c r="B22" t="s">
        <v>112</v>
      </c>
      <c r="C22">
        <v>4</v>
      </c>
      <c r="D22">
        <v>2</v>
      </c>
      <c r="E22">
        <v>1</v>
      </c>
      <c r="F22">
        <v>12</v>
      </c>
      <c r="G22">
        <v>0.5</v>
      </c>
      <c r="H22" s="3">
        <v>45310.444444444445</v>
      </c>
      <c r="I22" s="3">
        <v>45310.951388888891</v>
      </c>
      <c r="J22">
        <v>12.16666667</v>
      </c>
      <c r="K22">
        <v>0.50694444400000005</v>
      </c>
      <c r="L22">
        <v>25.57</v>
      </c>
      <c r="M22">
        <v>18.190000000000001</v>
      </c>
      <c r="N22">
        <v>11.42</v>
      </c>
      <c r="O22">
        <v>0.66459999999999997</v>
      </c>
      <c r="P22">
        <v>0.1104</v>
      </c>
      <c r="Q22">
        <v>30</v>
      </c>
      <c r="R22">
        <v>28.137861600000001</v>
      </c>
      <c r="S22">
        <v>56.999176239999997</v>
      </c>
      <c r="T22">
        <f t="shared" si="0"/>
        <v>7.6461580434782608</v>
      </c>
      <c r="U22">
        <f t="shared" si="1"/>
        <v>15.488906586956521</v>
      </c>
      <c r="V22">
        <f t="shared" si="2"/>
        <v>2.4179193759543476</v>
      </c>
      <c r="W22">
        <v>1</v>
      </c>
    </row>
    <row r="23" spans="1:24" x14ac:dyDescent="0.35">
      <c r="A23" t="s">
        <v>557</v>
      </c>
      <c r="B23" t="s">
        <v>113</v>
      </c>
      <c r="C23">
        <v>4</v>
      </c>
      <c r="D23">
        <v>2</v>
      </c>
      <c r="E23">
        <v>2</v>
      </c>
      <c r="F23">
        <v>12</v>
      </c>
      <c r="G23">
        <v>0.5</v>
      </c>
      <c r="H23" s="3">
        <v>45310.444444444445</v>
      </c>
      <c r="I23" s="3">
        <v>45310.951388888891</v>
      </c>
      <c r="J23">
        <v>12.16666667</v>
      </c>
      <c r="K23">
        <v>0.50694444400000005</v>
      </c>
      <c r="L23">
        <v>24.77</v>
      </c>
      <c r="M23">
        <v>17.87</v>
      </c>
      <c r="N23">
        <v>10.76</v>
      </c>
      <c r="O23">
        <v>0.67420000000000002</v>
      </c>
      <c r="P23">
        <v>0.12529999999999999</v>
      </c>
      <c r="Q23">
        <v>30</v>
      </c>
      <c r="R23">
        <v>21.842234049999998</v>
      </c>
      <c r="S23">
        <v>95.000987510000002</v>
      </c>
      <c r="T23">
        <f t="shared" si="0"/>
        <v>5.2295851675977651</v>
      </c>
      <c r="U23">
        <f t="shared" si="1"/>
        <v>22.745647448523545</v>
      </c>
      <c r="V23">
        <f t="shared" si="2"/>
        <v>5.4002020012094185</v>
      </c>
      <c r="W23">
        <v>1</v>
      </c>
    </row>
    <row r="24" spans="1:24" x14ac:dyDescent="0.35">
      <c r="A24" t="s">
        <v>557</v>
      </c>
      <c r="B24" t="s">
        <v>114</v>
      </c>
      <c r="C24">
        <v>4</v>
      </c>
      <c r="D24">
        <v>3</v>
      </c>
      <c r="E24">
        <v>1</v>
      </c>
      <c r="F24">
        <v>12</v>
      </c>
      <c r="G24">
        <v>0.5</v>
      </c>
      <c r="H24" s="3">
        <v>45310.444444444445</v>
      </c>
      <c r="I24" s="3">
        <v>45310.951388888891</v>
      </c>
      <c r="J24">
        <v>12.16666667</v>
      </c>
      <c r="K24">
        <v>0.50694444400000005</v>
      </c>
      <c r="L24">
        <v>22.98</v>
      </c>
      <c r="M24">
        <v>16.77</v>
      </c>
      <c r="N24">
        <v>9.48</v>
      </c>
      <c r="O24">
        <v>0.52380000000000004</v>
      </c>
      <c r="P24">
        <v>9.4299999999999995E-2</v>
      </c>
      <c r="Q24">
        <v>30</v>
      </c>
      <c r="R24">
        <v>23.121809469999999</v>
      </c>
      <c r="S24">
        <v>81.69931235</v>
      </c>
      <c r="T24">
        <f t="shared" si="0"/>
        <v>7.355824857900318</v>
      </c>
      <c r="U24">
        <f t="shared" si="1"/>
        <v>25.991297672322379</v>
      </c>
      <c r="V24">
        <f t="shared" si="2"/>
        <v>5.7453162686863211</v>
      </c>
      <c r="W24">
        <v>1</v>
      </c>
    </row>
    <row r="25" spans="1:24" x14ac:dyDescent="0.35">
      <c r="A25" t="s">
        <v>557</v>
      </c>
      <c r="B25" t="s">
        <v>115</v>
      </c>
      <c r="C25">
        <v>4</v>
      </c>
      <c r="D25">
        <v>3</v>
      </c>
      <c r="E25">
        <v>2</v>
      </c>
      <c r="F25">
        <v>12</v>
      </c>
      <c r="G25">
        <v>0.5</v>
      </c>
      <c r="H25" s="3">
        <v>45310.444444444445</v>
      </c>
      <c r="I25" s="3">
        <v>45310.951388888891</v>
      </c>
      <c r="J25">
        <v>12.16666667</v>
      </c>
      <c r="K25">
        <v>0.50694444400000005</v>
      </c>
      <c r="L25">
        <v>22.23</v>
      </c>
      <c r="M25">
        <v>15.51</v>
      </c>
      <c r="N25">
        <v>9.58</v>
      </c>
      <c r="O25">
        <v>0.42759999999999998</v>
      </c>
      <c r="P25" s="1">
        <v>7.1999999999999995E-2</v>
      </c>
      <c r="Q25">
        <v>30</v>
      </c>
      <c r="R25">
        <v>17.278747979999999</v>
      </c>
      <c r="S25">
        <v>127.9653959</v>
      </c>
      <c r="T25">
        <f t="shared" si="0"/>
        <v>7.1994783249999994</v>
      </c>
      <c r="U25">
        <f t="shared" si="1"/>
        <v>53.318914958333337</v>
      </c>
      <c r="V25">
        <f t="shared" si="2"/>
        <v>14.218622314056669</v>
      </c>
      <c r="W25">
        <v>1</v>
      </c>
      <c r="X25">
        <f>AVERAGE(V20:V25)</f>
        <v>6.4320961659257518</v>
      </c>
    </row>
    <row r="26" spans="1:24" ht="14.8" customHeight="1" x14ac:dyDescent="0.35">
      <c r="A26" t="s">
        <v>557</v>
      </c>
      <c r="B26" t="s">
        <v>116</v>
      </c>
      <c r="C26">
        <v>5</v>
      </c>
      <c r="D26">
        <v>1</v>
      </c>
      <c r="E26">
        <v>1</v>
      </c>
      <c r="F26">
        <v>24</v>
      </c>
      <c r="G26">
        <v>1</v>
      </c>
      <c r="H26" s="3">
        <v>45310.444444444445</v>
      </c>
      <c r="I26" s="3">
        <v>45311.451388888891</v>
      </c>
      <c r="J26">
        <v>24.166666670000001</v>
      </c>
      <c r="K26">
        <v>1.0069444439999999</v>
      </c>
      <c r="L26">
        <v>20.91</v>
      </c>
      <c r="M26">
        <v>14.89</v>
      </c>
      <c r="N26">
        <v>8.74</v>
      </c>
      <c r="O26">
        <v>0.36080000000000001</v>
      </c>
      <c r="P26">
        <v>6.6699999999999995E-2</v>
      </c>
      <c r="Q26">
        <v>30</v>
      </c>
      <c r="R26">
        <v>14.415935599999999</v>
      </c>
      <c r="S26">
        <v>125.78111819999999</v>
      </c>
      <c r="T26">
        <f t="shared" si="0"/>
        <v>6.4839290554722631</v>
      </c>
      <c r="U26">
        <f t="shared" si="1"/>
        <v>56.573216581709147</v>
      </c>
      <c r="V26">
        <f t="shared" si="2"/>
        <v>15.442527344338833</v>
      </c>
      <c r="W26">
        <v>1</v>
      </c>
    </row>
    <row r="27" spans="1:24" x14ac:dyDescent="0.35">
      <c r="A27" t="s">
        <v>557</v>
      </c>
      <c r="B27" t="s">
        <v>117</v>
      </c>
      <c r="C27">
        <v>5</v>
      </c>
      <c r="D27">
        <v>1</v>
      </c>
      <c r="E27">
        <v>2</v>
      </c>
      <c r="F27">
        <v>24</v>
      </c>
      <c r="G27">
        <v>1</v>
      </c>
      <c r="H27" s="3">
        <v>45310.444444444445</v>
      </c>
      <c r="I27" s="3">
        <v>45311.451388888891</v>
      </c>
      <c r="J27">
        <v>24.166666670000001</v>
      </c>
      <c r="K27">
        <v>1.0069444439999999</v>
      </c>
      <c r="L27">
        <v>23.39</v>
      </c>
      <c r="M27">
        <v>16.809999999999999</v>
      </c>
      <c r="N27">
        <v>10.6</v>
      </c>
      <c r="O27">
        <v>0.46779999999999999</v>
      </c>
      <c r="P27">
        <v>8.5400000000000004E-2</v>
      </c>
      <c r="Q27">
        <v>30</v>
      </c>
      <c r="R27">
        <v>36.506012630000001</v>
      </c>
      <c r="S27">
        <v>205.59684350000001</v>
      </c>
      <c r="T27">
        <f t="shared" si="0"/>
        <v>12.824126216627635</v>
      </c>
      <c r="U27">
        <f t="shared" si="1"/>
        <v>72.22371551522248</v>
      </c>
      <c r="V27">
        <f t="shared" si="2"/>
        <v>18.312893380756794</v>
      </c>
      <c r="W27">
        <v>1</v>
      </c>
    </row>
    <row r="28" spans="1:24" x14ac:dyDescent="0.35">
      <c r="A28" t="s">
        <v>557</v>
      </c>
      <c r="B28" t="s">
        <v>118</v>
      </c>
      <c r="C28">
        <v>5</v>
      </c>
      <c r="D28">
        <v>2</v>
      </c>
      <c r="E28">
        <v>1</v>
      </c>
      <c r="F28">
        <v>24</v>
      </c>
      <c r="G28">
        <v>1</v>
      </c>
      <c r="H28" s="3">
        <v>45310.444444444445</v>
      </c>
      <c r="I28" s="3">
        <v>45311.451388888891</v>
      </c>
      <c r="J28">
        <v>24.166666670000001</v>
      </c>
      <c r="K28">
        <v>1.0069444439999999</v>
      </c>
      <c r="L28">
        <v>24.85</v>
      </c>
      <c r="M28">
        <v>17.170000000000002</v>
      </c>
      <c r="N28">
        <v>11.17</v>
      </c>
      <c r="O28">
        <v>0.61670000000000003</v>
      </c>
      <c r="P28">
        <v>0.11070000000000001</v>
      </c>
      <c r="Q28">
        <v>30</v>
      </c>
      <c r="R28">
        <v>24.711507839999999</v>
      </c>
      <c r="S28">
        <v>207.1044622</v>
      </c>
      <c r="T28">
        <f t="shared" si="0"/>
        <v>6.6968855934959342</v>
      </c>
      <c r="U28">
        <f t="shared" si="1"/>
        <v>56.125870514905145</v>
      </c>
      <c r="V28">
        <f t="shared" si="2"/>
        <v>15.23895605127046</v>
      </c>
      <c r="W28">
        <v>1</v>
      </c>
    </row>
    <row r="29" spans="1:24" x14ac:dyDescent="0.35">
      <c r="A29" t="s">
        <v>557</v>
      </c>
      <c r="B29" t="s">
        <v>119</v>
      </c>
      <c r="C29">
        <v>5</v>
      </c>
      <c r="D29">
        <v>2</v>
      </c>
      <c r="E29">
        <v>2</v>
      </c>
      <c r="F29">
        <v>24</v>
      </c>
      <c r="G29">
        <v>1</v>
      </c>
      <c r="H29" s="3">
        <v>45310.444444444445</v>
      </c>
      <c r="I29" s="3">
        <v>45311.451388888891</v>
      </c>
      <c r="J29">
        <v>24.166666670000001</v>
      </c>
      <c r="K29">
        <v>1.0069444439999999</v>
      </c>
      <c r="L29">
        <v>20.14</v>
      </c>
      <c r="M29">
        <v>15.69</v>
      </c>
      <c r="N29">
        <v>10.17</v>
      </c>
      <c r="O29">
        <v>0.36549999999999999</v>
      </c>
      <c r="P29" s="1">
        <v>6.4000000000000001E-2</v>
      </c>
      <c r="Q29">
        <v>30</v>
      </c>
      <c r="R29">
        <v>21.558276169999999</v>
      </c>
      <c r="S29">
        <v>89.510315680000005</v>
      </c>
      <c r="T29">
        <f t="shared" si="0"/>
        <v>10.105441954687498</v>
      </c>
      <c r="U29">
        <f t="shared" si="1"/>
        <v>41.957960475</v>
      </c>
      <c r="V29">
        <f t="shared" si="2"/>
        <v>9.8201314598123446</v>
      </c>
      <c r="W29">
        <v>1</v>
      </c>
    </row>
    <row r="30" spans="1:24" x14ac:dyDescent="0.35">
      <c r="A30" t="s">
        <v>557</v>
      </c>
      <c r="B30" t="s">
        <v>120</v>
      </c>
      <c r="C30">
        <v>5</v>
      </c>
      <c r="D30">
        <v>3</v>
      </c>
      <c r="E30">
        <v>1</v>
      </c>
      <c r="F30">
        <v>24</v>
      </c>
      <c r="G30">
        <v>1</v>
      </c>
      <c r="H30" s="3">
        <v>45310.444444444445</v>
      </c>
      <c r="I30" s="3">
        <v>45311.451388888891</v>
      </c>
      <c r="J30">
        <v>24.166666670000001</v>
      </c>
      <c r="K30">
        <v>1.0069444439999999</v>
      </c>
      <c r="L30">
        <v>21.97</v>
      </c>
      <c r="M30">
        <v>15.16</v>
      </c>
      <c r="N30">
        <v>8.93</v>
      </c>
      <c r="O30">
        <v>0.39040000000000002</v>
      </c>
      <c r="P30" s="1">
        <v>7.3999999999999996E-2</v>
      </c>
      <c r="Q30">
        <v>30</v>
      </c>
      <c r="R30">
        <v>15.56011402</v>
      </c>
      <c r="S30">
        <v>184.0875235</v>
      </c>
      <c r="T30">
        <f t="shared" si="0"/>
        <v>6.3081543324324318</v>
      </c>
      <c r="U30">
        <f t="shared" si="1"/>
        <v>74.630077094594597</v>
      </c>
      <c r="V30">
        <f t="shared" si="2"/>
        <v>21.063648787574596</v>
      </c>
      <c r="W30">
        <v>1</v>
      </c>
    </row>
    <row r="31" spans="1:24" x14ac:dyDescent="0.35">
      <c r="A31" t="s">
        <v>557</v>
      </c>
      <c r="B31" t="s">
        <v>121</v>
      </c>
      <c r="C31">
        <v>5</v>
      </c>
      <c r="D31">
        <v>3</v>
      </c>
      <c r="E31">
        <v>2</v>
      </c>
      <c r="F31">
        <v>24</v>
      </c>
      <c r="G31">
        <v>1</v>
      </c>
      <c r="H31" s="3">
        <v>45310.444444444445</v>
      </c>
      <c r="I31" s="3">
        <v>45311.451388888891</v>
      </c>
      <c r="J31">
        <v>24.166666670000001</v>
      </c>
      <c r="K31">
        <v>1.0069444439999999</v>
      </c>
      <c r="L31">
        <v>25.88</v>
      </c>
      <c r="M31">
        <v>17.559999999999999</v>
      </c>
      <c r="N31">
        <v>10.77</v>
      </c>
      <c r="O31">
        <v>0.54820000000000002</v>
      </c>
      <c r="P31">
        <v>9.8199999999999996E-2</v>
      </c>
      <c r="Q31">
        <v>30</v>
      </c>
      <c r="R31">
        <v>24.38064396</v>
      </c>
      <c r="S31">
        <v>127.58246459999999</v>
      </c>
      <c r="T31">
        <f t="shared" si="0"/>
        <v>7.4482619022403265</v>
      </c>
      <c r="U31">
        <f t="shared" si="1"/>
        <v>38.976313014256618</v>
      </c>
      <c r="V31">
        <f t="shared" si="2"/>
        <v>9.7200981578346237</v>
      </c>
      <c r="W31">
        <v>1</v>
      </c>
      <c r="X31">
        <f>AVERAGE(V26:V31)</f>
        <v>14.933042530264608</v>
      </c>
    </row>
    <row r="32" spans="1:24" x14ac:dyDescent="0.35">
      <c r="H32" s="3"/>
      <c r="I32" s="3"/>
    </row>
    <row r="33" spans="8:20" x14ac:dyDescent="0.35">
      <c r="H33" s="3"/>
      <c r="I33" s="3"/>
    </row>
    <row r="34" spans="8:20" x14ac:dyDescent="0.35">
      <c r="H34" s="3"/>
      <c r="I34" s="3"/>
    </row>
    <row r="35" spans="8:20" x14ac:dyDescent="0.35">
      <c r="H35" s="3"/>
      <c r="I35" s="3"/>
    </row>
    <row r="36" spans="8:20" x14ac:dyDescent="0.35">
      <c r="H36" s="3"/>
      <c r="I36" s="3"/>
    </row>
    <row r="37" spans="8:20" x14ac:dyDescent="0.35">
      <c r="H37" s="3"/>
      <c r="I37" s="3"/>
      <c r="S37" s="6" t="s">
        <v>628</v>
      </c>
      <c r="T37" s="6" t="s">
        <v>627</v>
      </c>
    </row>
    <row r="38" spans="8:20" x14ac:dyDescent="0.35">
      <c r="H38" s="3"/>
      <c r="I38" s="3"/>
      <c r="S38">
        <v>0.129861</v>
      </c>
      <c r="T38">
        <v>4.4893419007730673</v>
      </c>
    </row>
    <row r="39" spans="8:20" x14ac:dyDescent="0.35">
      <c r="H39" s="3"/>
      <c r="I39" s="3"/>
      <c r="S39">
        <v>0.252778</v>
      </c>
      <c r="T39">
        <v>3.5415225355782178</v>
      </c>
    </row>
    <row r="40" spans="8:20" x14ac:dyDescent="0.35">
      <c r="H40" s="3"/>
      <c r="I40" s="3"/>
      <c r="S40">
        <v>0.38194400000000001</v>
      </c>
      <c r="T40">
        <v>7.2210431223593501</v>
      </c>
    </row>
    <row r="41" spans="8:20" x14ac:dyDescent="0.35">
      <c r="H41" s="3"/>
      <c r="I41" s="3"/>
      <c r="S41">
        <v>0.50694399999999995</v>
      </c>
      <c r="T41">
        <v>6.4320961659257518</v>
      </c>
    </row>
    <row r="42" spans="8:20" x14ac:dyDescent="0.35">
      <c r="H42" s="3"/>
      <c r="I42" s="3"/>
      <c r="S42">
        <v>1</v>
      </c>
      <c r="T42">
        <v>14.933042530264608</v>
      </c>
    </row>
    <row r="43" spans="8:20" x14ac:dyDescent="0.35">
      <c r="H43" s="3"/>
      <c r="I43" s="3"/>
    </row>
    <row r="44" spans="8:20" x14ac:dyDescent="0.35">
      <c r="H44" s="3"/>
      <c r="I44" s="3"/>
    </row>
    <row r="45" spans="8:20" x14ac:dyDescent="0.35">
      <c r="H45" s="3"/>
      <c r="I45" s="3"/>
    </row>
    <row r="46" spans="8:20" x14ac:dyDescent="0.35">
      <c r="H46" s="3"/>
      <c r="I46" s="3"/>
    </row>
    <row r="47" spans="8:20" x14ac:dyDescent="0.35">
      <c r="H47" s="3"/>
      <c r="I47" s="3"/>
    </row>
    <row r="48" spans="8:20" x14ac:dyDescent="0.35">
      <c r="H48" s="3"/>
      <c r="I48" s="3"/>
    </row>
    <row r="49" spans="8:14" x14ac:dyDescent="0.35">
      <c r="H49" s="3"/>
      <c r="I49" s="3"/>
    </row>
    <row r="50" spans="8:14" x14ac:dyDescent="0.35">
      <c r="H50" s="3"/>
      <c r="I50" s="3"/>
    </row>
    <row r="51" spans="8:14" x14ac:dyDescent="0.35">
      <c r="H51" s="3"/>
      <c r="I51" s="3"/>
    </row>
    <row r="52" spans="8:14" x14ac:dyDescent="0.35">
      <c r="H52" s="3"/>
      <c r="I52" s="3"/>
    </row>
    <row r="53" spans="8:14" x14ac:dyDescent="0.35">
      <c r="H53" s="3"/>
      <c r="I53" s="3"/>
    </row>
    <row r="54" spans="8:14" x14ac:dyDescent="0.35">
      <c r="H54" s="3"/>
      <c r="I54" s="3"/>
    </row>
    <row r="55" spans="8:14" x14ac:dyDescent="0.35">
      <c r="H55" s="3"/>
      <c r="I55" s="3"/>
    </row>
    <row r="56" spans="8:14" x14ac:dyDescent="0.35">
      <c r="H56" s="3"/>
      <c r="I56" s="3"/>
    </row>
    <row r="57" spans="8:14" x14ac:dyDescent="0.35">
      <c r="H57" s="3"/>
      <c r="I57" s="3"/>
    </row>
    <row r="58" spans="8:14" x14ac:dyDescent="0.35">
      <c r="H58" s="3"/>
      <c r="I58" s="3"/>
    </row>
    <row r="59" spans="8:14" x14ac:dyDescent="0.35">
      <c r="H59" s="3"/>
      <c r="I59" s="3"/>
    </row>
    <row r="60" spans="8:14" x14ac:dyDescent="0.35">
      <c r="H60" s="3"/>
      <c r="I60" s="3"/>
    </row>
    <row r="61" spans="8:14" x14ac:dyDescent="0.35">
      <c r="H61" s="3"/>
      <c r="I61" s="3"/>
    </row>
    <row r="62" spans="8:14" x14ac:dyDescent="0.35">
      <c r="H62" s="3"/>
      <c r="I62" s="3"/>
    </row>
    <row r="63" spans="8:14" x14ac:dyDescent="0.35">
      <c r="H63" s="3"/>
      <c r="I63" s="3"/>
      <c r="N63" s="2"/>
    </row>
    <row r="64" spans="8:14" x14ac:dyDescent="0.35">
      <c r="H64" s="3"/>
      <c r="I64" s="3"/>
    </row>
    <row r="65" spans="8:9" x14ac:dyDescent="0.35">
      <c r="H65" s="3"/>
      <c r="I65" s="3"/>
    </row>
    <row r="66" spans="8:9" x14ac:dyDescent="0.35">
      <c r="H66" s="3"/>
      <c r="I66" s="3"/>
    </row>
    <row r="67" spans="8:9" x14ac:dyDescent="0.35">
      <c r="H67" s="3"/>
      <c r="I67" s="3"/>
    </row>
    <row r="68" spans="8:9" x14ac:dyDescent="0.35">
      <c r="H68" s="3"/>
      <c r="I68" s="3"/>
    </row>
    <row r="69" spans="8:9" x14ac:dyDescent="0.35">
      <c r="H69" s="3"/>
      <c r="I69" s="3"/>
    </row>
    <row r="70" spans="8:9" x14ac:dyDescent="0.35">
      <c r="H70" s="3"/>
      <c r="I70" s="3"/>
    </row>
    <row r="71" spans="8:9" x14ac:dyDescent="0.35">
      <c r="H71" s="3"/>
      <c r="I71" s="3"/>
    </row>
    <row r="72" spans="8:9" x14ac:dyDescent="0.35">
      <c r="H72" s="3"/>
      <c r="I72" s="3"/>
    </row>
    <row r="73" spans="8:9" x14ac:dyDescent="0.35">
      <c r="H73" s="3"/>
      <c r="I73" s="3"/>
    </row>
    <row r="74" spans="8:9" x14ac:dyDescent="0.35">
      <c r="H74" s="3"/>
      <c r="I74" s="3"/>
    </row>
    <row r="75" spans="8:9" x14ac:dyDescent="0.35">
      <c r="H75" s="3"/>
      <c r="I75" s="3"/>
    </row>
    <row r="76" spans="8:9" x14ac:dyDescent="0.35">
      <c r="H76" s="3"/>
      <c r="I76" s="3"/>
    </row>
    <row r="77" spans="8:9" x14ac:dyDescent="0.35">
      <c r="H77" s="3"/>
      <c r="I77" s="3"/>
    </row>
    <row r="78" spans="8:9" x14ac:dyDescent="0.35">
      <c r="H78" s="3"/>
      <c r="I78" s="3"/>
    </row>
    <row r="79" spans="8:9" x14ac:dyDescent="0.35">
      <c r="H79" s="3"/>
      <c r="I79" s="3"/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">
    <tabColor rgb="FF00B050"/>
  </sheetPr>
  <dimension ref="A1:T31"/>
  <sheetViews>
    <sheetView zoomScale="85" zoomScaleNormal="85" workbookViewId="0">
      <selection activeCell="G2" sqref="G2:G31"/>
    </sheetView>
  </sheetViews>
  <sheetFormatPr defaultColWidth="9" defaultRowHeight="14.15" x14ac:dyDescent="0.35"/>
  <cols>
    <col min="2" max="2" width="15.140625" customWidth="1"/>
    <col min="6" max="6" width="10.140625" customWidth="1"/>
    <col min="7" max="7" width="9.85546875" customWidth="1"/>
  </cols>
  <sheetData>
    <row r="1" spans="1:20" x14ac:dyDescent="0.35">
      <c r="A1" t="s">
        <v>0</v>
      </c>
      <c r="B1" t="s">
        <v>1</v>
      </c>
      <c r="C1" t="s">
        <v>541</v>
      </c>
      <c r="D1" t="s">
        <v>2</v>
      </c>
      <c r="E1" s="6" t="s">
        <v>564</v>
      </c>
      <c r="F1" s="6" t="s">
        <v>577</v>
      </c>
      <c r="G1" s="6" t="s">
        <v>578</v>
      </c>
      <c r="H1" t="s">
        <v>3</v>
      </c>
      <c r="I1" t="s">
        <v>4</v>
      </c>
      <c r="J1" t="s">
        <v>5</v>
      </c>
      <c r="K1" t="s">
        <v>6</v>
      </c>
      <c r="M1" t="s">
        <v>7</v>
      </c>
      <c r="N1" s="6" t="s">
        <v>589</v>
      </c>
      <c r="O1" s="6" t="s">
        <v>590</v>
      </c>
      <c r="P1" s="6" t="s">
        <v>596</v>
      </c>
      <c r="Q1" s="6" t="s">
        <v>597</v>
      </c>
      <c r="R1" s="6" t="s">
        <v>608</v>
      </c>
      <c r="S1" s="6" t="s">
        <v>609</v>
      </c>
      <c r="T1" s="6" t="s">
        <v>613</v>
      </c>
    </row>
    <row r="2" spans="1:20" x14ac:dyDescent="0.35">
      <c r="A2" t="s">
        <v>558</v>
      </c>
      <c r="B2" t="s">
        <v>122</v>
      </c>
      <c r="C2">
        <v>1</v>
      </c>
      <c r="D2">
        <v>1</v>
      </c>
      <c r="E2">
        <f>D2</f>
        <v>1</v>
      </c>
      <c r="F2">
        <v>78</v>
      </c>
      <c r="G2">
        <f>F2/24</f>
        <v>3.25</v>
      </c>
      <c r="H2" s="2">
        <v>23.32</v>
      </c>
      <c r="I2" s="2">
        <v>16.13</v>
      </c>
      <c r="J2" s="2">
        <v>10.72</v>
      </c>
      <c r="K2">
        <v>0.41799999999999998</v>
      </c>
      <c r="L2" t="s">
        <v>559</v>
      </c>
      <c r="M2">
        <v>5.11E-2</v>
      </c>
      <c r="N2">
        <v>166.017651099765</v>
      </c>
      <c r="O2">
        <v>347.41843519570898</v>
      </c>
      <c r="P2">
        <f>N2*30/1000/M2</f>
        <v>97.466331369725054</v>
      </c>
      <c r="Q2">
        <f>O2*30/1000/M2</f>
        <v>203.9638562792812</v>
      </c>
      <c r="R2">
        <f>P2*0.6917</f>
        <v>67.417461408438825</v>
      </c>
      <c r="S2">
        <f>Q2*0.3083</f>
        <v>62.882056890902398</v>
      </c>
      <c r="T2">
        <f>R2+S2</f>
        <v>130.29951829934123</v>
      </c>
    </row>
    <row r="3" spans="1:20" x14ac:dyDescent="0.35">
      <c r="A3" t="s">
        <v>558</v>
      </c>
      <c r="B3" t="s">
        <v>123</v>
      </c>
      <c r="C3">
        <v>1</v>
      </c>
      <c r="D3">
        <v>2</v>
      </c>
      <c r="E3">
        <f t="shared" ref="E3:E31" si="0">D3</f>
        <v>2</v>
      </c>
      <c r="F3">
        <v>86</v>
      </c>
      <c r="G3">
        <f t="shared" ref="G3:G31" si="1">F3/24</f>
        <v>3.5833333333333335</v>
      </c>
      <c r="H3">
        <v>26.76</v>
      </c>
      <c r="I3">
        <v>18.12</v>
      </c>
      <c r="J3">
        <v>10.65</v>
      </c>
      <c r="K3">
        <v>0.56879999999999997</v>
      </c>
      <c r="M3">
        <v>9.2100000000000001E-2</v>
      </c>
      <c r="N3">
        <v>137.22157580674701</v>
      </c>
      <c r="O3">
        <v>274.262288734859</v>
      </c>
      <c r="P3">
        <f t="shared" ref="P3:P31" si="2">N3*30/1000/M3</f>
        <v>44.697581696008797</v>
      </c>
      <c r="Q3">
        <f t="shared" ref="Q3:Q31" si="3">O3*30/1000/M3</f>
        <v>89.336250402234199</v>
      </c>
      <c r="R3">
        <f t="shared" ref="R3:R31" si="4">P3*0.6917</f>
        <v>30.917317259129284</v>
      </c>
      <c r="S3">
        <f t="shared" ref="S3:S31" si="5">Q3*0.3083</f>
        <v>27.542365999008805</v>
      </c>
      <c r="T3">
        <f t="shared" ref="T3:T31" si="6">R3+S3</f>
        <v>58.459683258138085</v>
      </c>
    </row>
    <row r="4" spans="1:20" s="2" customFormat="1" x14ac:dyDescent="0.35">
      <c r="A4" s="2" t="s">
        <v>558</v>
      </c>
      <c r="B4" s="2" t="s">
        <v>124</v>
      </c>
      <c r="C4" s="2">
        <v>1</v>
      </c>
      <c r="D4" s="2">
        <v>3</v>
      </c>
      <c r="E4" s="2">
        <f t="shared" si="0"/>
        <v>3</v>
      </c>
      <c r="F4" s="2">
        <v>118</v>
      </c>
      <c r="G4">
        <f t="shared" si="1"/>
        <v>4.916666666666667</v>
      </c>
      <c r="H4" s="2">
        <v>25.9</v>
      </c>
      <c r="I4" s="2">
        <v>18.45</v>
      </c>
      <c r="J4" s="2">
        <v>12.11</v>
      </c>
      <c r="K4" s="2">
        <v>0.67090000000000005</v>
      </c>
      <c r="L4" s="2" t="s">
        <v>559</v>
      </c>
      <c r="M4" s="2">
        <v>9.9900000000000003E-2</v>
      </c>
      <c r="N4" s="2">
        <v>214.42194114821899</v>
      </c>
      <c r="O4" s="2">
        <v>414.714086022782</v>
      </c>
      <c r="P4">
        <f t="shared" si="2"/>
        <v>64.390973317783477</v>
      </c>
      <c r="Q4">
        <f t="shared" si="3"/>
        <v>124.53876457140601</v>
      </c>
      <c r="R4">
        <f t="shared" si="4"/>
        <v>44.539236243910828</v>
      </c>
      <c r="S4">
        <f t="shared" si="5"/>
        <v>38.395301117364475</v>
      </c>
      <c r="T4">
        <f t="shared" si="6"/>
        <v>82.934537361275304</v>
      </c>
    </row>
    <row r="5" spans="1:20" s="2" customFormat="1" x14ac:dyDescent="0.35">
      <c r="A5" s="2" t="s">
        <v>558</v>
      </c>
      <c r="B5" s="2" t="s">
        <v>125</v>
      </c>
      <c r="C5" s="2">
        <v>1</v>
      </c>
      <c r="D5" s="2">
        <v>4</v>
      </c>
      <c r="E5" s="2">
        <f t="shared" si="0"/>
        <v>4</v>
      </c>
      <c r="F5" s="2">
        <v>134</v>
      </c>
      <c r="G5">
        <f t="shared" si="1"/>
        <v>5.583333333333333</v>
      </c>
      <c r="H5" s="2">
        <v>25.08</v>
      </c>
      <c r="I5" s="2">
        <v>17.489999999999998</v>
      </c>
      <c r="J5" s="2">
        <v>10.6</v>
      </c>
      <c r="K5" s="2">
        <v>0.67130000000000001</v>
      </c>
      <c r="M5" s="2">
        <v>0.10059999999999999</v>
      </c>
      <c r="N5" s="2">
        <v>287.21965787907999</v>
      </c>
      <c r="O5" s="2">
        <v>405.96768273712399</v>
      </c>
      <c r="P5">
        <f t="shared" si="2"/>
        <v>85.651985451017907</v>
      </c>
      <c r="Q5">
        <f t="shared" si="3"/>
        <v>121.06392129337695</v>
      </c>
      <c r="R5">
        <f t="shared" si="4"/>
        <v>59.245478336469084</v>
      </c>
      <c r="S5">
        <f t="shared" si="5"/>
        <v>37.324006934748112</v>
      </c>
      <c r="T5">
        <f t="shared" si="6"/>
        <v>96.569485271217189</v>
      </c>
    </row>
    <row r="6" spans="1:20" x14ac:dyDescent="0.35">
      <c r="A6" t="s">
        <v>558</v>
      </c>
      <c r="B6" t="s">
        <v>126</v>
      </c>
      <c r="C6">
        <v>1</v>
      </c>
      <c r="D6">
        <v>5</v>
      </c>
      <c r="E6">
        <f t="shared" si="0"/>
        <v>5</v>
      </c>
      <c r="F6">
        <v>150</v>
      </c>
      <c r="G6">
        <f t="shared" si="1"/>
        <v>6.25</v>
      </c>
      <c r="H6">
        <v>23.27</v>
      </c>
      <c r="I6" s="2">
        <v>16.45</v>
      </c>
      <c r="J6">
        <v>10.220000000000001</v>
      </c>
      <c r="K6">
        <v>0.47920000000000001</v>
      </c>
      <c r="M6">
        <v>7.5700000000000003E-2</v>
      </c>
      <c r="N6">
        <v>163.666440180694</v>
      </c>
      <c r="O6">
        <v>308.19625916006999</v>
      </c>
      <c r="P6">
        <f t="shared" si="2"/>
        <v>64.861204827223517</v>
      </c>
      <c r="Q6">
        <f t="shared" si="3"/>
        <v>122.13854392076752</v>
      </c>
      <c r="R6">
        <f t="shared" si="4"/>
        <v>44.864495378990505</v>
      </c>
      <c r="S6">
        <f t="shared" si="5"/>
        <v>37.65531309077263</v>
      </c>
      <c r="T6">
        <f t="shared" si="6"/>
        <v>82.519808469763134</v>
      </c>
    </row>
    <row r="7" spans="1:20" x14ac:dyDescent="0.35">
      <c r="A7" t="s">
        <v>558</v>
      </c>
      <c r="B7" t="s">
        <v>127</v>
      </c>
      <c r="C7">
        <v>1</v>
      </c>
      <c r="D7">
        <v>6</v>
      </c>
      <c r="E7">
        <f t="shared" si="0"/>
        <v>6</v>
      </c>
      <c r="F7">
        <v>150</v>
      </c>
      <c r="G7">
        <f t="shared" si="1"/>
        <v>6.25</v>
      </c>
      <c r="H7">
        <v>22.2</v>
      </c>
      <c r="I7">
        <v>16.02</v>
      </c>
      <c r="J7">
        <v>9.66</v>
      </c>
      <c r="K7" s="2">
        <v>0.37</v>
      </c>
      <c r="L7" t="s">
        <v>559</v>
      </c>
      <c r="M7">
        <v>5.4300000000000001E-2</v>
      </c>
      <c r="N7">
        <v>104.502800982417</v>
      </c>
      <c r="O7">
        <v>139.695960011127</v>
      </c>
      <c r="P7">
        <f t="shared" si="2"/>
        <v>57.736354133932039</v>
      </c>
      <c r="Q7">
        <f t="shared" si="3"/>
        <v>77.180088403937575</v>
      </c>
      <c r="R7">
        <f t="shared" si="4"/>
        <v>39.936236154440792</v>
      </c>
      <c r="S7">
        <f t="shared" si="5"/>
        <v>23.794621254933954</v>
      </c>
      <c r="T7">
        <f t="shared" si="6"/>
        <v>63.73085740937475</v>
      </c>
    </row>
    <row r="8" spans="1:20" x14ac:dyDescent="0.35">
      <c r="A8" t="s">
        <v>558</v>
      </c>
      <c r="B8" t="s">
        <v>128</v>
      </c>
      <c r="C8">
        <v>1</v>
      </c>
      <c r="D8">
        <v>7</v>
      </c>
      <c r="E8">
        <f t="shared" si="0"/>
        <v>7</v>
      </c>
      <c r="F8">
        <v>158</v>
      </c>
      <c r="G8">
        <f t="shared" si="1"/>
        <v>6.583333333333333</v>
      </c>
      <c r="H8">
        <v>25.23</v>
      </c>
      <c r="I8" s="2">
        <v>17.059999999999999</v>
      </c>
      <c r="J8">
        <v>11.38</v>
      </c>
      <c r="K8">
        <v>0.56730000000000003</v>
      </c>
      <c r="M8">
        <v>9.0899999999999995E-2</v>
      </c>
      <c r="N8">
        <v>207.424211165662</v>
      </c>
      <c r="O8">
        <v>251.79608104822401</v>
      </c>
      <c r="P8">
        <f t="shared" si="2"/>
        <v>68.456835368205276</v>
      </c>
      <c r="Q8">
        <f t="shared" si="3"/>
        <v>83.101016847598686</v>
      </c>
      <c r="R8">
        <f t="shared" si="4"/>
        <v>47.351593024187586</v>
      </c>
      <c r="S8">
        <f t="shared" si="5"/>
        <v>25.620043494114675</v>
      </c>
      <c r="T8">
        <f t="shared" si="6"/>
        <v>72.971636518302262</v>
      </c>
    </row>
    <row r="9" spans="1:20" x14ac:dyDescent="0.35">
      <c r="A9" t="s">
        <v>558</v>
      </c>
      <c r="B9" t="s">
        <v>129</v>
      </c>
      <c r="C9">
        <v>1</v>
      </c>
      <c r="D9">
        <v>8</v>
      </c>
      <c r="E9">
        <f t="shared" si="0"/>
        <v>8</v>
      </c>
      <c r="F9">
        <v>182</v>
      </c>
      <c r="G9">
        <f t="shared" si="1"/>
        <v>7.583333333333333</v>
      </c>
      <c r="H9" s="6" t="s">
        <v>626</v>
      </c>
      <c r="I9">
        <v>18.03</v>
      </c>
      <c r="J9">
        <v>10.91</v>
      </c>
      <c r="K9">
        <v>0.61160000000000003</v>
      </c>
      <c r="M9">
        <v>8.7599999999999997E-2</v>
      </c>
      <c r="N9">
        <v>176.900484813372</v>
      </c>
      <c r="O9">
        <v>212.41630380081199</v>
      </c>
      <c r="P9">
        <f t="shared" si="2"/>
        <v>60.582357812798634</v>
      </c>
      <c r="Q9">
        <f t="shared" si="3"/>
        <v>72.745309520826027</v>
      </c>
      <c r="R9">
        <f t="shared" si="4"/>
        <v>41.904816899112816</v>
      </c>
      <c r="S9">
        <f t="shared" si="5"/>
        <v>22.427378925270666</v>
      </c>
      <c r="T9">
        <f t="shared" si="6"/>
        <v>64.33219582438349</v>
      </c>
    </row>
    <row r="10" spans="1:20" x14ac:dyDescent="0.35">
      <c r="A10" t="s">
        <v>558</v>
      </c>
      <c r="B10" t="s">
        <v>130</v>
      </c>
      <c r="C10">
        <v>1</v>
      </c>
      <c r="D10">
        <v>9</v>
      </c>
      <c r="E10">
        <f t="shared" si="0"/>
        <v>9</v>
      </c>
      <c r="F10">
        <v>206</v>
      </c>
      <c r="G10">
        <f t="shared" si="1"/>
        <v>8.5833333333333339</v>
      </c>
      <c r="H10">
        <v>26.2</v>
      </c>
      <c r="I10" s="2">
        <v>17.93</v>
      </c>
      <c r="J10">
        <v>11.36</v>
      </c>
      <c r="K10">
        <v>0.71989999999999998</v>
      </c>
      <c r="M10">
        <v>0.1012</v>
      </c>
      <c r="N10">
        <v>357.21163781803801</v>
      </c>
      <c r="O10">
        <v>450.05506539599401</v>
      </c>
      <c r="P10">
        <f t="shared" si="2"/>
        <v>105.8927780092998</v>
      </c>
      <c r="Q10">
        <f t="shared" si="3"/>
        <v>133.41553322015631</v>
      </c>
      <c r="R10">
        <f t="shared" si="4"/>
        <v>73.246034549032672</v>
      </c>
      <c r="S10">
        <f t="shared" si="5"/>
        <v>41.132008891774191</v>
      </c>
      <c r="T10">
        <f t="shared" si="6"/>
        <v>114.37804344080686</v>
      </c>
    </row>
    <row r="11" spans="1:20" x14ac:dyDescent="0.35">
      <c r="A11" t="s">
        <v>558</v>
      </c>
      <c r="B11" t="s">
        <v>131</v>
      </c>
      <c r="C11">
        <v>1</v>
      </c>
      <c r="D11">
        <v>10</v>
      </c>
      <c r="E11">
        <f t="shared" si="0"/>
        <v>10</v>
      </c>
      <c r="F11" s="7">
        <v>274</v>
      </c>
      <c r="G11">
        <f t="shared" si="1"/>
        <v>11.416666666666666</v>
      </c>
      <c r="H11">
        <v>25.13</v>
      </c>
      <c r="I11">
        <v>16.61</v>
      </c>
      <c r="J11">
        <v>10.29</v>
      </c>
      <c r="K11">
        <v>0.62960000000000005</v>
      </c>
      <c r="M11">
        <v>8.6800000000000002E-2</v>
      </c>
      <c r="N11">
        <v>250.244400978648</v>
      </c>
      <c r="O11">
        <v>322.23135910678002</v>
      </c>
      <c r="P11">
        <f t="shared" si="2"/>
        <v>86.490000338242396</v>
      </c>
      <c r="Q11">
        <f t="shared" si="3"/>
        <v>111.37028540556915</v>
      </c>
      <c r="R11">
        <f t="shared" si="4"/>
        <v>59.825133233962262</v>
      </c>
      <c r="S11">
        <f t="shared" si="5"/>
        <v>34.335458990536971</v>
      </c>
      <c r="T11">
        <f t="shared" si="6"/>
        <v>94.160592224499226</v>
      </c>
    </row>
    <row r="12" spans="1:20" x14ac:dyDescent="0.35">
      <c r="A12" t="s">
        <v>558</v>
      </c>
      <c r="B12" t="s">
        <v>132</v>
      </c>
      <c r="C12">
        <v>2</v>
      </c>
      <c r="D12">
        <v>1</v>
      </c>
      <c r="E12">
        <f t="shared" si="0"/>
        <v>1</v>
      </c>
      <c r="F12">
        <v>46</v>
      </c>
      <c r="G12">
        <f t="shared" si="1"/>
        <v>1.9166666666666667</v>
      </c>
      <c r="H12" t="s">
        <v>79</v>
      </c>
      <c r="I12" t="s">
        <v>79</v>
      </c>
      <c r="J12" t="s">
        <v>79</v>
      </c>
      <c r="K12">
        <v>0.52439999999999998</v>
      </c>
      <c r="M12">
        <v>7.2099999999999997E-2</v>
      </c>
      <c r="N12">
        <v>82.370065909862205</v>
      </c>
      <c r="O12">
        <v>253.71117160399399</v>
      </c>
      <c r="P12">
        <f t="shared" si="2"/>
        <v>34.273259047099394</v>
      </c>
      <c r="Q12">
        <f t="shared" si="3"/>
        <v>105.56636821248017</v>
      </c>
      <c r="R12">
        <f t="shared" si="4"/>
        <v>23.706813282878649</v>
      </c>
      <c r="S12">
        <f t="shared" si="5"/>
        <v>32.546111319907638</v>
      </c>
      <c r="T12">
        <f t="shared" si="6"/>
        <v>56.252924602786287</v>
      </c>
    </row>
    <row r="13" spans="1:20" x14ac:dyDescent="0.35">
      <c r="A13" t="s">
        <v>558</v>
      </c>
      <c r="B13" t="s">
        <v>133</v>
      </c>
      <c r="C13">
        <v>2</v>
      </c>
      <c r="D13">
        <v>2</v>
      </c>
      <c r="E13">
        <f t="shared" si="0"/>
        <v>2</v>
      </c>
      <c r="F13">
        <v>86</v>
      </c>
      <c r="G13">
        <f t="shared" si="1"/>
        <v>3.5833333333333335</v>
      </c>
      <c r="H13">
        <v>24.17</v>
      </c>
      <c r="I13">
        <v>17.73</v>
      </c>
      <c r="J13">
        <v>10.72</v>
      </c>
      <c r="K13">
        <v>0.59130000000000005</v>
      </c>
      <c r="M13">
        <v>9.6799999999999997E-2</v>
      </c>
      <c r="N13">
        <v>183.11701876852501</v>
      </c>
      <c r="O13">
        <v>384.50092721019502</v>
      </c>
      <c r="P13">
        <f t="shared" si="2"/>
        <v>56.751142180327996</v>
      </c>
      <c r="Q13">
        <f t="shared" si="3"/>
        <v>119.16351049902738</v>
      </c>
      <c r="R13">
        <f t="shared" si="4"/>
        <v>39.254765046132874</v>
      </c>
      <c r="S13">
        <f t="shared" si="5"/>
        <v>36.738110286850144</v>
      </c>
      <c r="T13">
        <f t="shared" si="6"/>
        <v>75.992875332983019</v>
      </c>
    </row>
    <row r="14" spans="1:20" x14ac:dyDescent="0.35">
      <c r="A14" t="s">
        <v>558</v>
      </c>
      <c r="B14" t="s">
        <v>134</v>
      </c>
      <c r="C14">
        <v>2</v>
      </c>
      <c r="D14">
        <v>3</v>
      </c>
      <c r="E14">
        <f t="shared" si="0"/>
        <v>3</v>
      </c>
      <c r="F14">
        <v>126</v>
      </c>
      <c r="G14">
        <f t="shared" si="1"/>
        <v>5.25</v>
      </c>
      <c r="H14">
        <v>21.29</v>
      </c>
      <c r="I14">
        <v>16.82</v>
      </c>
      <c r="J14">
        <v>10.71</v>
      </c>
      <c r="K14">
        <v>0.43790000000000001</v>
      </c>
      <c r="M14">
        <v>7.0599999999999996E-2</v>
      </c>
      <c r="N14">
        <v>76.333884895941097</v>
      </c>
      <c r="O14">
        <v>107.433904795939</v>
      </c>
      <c r="P14">
        <f t="shared" si="2"/>
        <v>32.436494998275258</v>
      </c>
      <c r="Q14">
        <f t="shared" si="3"/>
        <v>45.651800904789944</v>
      </c>
      <c r="R14">
        <f t="shared" si="4"/>
        <v>22.436323590306994</v>
      </c>
      <c r="S14">
        <f t="shared" si="5"/>
        <v>14.07445021894674</v>
      </c>
      <c r="T14">
        <f t="shared" si="6"/>
        <v>36.510773809253735</v>
      </c>
    </row>
    <row r="15" spans="1:20" x14ac:dyDescent="0.35">
      <c r="A15" t="s">
        <v>558</v>
      </c>
      <c r="B15" t="s">
        <v>135</v>
      </c>
      <c r="C15">
        <v>2</v>
      </c>
      <c r="D15">
        <v>4</v>
      </c>
      <c r="E15">
        <f t="shared" si="0"/>
        <v>4</v>
      </c>
      <c r="F15">
        <v>144</v>
      </c>
      <c r="G15">
        <f t="shared" si="1"/>
        <v>6</v>
      </c>
      <c r="H15">
        <v>23.73</v>
      </c>
      <c r="I15">
        <v>15.84</v>
      </c>
      <c r="J15">
        <v>9.8000000000000007</v>
      </c>
      <c r="K15">
        <v>0.55910000000000004</v>
      </c>
      <c r="M15">
        <v>7.4899999999999994E-2</v>
      </c>
      <c r="N15">
        <v>149.75954693580499</v>
      </c>
      <c r="O15">
        <v>318.54944367254097</v>
      </c>
      <c r="P15">
        <f t="shared" si="2"/>
        <v>59.983797170549408</v>
      </c>
      <c r="Q15">
        <f t="shared" si="3"/>
        <v>127.5898973321259</v>
      </c>
      <c r="R15">
        <f t="shared" si="4"/>
        <v>41.490792502869027</v>
      </c>
      <c r="S15">
        <f t="shared" si="5"/>
        <v>39.335965347494415</v>
      </c>
      <c r="T15">
        <f t="shared" si="6"/>
        <v>80.826757850363435</v>
      </c>
    </row>
    <row r="16" spans="1:20" x14ac:dyDescent="0.35">
      <c r="A16" t="s">
        <v>558</v>
      </c>
      <c r="B16" t="s">
        <v>136</v>
      </c>
      <c r="C16">
        <v>2</v>
      </c>
      <c r="D16">
        <v>5</v>
      </c>
      <c r="E16">
        <f t="shared" si="0"/>
        <v>5</v>
      </c>
      <c r="F16">
        <v>144</v>
      </c>
      <c r="G16">
        <f t="shared" si="1"/>
        <v>6</v>
      </c>
      <c r="H16">
        <v>25.92</v>
      </c>
      <c r="I16">
        <v>17.52</v>
      </c>
      <c r="J16">
        <v>10.68</v>
      </c>
      <c r="K16">
        <v>0.66610000000000003</v>
      </c>
      <c r="M16">
        <v>9.4100000000000003E-2</v>
      </c>
      <c r="N16">
        <v>215.111892154016</v>
      </c>
      <c r="O16">
        <v>342.24226521395701</v>
      </c>
      <c r="P16">
        <f t="shared" si="2"/>
        <v>68.579774331779802</v>
      </c>
      <c r="Q16">
        <f t="shared" si="3"/>
        <v>109.11018019573551</v>
      </c>
      <c r="R16">
        <f t="shared" si="4"/>
        <v>47.436629905292087</v>
      </c>
      <c r="S16">
        <f t="shared" si="5"/>
        <v>33.638668554345259</v>
      </c>
      <c r="T16">
        <f t="shared" si="6"/>
        <v>81.075298459637338</v>
      </c>
    </row>
    <row r="17" spans="1:20" x14ac:dyDescent="0.35">
      <c r="A17" t="s">
        <v>558</v>
      </c>
      <c r="B17" t="s">
        <v>137</v>
      </c>
      <c r="C17">
        <v>2</v>
      </c>
      <c r="D17">
        <v>6</v>
      </c>
      <c r="E17">
        <f t="shared" si="0"/>
        <v>6</v>
      </c>
      <c r="F17">
        <v>158</v>
      </c>
      <c r="G17">
        <f t="shared" si="1"/>
        <v>6.583333333333333</v>
      </c>
      <c r="H17">
        <v>22.99</v>
      </c>
      <c r="I17">
        <v>16.48</v>
      </c>
      <c r="J17">
        <v>10.45</v>
      </c>
      <c r="K17">
        <v>0.44690000000000002</v>
      </c>
      <c r="M17">
        <v>6.1699999999999998E-2</v>
      </c>
      <c r="N17">
        <v>129.20886525241701</v>
      </c>
      <c r="O17">
        <v>194.452022987162</v>
      </c>
      <c r="P17">
        <f t="shared" si="2"/>
        <v>62.824407740235173</v>
      </c>
      <c r="Q17">
        <f t="shared" si="3"/>
        <v>94.54717487220195</v>
      </c>
      <c r="R17">
        <f t="shared" si="4"/>
        <v>43.45564283392067</v>
      </c>
      <c r="S17">
        <f t="shared" si="5"/>
        <v>29.148894013099863</v>
      </c>
      <c r="T17">
        <f t="shared" si="6"/>
        <v>72.60453684702054</v>
      </c>
    </row>
    <row r="18" spans="1:20" x14ac:dyDescent="0.35">
      <c r="A18" t="s">
        <v>558</v>
      </c>
      <c r="B18" t="s">
        <v>138</v>
      </c>
      <c r="C18">
        <v>2</v>
      </c>
      <c r="D18">
        <v>7</v>
      </c>
      <c r="E18">
        <f t="shared" si="0"/>
        <v>7</v>
      </c>
      <c r="F18">
        <v>182</v>
      </c>
      <c r="G18">
        <f t="shared" si="1"/>
        <v>7.583333333333333</v>
      </c>
      <c r="H18">
        <v>23.42</v>
      </c>
      <c r="I18">
        <v>17.55</v>
      </c>
      <c r="J18">
        <v>10.32</v>
      </c>
      <c r="K18">
        <v>0.59360000000000002</v>
      </c>
      <c r="M18" s="1">
        <v>8.6999999999999994E-2</v>
      </c>
      <c r="N18">
        <v>185.457005684492</v>
      </c>
      <c r="O18">
        <v>340.23369965823798</v>
      </c>
      <c r="P18">
        <f t="shared" si="2"/>
        <v>63.950691615342073</v>
      </c>
      <c r="Q18">
        <f t="shared" si="3"/>
        <v>117.32196539939243</v>
      </c>
      <c r="R18">
        <f t="shared" si="4"/>
        <v>44.234693390332112</v>
      </c>
      <c r="S18">
        <f t="shared" si="5"/>
        <v>36.170361932632687</v>
      </c>
      <c r="T18">
        <f t="shared" si="6"/>
        <v>80.405055322964799</v>
      </c>
    </row>
    <row r="19" spans="1:20" x14ac:dyDescent="0.35">
      <c r="A19" t="s">
        <v>558</v>
      </c>
      <c r="B19" t="s">
        <v>139</v>
      </c>
      <c r="C19">
        <v>2</v>
      </c>
      <c r="D19">
        <v>8</v>
      </c>
      <c r="E19">
        <f t="shared" si="0"/>
        <v>8</v>
      </c>
      <c r="F19">
        <v>182</v>
      </c>
      <c r="G19">
        <f t="shared" si="1"/>
        <v>7.583333333333333</v>
      </c>
      <c r="H19">
        <v>23.09</v>
      </c>
      <c r="I19">
        <v>16.22</v>
      </c>
      <c r="J19">
        <v>9.83</v>
      </c>
      <c r="K19">
        <v>0.53400000000000003</v>
      </c>
      <c r="M19">
        <v>8.8200000000000001E-2</v>
      </c>
      <c r="N19">
        <v>196.76405590079401</v>
      </c>
      <c r="O19">
        <v>276.05042854443298</v>
      </c>
      <c r="P19">
        <f t="shared" si="2"/>
        <v>66.926549626120405</v>
      </c>
      <c r="Q19">
        <f t="shared" si="3"/>
        <v>93.894703586541837</v>
      </c>
      <c r="R19">
        <f t="shared" si="4"/>
        <v>46.293094376387479</v>
      </c>
      <c r="S19">
        <f t="shared" si="5"/>
        <v>28.947737115730849</v>
      </c>
      <c r="T19">
        <f t="shared" si="6"/>
        <v>75.240831492118332</v>
      </c>
    </row>
    <row r="20" spans="1:20" x14ac:dyDescent="0.35">
      <c r="A20" t="s">
        <v>558</v>
      </c>
      <c r="B20" t="s">
        <v>140</v>
      </c>
      <c r="C20">
        <v>2</v>
      </c>
      <c r="D20">
        <v>9</v>
      </c>
      <c r="E20">
        <f t="shared" si="0"/>
        <v>9</v>
      </c>
      <c r="F20">
        <v>192</v>
      </c>
      <c r="G20">
        <f t="shared" si="1"/>
        <v>8</v>
      </c>
      <c r="H20">
        <v>22.2</v>
      </c>
      <c r="I20">
        <v>16.329999999999998</v>
      </c>
      <c r="J20">
        <v>10.7</v>
      </c>
      <c r="K20">
        <v>0.55179999999999996</v>
      </c>
      <c r="M20">
        <v>7.8100000000000003E-2</v>
      </c>
      <c r="N20">
        <v>218.784245459196</v>
      </c>
      <c r="O20">
        <v>254.66921357101899</v>
      </c>
      <c r="P20">
        <f t="shared" si="2"/>
        <v>84.040043070113697</v>
      </c>
      <c r="Q20">
        <f t="shared" si="3"/>
        <v>97.824281781441357</v>
      </c>
      <c r="R20">
        <f t="shared" si="4"/>
        <v>58.130497791597641</v>
      </c>
      <c r="S20">
        <f t="shared" si="5"/>
        <v>30.159226073218374</v>
      </c>
      <c r="T20">
        <f t="shared" si="6"/>
        <v>88.289723864816011</v>
      </c>
    </row>
    <row r="21" spans="1:20" x14ac:dyDescent="0.35">
      <c r="A21" t="s">
        <v>558</v>
      </c>
      <c r="B21" t="s">
        <v>141</v>
      </c>
      <c r="C21">
        <v>2</v>
      </c>
      <c r="D21">
        <v>10</v>
      </c>
      <c r="E21">
        <f t="shared" si="0"/>
        <v>10</v>
      </c>
      <c r="F21">
        <v>198</v>
      </c>
      <c r="G21">
        <f t="shared" si="1"/>
        <v>8.25</v>
      </c>
      <c r="H21">
        <v>27.43</v>
      </c>
      <c r="I21">
        <v>17.84</v>
      </c>
      <c r="J21">
        <v>11.59</v>
      </c>
      <c r="K21">
        <v>0.58409999999999995</v>
      </c>
      <c r="M21">
        <v>7.6499999999999999E-2</v>
      </c>
      <c r="N21">
        <v>145.04235420416799</v>
      </c>
      <c r="O21">
        <v>242.743677960269</v>
      </c>
      <c r="P21">
        <f t="shared" si="2"/>
        <v>56.879354589869799</v>
      </c>
      <c r="Q21">
        <f t="shared" si="3"/>
        <v>95.193599200105496</v>
      </c>
      <c r="R21">
        <f t="shared" si="4"/>
        <v>39.34344956981294</v>
      </c>
      <c r="S21">
        <f t="shared" si="5"/>
        <v>29.348186633392526</v>
      </c>
      <c r="T21">
        <f t="shared" si="6"/>
        <v>68.691636203205462</v>
      </c>
    </row>
    <row r="22" spans="1:20" x14ac:dyDescent="0.35">
      <c r="A22" t="s">
        <v>558</v>
      </c>
      <c r="B22" t="s">
        <v>142</v>
      </c>
      <c r="C22">
        <v>3</v>
      </c>
      <c r="D22">
        <v>1</v>
      </c>
      <c r="E22">
        <f t="shared" si="0"/>
        <v>1</v>
      </c>
      <c r="F22">
        <v>96</v>
      </c>
      <c r="G22">
        <f t="shared" si="1"/>
        <v>4</v>
      </c>
      <c r="H22">
        <v>24.34</v>
      </c>
      <c r="I22">
        <v>16.29</v>
      </c>
      <c r="J22">
        <v>10.19</v>
      </c>
      <c r="K22">
        <v>0.4108</v>
      </c>
      <c r="M22">
        <v>6.3299999999999995E-2</v>
      </c>
      <c r="N22">
        <v>104.454020208247</v>
      </c>
      <c r="O22">
        <v>229.87156483067801</v>
      </c>
      <c r="P22">
        <f t="shared" si="2"/>
        <v>49.504274980211854</v>
      </c>
      <c r="Q22">
        <f t="shared" si="3"/>
        <v>108.94386958799906</v>
      </c>
      <c r="R22">
        <f t="shared" si="4"/>
        <v>34.242107003812535</v>
      </c>
      <c r="S22">
        <f t="shared" si="5"/>
        <v>33.587394993980112</v>
      </c>
      <c r="T22">
        <f t="shared" si="6"/>
        <v>67.829501997792647</v>
      </c>
    </row>
    <row r="23" spans="1:20" x14ac:dyDescent="0.35">
      <c r="A23" t="s">
        <v>558</v>
      </c>
      <c r="B23" t="s">
        <v>143</v>
      </c>
      <c r="C23">
        <v>3</v>
      </c>
      <c r="D23">
        <v>2</v>
      </c>
      <c r="E23">
        <f t="shared" si="0"/>
        <v>2</v>
      </c>
      <c r="F23">
        <v>99</v>
      </c>
      <c r="G23">
        <f t="shared" si="1"/>
        <v>4.125</v>
      </c>
      <c r="H23">
        <v>21.31</v>
      </c>
      <c r="I23">
        <v>15.91</v>
      </c>
      <c r="J23">
        <v>9.44</v>
      </c>
      <c r="K23">
        <v>0.39510000000000001</v>
      </c>
      <c r="M23">
        <v>6.6699999999999995E-2</v>
      </c>
      <c r="N23">
        <v>108.83976648649499</v>
      </c>
      <c r="O23">
        <v>197.411037799967</v>
      </c>
      <c r="P23">
        <f t="shared" si="2"/>
        <v>48.953418209817841</v>
      </c>
      <c r="Q23">
        <f t="shared" si="3"/>
        <v>88.790571724123112</v>
      </c>
      <c r="R23">
        <f t="shared" si="4"/>
        <v>33.861079375731002</v>
      </c>
      <c r="S23">
        <f t="shared" si="5"/>
        <v>27.374133262547158</v>
      </c>
      <c r="T23">
        <f t="shared" si="6"/>
        <v>61.235212638278156</v>
      </c>
    </row>
    <row r="24" spans="1:20" x14ac:dyDescent="0.35">
      <c r="A24" t="s">
        <v>558</v>
      </c>
      <c r="B24" t="s">
        <v>144</v>
      </c>
      <c r="C24">
        <v>3</v>
      </c>
      <c r="D24">
        <v>3</v>
      </c>
      <c r="E24">
        <f t="shared" si="0"/>
        <v>3</v>
      </c>
      <c r="F24">
        <v>102</v>
      </c>
      <c r="G24">
        <f t="shared" si="1"/>
        <v>4.25</v>
      </c>
      <c r="H24">
        <v>21.1</v>
      </c>
      <c r="I24">
        <v>10.3</v>
      </c>
      <c r="J24" s="2">
        <v>10.119999999999999</v>
      </c>
      <c r="K24" s="2">
        <v>0.4652</v>
      </c>
      <c r="L24" t="s">
        <v>559</v>
      </c>
      <c r="M24">
        <v>7.3200000000000001E-2</v>
      </c>
      <c r="N24">
        <v>176.485073510901</v>
      </c>
      <c r="O24">
        <v>277.63548205953998</v>
      </c>
      <c r="P24">
        <f t="shared" si="2"/>
        <v>72.329948160205319</v>
      </c>
      <c r="Q24">
        <f t="shared" si="3"/>
        <v>113.78503363095901</v>
      </c>
      <c r="R24">
        <f t="shared" si="4"/>
        <v>50.030625142414017</v>
      </c>
      <c r="S24">
        <f t="shared" si="5"/>
        <v>35.079925868424667</v>
      </c>
      <c r="T24">
        <f t="shared" si="6"/>
        <v>85.110551010838691</v>
      </c>
    </row>
    <row r="25" spans="1:20" x14ac:dyDescent="0.35">
      <c r="A25" t="s">
        <v>558</v>
      </c>
      <c r="B25" t="s">
        <v>145</v>
      </c>
      <c r="C25">
        <v>3</v>
      </c>
      <c r="D25">
        <v>4</v>
      </c>
      <c r="E25">
        <f t="shared" si="0"/>
        <v>4</v>
      </c>
      <c r="F25">
        <v>126</v>
      </c>
      <c r="G25">
        <f t="shared" si="1"/>
        <v>5.25</v>
      </c>
      <c r="H25">
        <v>23.41</v>
      </c>
      <c r="I25">
        <v>16.93</v>
      </c>
      <c r="J25">
        <v>11.18</v>
      </c>
      <c r="K25">
        <v>0.46229999999999999</v>
      </c>
      <c r="M25">
        <v>6.8699999999999997E-2</v>
      </c>
      <c r="N25">
        <v>156.05746758016301</v>
      </c>
      <c r="O25">
        <v>214.171957502531</v>
      </c>
      <c r="P25">
        <f t="shared" si="2"/>
        <v>68.147365755529691</v>
      </c>
      <c r="Q25">
        <f t="shared" si="3"/>
        <v>93.524872271847613</v>
      </c>
      <c r="R25">
        <f t="shared" si="4"/>
        <v>47.137532893099888</v>
      </c>
      <c r="S25">
        <f t="shared" si="5"/>
        <v>28.83371812141062</v>
      </c>
      <c r="T25">
        <f t="shared" si="6"/>
        <v>75.9712510145105</v>
      </c>
    </row>
    <row r="26" spans="1:20" x14ac:dyDescent="0.35">
      <c r="A26" t="s">
        <v>558</v>
      </c>
      <c r="B26" t="s">
        <v>146</v>
      </c>
      <c r="C26">
        <v>3</v>
      </c>
      <c r="D26">
        <v>5</v>
      </c>
      <c r="E26">
        <f t="shared" si="0"/>
        <v>5</v>
      </c>
      <c r="F26">
        <v>126</v>
      </c>
      <c r="G26">
        <f t="shared" si="1"/>
        <v>5.25</v>
      </c>
      <c r="H26">
        <v>25.3</v>
      </c>
      <c r="I26">
        <v>17.95</v>
      </c>
      <c r="J26">
        <v>12.07</v>
      </c>
      <c r="K26">
        <v>0.61260000000000003</v>
      </c>
      <c r="M26">
        <v>8.0100000000000005E-2</v>
      </c>
      <c r="N26">
        <v>158.913155363524</v>
      </c>
      <c r="O26">
        <v>239.59825175003101</v>
      </c>
      <c r="P26">
        <f t="shared" si="2"/>
        <v>59.518035716675648</v>
      </c>
      <c r="Q26">
        <f t="shared" si="3"/>
        <v>89.737172940086523</v>
      </c>
      <c r="R26">
        <f t="shared" si="4"/>
        <v>41.168625305224545</v>
      </c>
      <c r="S26">
        <f t="shared" si="5"/>
        <v>27.665970417428678</v>
      </c>
      <c r="T26">
        <f t="shared" si="6"/>
        <v>68.834595722653219</v>
      </c>
    </row>
    <row r="27" spans="1:20" x14ac:dyDescent="0.35">
      <c r="A27" t="s">
        <v>558</v>
      </c>
      <c r="B27" t="s">
        <v>147</v>
      </c>
      <c r="C27">
        <v>3</v>
      </c>
      <c r="D27">
        <v>6</v>
      </c>
      <c r="E27">
        <f t="shared" si="0"/>
        <v>6</v>
      </c>
      <c r="F27">
        <v>134</v>
      </c>
      <c r="G27">
        <f t="shared" si="1"/>
        <v>5.583333333333333</v>
      </c>
      <c r="H27">
        <v>25.65</v>
      </c>
      <c r="I27">
        <v>17.27</v>
      </c>
      <c r="J27">
        <v>10.07</v>
      </c>
      <c r="K27">
        <v>0.63749999999999996</v>
      </c>
      <c r="M27">
        <v>0.1065</v>
      </c>
      <c r="N27">
        <v>262.26595856584601</v>
      </c>
      <c r="O27">
        <v>347.19545867521902</v>
      </c>
      <c r="P27">
        <f t="shared" si="2"/>
        <v>73.877734807280561</v>
      </c>
      <c r="Q27">
        <f t="shared" si="3"/>
        <v>97.801537654991279</v>
      </c>
      <c r="R27">
        <f t="shared" si="4"/>
        <v>51.101229166195964</v>
      </c>
      <c r="S27">
        <f t="shared" si="5"/>
        <v>30.152214059033813</v>
      </c>
      <c r="T27">
        <f t="shared" si="6"/>
        <v>81.253443225229773</v>
      </c>
    </row>
    <row r="28" spans="1:20" x14ac:dyDescent="0.35">
      <c r="A28" t="s">
        <v>558</v>
      </c>
      <c r="B28" t="s">
        <v>148</v>
      </c>
      <c r="C28">
        <v>3</v>
      </c>
      <c r="D28">
        <v>7</v>
      </c>
      <c r="E28">
        <f t="shared" si="0"/>
        <v>7</v>
      </c>
      <c r="F28">
        <v>158</v>
      </c>
      <c r="G28">
        <f t="shared" si="1"/>
        <v>6.583333333333333</v>
      </c>
      <c r="H28">
        <v>25.66</v>
      </c>
      <c r="I28">
        <v>17.53</v>
      </c>
      <c r="J28">
        <v>11.53</v>
      </c>
      <c r="K28">
        <v>0.54590000000000005</v>
      </c>
      <c r="M28">
        <v>7.8799999999999995E-2</v>
      </c>
      <c r="N28">
        <v>287.32358607562998</v>
      </c>
      <c r="O28">
        <v>384.004397063032</v>
      </c>
      <c r="P28">
        <f t="shared" si="2"/>
        <v>109.38715205924998</v>
      </c>
      <c r="Q28">
        <f t="shared" si="3"/>
        <v>146.19456740978376</v>
      </c>
      <c r="R28">
        <f t="shared" si="4"/>
        <v>75.663093079383216</v>
      </c>
      <c r="S28">
        <f t="shared" si="5"/>
        <v>45.071785132436332</v>
      </c>
      <c r="T28">
        <f t="shared" si="6"/>
        <v>120.73487821181955</v>
      </c>
    </row>
    <row r="29" spans="1:20" x14ac:dyDescent="0.35">
      <c r="A29" t="s">
        <v>558</v>
      </c>
      <c r="B29" t="s">
        <v>149</v>
      </c>
      <c r="C29">
        <v>3</v>
      </c>
      <c r="D29">
        <v>8</v>
      </c>
      <c r="E29">
        <f t="shared" si="0"/>
        <v>8</v>
      </c>
      <c r="F29">
        <v>175</v>
      </c>
      <c r="G29">
        <f t="shared" si="1"/>
        <v>7.291666666666667</v>
      </c>
      <c r="H29">
        <v>23.65</v>
      </c>
      <c r="I29">
        <v>16.8</v>
      </c>
      <c r="J29">
        <v>11.2</v>
      </c>
      <c r="K29">
        <v>0.51160000000000005</v>
      </c>
      <c r="M29">
        <v>7.3099999999999998E-2</v>
      </c>
      <c r="N29">
        <v>185.85344397938701</v>
      </c>
      <c r="O29">
        <v>294.31806558860097</v>
      </c>
      <c r="P29">
        <f t="shared" si="2"/>
        <v>76.273643219994668</v>
      </c>
      <c r="Q29">
        <f t="shared" si="3"/>
        <v>120.78716782021928</v>
      </c>
      <c r="R29">
        <f t="shared" si="4"/>
        <v>52.758479015270311</v>
      </c>
      <c r="S29">
        <f t="shared" si="5"/>
        <v>37.238683838973607</v>
      </c>
      <c r="T29">
        <f t="shared" si="6"/>
        <v>89.997162854243925</v>
      </c>
    </row>
    <row r="30" spans="1:20" x14ac:dyDescent="0.35">
      <c r="A30" t="s">
        <v>558</v>
      </c>
      <c r="B30" t="s">
        <v>150</v>
      </c>
      <c r="C30">
        <v>3</v>
      </c>
      <c r="D30">
        <v>9</v>
      </c>
      <c r="E30">
        <f t="shared" si="0"/>
        <v>9</v>
      </c>
      <c r="F30">
        <v>182</v>
      </c>
      <c r="G30">
        <f t="shared" si="1"/>
        <v>7.583333333333333</v>
      </c>
      <c r="H30">
        <v>20.97</v>
      </c>
      <c r="I30">
        <v>14.81</v>
      </c>
      <c r="J30">
        <v>8.9499999999999993</v>
      </c>
      <c r="K30" s="2">
        <v>0.41199999999999998</v>
      </c>
      <c r="L30" t="s">
        <v>559</v>
      </c>
      <c r="M30">
        <v>5.3900000000000003E-2</v>
      </c>
      <c r="N30">
        <v>155.163983425975</v>
      </c>
      <c r="O30">
        <v>220.24062220175301</v>
      </c>
      <c r="P30">
        <f t="shared" si="2"/>
        <v>86.362142908705934</v>
      </c>
      <c r="Q30">
        <f t="shared" si="3"/>
        <v>122.58290660579945</v>
      </c>
      <c r="R30">
        <f t="shared" si="4"/>
        <v>59.736694249951896</v>
      </c>
      <c r="S30">
        <f t="shared" si="5"/>
        <v>37.792310106567975</v>
      </c>
      <c r="T30">
        <f t="shared" si="6"/>
        <v>97.529004356519863</v>
      </c>
    </row>
    <row r="31" spans="1:20" x14ac:dyDescent="0.35">
      <c r="A31" t="s">
        <v>558</v>
      </c>
      <c r="B31" t="s">
        <v>151</v>
      </c>
      <c r="C31">
        <v>3</v>
      </c>
      <c r="D31">
        <v>10</v>
      </c>
      <c r="E31">
        <f t="shared" si="0"/>
        <v>10</v>
      </c>
      <c r="F31">
        <v>206</v>
      </c>
      <c r="G31">
        <f t="shared" si="1"/>
        <v>8.5833333333333339</v>
      </c>
      <c r="H31">
        <v>24.4</v>
      </c>
      <c r="I31">
        <v>17.18</v>
      </c>
      <c r="J31">
        <v>11.2</v>
      </c>
      <c r="K31">
        <v>0.51380000000000003</v>
      </c>
      <c r="M31" s="1">
        <v>7.9000000000000001E-2</v>
      </c>
      <c r="N31">
        <v>223.67065753030499</v>
      </c>
      <c r="O31">
        <v>267.868263808611</v>
      </c>
      <c r="P31">
        <f t="shared" si="2"/>
        <v>84.938224378596829</v>
      </c>
      <c r="Q31">
        <f t="shared" si="3"/>
        <v>101.72212549694088</v>
      </c>
      <c r="R31">
        <f t="shared" si="4"/>
        <v>58.751769802675426</v>
      </c>
      <c r="S31">
        <f t="shared" si="5"/>
        <v>31.360931290706873</v>
      </c>
      <c r="T31">
        <f t="shared" si="6"/>
        <v>90.112701093382299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1:M37"/>
  <sheetViews>
    <sheetView topLeftCell="A13" zoomScale="115" zoomScaleNormal="115" workbookViewId="0">
      <selection activeCell="B9" sqref="B9:B31"/>
    </sheetView>
  </sheetViews>
  <sheetFormatPr defaultColWidth="9" defaultRowHeight="14.15" x14ac:dyDescent="0.35"/>
  <cols>
    <col min="1" max="1" width="10.140625" customWidth="1"/>
    <col min="3" max="3" width="10.85546875" customWidth="1"/>
    <col min="4" max="4" width="12.140625" customWidth="1"/>
    <col min="5" max="5" width="11.85546875" customWidth="1"/>
    <col min="6" max="6" width="12.140625" customWidth="1"/>
    <col min="7" max="7" width="13.640625" customWidth="1"/>
    <col min="8" max="8" width="14.140625" customWidth="1"/>
    <col min="9" max="9" width="11.140625" customWidth="1"/>
  </cols>
  <sheetData>
    <row r="1" spans="1:13" x14ac:dyDescent="0.35">
      <c r="A1" s="6" t="s">
        <v>563</v>
      </c>
      <c r="B1" t="s">
        <v>542</v>
      </c>
      <c r="C1" t="s">
        <v>543</v>
      </c>
      <c r="D1" s="6" t="s">
        <v>589</v>
      </c>
      <c r="E1" s="6" t="s">
        <v>590</v>
      </c>
      <c r="F1" s="6" t="s">
        <v>598</v>
      </c>
      <c r="G1" s="6" t="s">
        <v>599</v>
      </c>
      <c r="H1" s="6" t="s">
        <v>600</v>
      </c>
      <c r="I1" s="6" t="s">
        <v>607</v>
      </c>
    </row>
    <row r="2" spans="1:13" x14ac:dyDescent="0.35">
      <c r="A2" s="6" t="s">
        <v>573</v>
      </c>
      <c r="B2">
        <v>0</v>
      </c>
      <c r="C2">
        <f>B2/24</f>
        <v>0</v>
      </c>
      <c r="D2">
        <v>0.31815932418790699</v>
      </c>
      <c r="E2">
        <v>131.10301854448599</v>
      </c>
      <c r="F2">
        <f>D2*10</f>
        <v>3.18159324187907</v>
      </c>
      <c r="G2">
        <f>E2*10</f>
        <v>1311.0301854448599</v>
      </c>
      <c r="H2">
        <f>(G2-F2)*0.3083</f>
        <v>403.20972097617903</v>
      </c>
      <c r="I2">
        <f>G2*0.3083+F2*0.6917</f>
        <v>406.39131421805803</v>
      </c>
    </row>
    <row r="3" spans="1:13" x14ac:dyDescent="0.35">
      <c r="A3" s="6" t="s">
        <v>573</v>
      </c>
      <c r="B3">
        <v>3</v>
      </c>
      <c r="C3">
        <f t="shared" ref="C3:C31" si="0">B3/24</f>
        <v>0.125</v>
      </c>
      <c r="D3">
        <v>0.307116535562453</v>
      </c>
      <c r="E3">
        <v>115.48446996813399</v>
      </c>
      <c r="F3">
        <f t="shared" ref="F3:F31" si="1">D3*10</f>
        <v>3.07116535562453</v>
      </c>
      <c r="G3">
        <f t="shared" ref="G3:G31" si="2">E3*10</f>
        <v>1154.84469968134</v>
      </c>
      <c r="H3">
        <f t="shared" ref="H3:H31" si="3">(G3-F3)*0.3083</f>
        <v>355.09178063261811</v>
      </c>
      <c r="I3">
        <f t="shared" ref="I3:I31" si="4">G3*0.3083+F3*0.6917</f>
        <v>358.16294598824265</v>
      </c>
    </row>
    <row r="4" spans="1:13" x14ac:dyDescent="0.35">
      <c r="A4" s="6" t="s">
        <v>573</v>
      </c>
      <c r="B4">
        <v>6</v>
      </c>
      <c r="C4">
        <f t="shared" si="0"/>
        <v>0.25</v>
      </c>
      <c r="D4">
        <v>0.25364389333375398</v>
      </c>
      <c r="E4">
        <v>97.959389068051195</v>
      </c>
      <c r="F4">
        <f t="shared" si="1"/>
        <v>2.5364389333375397</v>
      </c>
      <c r="G4">
        <f t="shared" si="2"/>
        <v>979.593890680512</v>
      </c>
      <c r="H4">
        <f t="shared" si="3"/>
        <v>301.2268123736539</v>
      </c>
      <c r="I4">
        <f t="shared" si="4"/>
        <v>303.76325130699149</v>
      </c>
    </row>
    <row r="5" spans="1:13" x14ac:dyDescent="0.35">
      <c r="A5" s="6" t="s">
        <v>573</v>
      </c>
      <c r="B5">
        <v>9</v>
      </c>
      <c r="C5">
        <f t="shared" si="0"/>
        <v>0.375</v>
      </c>
      <c r="D5">
        <v>0.28878355125833899</v>
      </c>
      <c r="E5">
        <v>93.495513393049293</v>
      </c>
      <c r="F5">
        <f t="shared" si="1"/>
        <v>2.8878355125833899</v>
      </c>
      <c r="G5">
        <f t="shared" si="2"/>
        <v>934.95513393049293</v>
      </c>
      <c r="H5">
        <f t="shared" si="3"/>
        <v>287.35634810224155</v>
      </c>
      <c r="I5">
        <f t="shared" si="4"/>
        <v>290.24418361482492</v>
      </c>
    </row>
    <row r="6" spans="1:13" x14ac:dyDescent="0.35">
      <c r="A6" s="6" t="s">
        <v>573</v>
      </c>
      <c r="B6">
        <v>12</v>
      </c>
      <c r="C6">
        <f t="shared" si="0"/>
        <v>0.5</v>
      </c>
      <c r="D6">
        <v>0.28759939042092902</v>
      </c>
      <c r="E6">
        <v>91.277846486525306</v>
      </c>
      <c r="F6">
        <f t="shared" si="1"/>
        <v>2.8759939042092904</v>
      </c>
      <c r="G6">
        <f t="shared" si="2"/>
        <v>912.778464865253</v>
      </c>
      <c r="H6">
        <f t="shared" si="3"/>
        <v>280.5229317972898</v>
      </c>
      <c r="I6">
        <f t="shared" si="4"/>
        <v>283.39892570149908</v>
      </c>
    </row>
    <row r="7" spans="1:13" x14ac:dyDescent="0.35">
      <c r="A7" s="6" t="s">
        <v>573</v>
      </c>
      <c r="B7">
        <v>24</v>
      </c>
      <c r="C7">
        <f t="shared" si="0"/>
        <v>1</v>
      </c>
      <c r="D7">
        <v>0.32642760065253001</v>
      </c>
      <c r="E7">
        <v>86.433927840527502</v>
      </c>
      <c r="F7">
        <f t="shared" si="1"/>
        <v>3.2642760065253</v>
      </c>
      <c r="G7">
        <f t="shared" si="2"/>
        <v>864.33927840527508</v>
      </c>
      <c r="H7">
        <f t="shared" si="3"/>
        <v>265.46942323953459</v>
      </c>
      <c r="I7">
        <f t="shared" si="4"/>
        <v>268.73369924605987</v>
      </c>
      <c r="L7" t="s">
        <v>543</v>
      </c>
      <c r="M7" s="6" t="s">
        <v>600</v>
      </c>
    </row>
    <row r="8" spans="1:13" x14ac:dyDescent="0.35">
      <c r="A8" s="6" t="s">
        <v>573</v>
      </c>
      <c r="B8">
        <v>24.01</v>
      </c>
      <c r="C8">
        <f t="shared" si="0"/>
        <v>1.0004166666666667</v>
      </c>
      <c r="D8">
        <v>40.9367085615417</v>
      </c>
      <c r="E8">
        <v>46.395824593147502</v>
      </c>
      <c r="F8">
        <f t="shared" si="1"/>
        <v>409.36708561541701</v>
      </c>
      <c r="G8">
        <f t="shared" si="2"/>
        <v>463.95824593147501</v>
      </c>
      <c r="H8">
        <f t="shared" si="3"/>
        <v>16.830454725440681</v>
      </c>
      <c r="I8">
        <f t="shared" si="4"/>
        <v>426.1975403408577</v>
      </c>
      <c r="L8">
        <v>0</v>
      </c>
      <c r="M8">
        <v>403.20972097617903</v>
      </c>
    </row>
    <row r="9" spans="1:13" x14ac:dyDescent="0.35">
      <c r="A9" s="6" t="s">
        <v>573</v>
      </c>
      <c r="B9">
        <v>31</v>
      </c>
      <c r="C9">
        <f t="shared" si="0"/>
        <v>1.2916666666666667</v>
      </c>
      <c r="D9">
        <v>35.908185318435599</v>
      </c>
      <c r="E9">
        <v>46.199491169663602</v>
      </c>
      <c r="F9">
        <f t="shared" si="1"/>
        <v>359.08185318435596</v>
      </c>
      <c r="G9">
        <f t="shared" si="2"/>
        <v>461.994911696636</v>
      </c>
      <c r="H9">
        <f t="shared" si="3"/>
        <v>31.728095939335937</v>
      </c>
      <c r="I9">
        <f t="shared" si="4"/>
        <v>390.80994912369192</v>
      </c>
      <c r="L9">
        <v>0.125</v>
      </c>
      <c r="M9">
        <v>355.09178063261811</v>
      </c>
    </row>
    <row r="10" spans="1:13" x14ac:dyDescent="0.35">
      <c r="A10" s="6" t="s">
        <v>573</v>
      </c>
      <c r="B10">
        <v>38</v>
      </c>
      <c r="C10">
        <f t="shared" si="0"/>
        <v>1.5833333333333333</v>
      </c>
      <c r="D10">
        <v>31.666669468921199</v>
      </c>
      <c r="E10">
        <v>42.958147295276497</v>
      </c>
      <c r="F10">
        <f t="shared" si="1"/>
        <v>316.66669468921202</v>
      </c>
      <c r="G10">
        <f t="shared" si="2"/>
        <v>429.58147295276495</v>
      </c>
      <c r="H10">
        <f t="shared" si="3"/>
        <v>34.811626138653374</v>
      </c>
      <c r="I10">
        <f t="shared" si="4"/>
        <v>351.47832082786539</v>
      </c>
      <c r="L10">
        <v>0.25</v>
      </c>
      <c r="M10">
        <v>301.2268123736539</v>
      </c>
    </row>
    <row r="11" spans="1:13" x14ac:dyDescent="0.35">
      <c r="A11" s="6" t="s">
        <v>573</v>
      </c>
      <c r="B11">
        <v>46</v>
      </c>
      <c r="C11">
        <f t="shared" si="0"/>
        <v>1.9166666666666667</v>
      </c>
      <c r="D11">
        <v>31.2571970247126</v>
      </c>
      <c r="E11">
        <v>40.740559124337899</v>
      </c>
      <c r="F11">
        <f t="shared" si="1"/>
        <v>312.57197024712599</v>
      </c>
      <c r="G11">
        <f t="shared" si="2"/>
        <v>407.40559124337898</v>
      </c>
      <c r="H11">
        <f t="shared" si="3"/>
        <v>29.237205353144798</v>
      </c>
      <c r="I11">
        <f t="shared" si="4"/>
        <v>341.80917560027081</v>
      </c>
      <c r="L11">
        <v>0.375</v>
      </c>
      <c r="M11">
        <v>287.35634810224155</v>
      </c>
    </row>
    <row r="12" spans="1:13" x14ac:dyDescent="0.35">
      <c r="A12" s="6" t="s">
        <v>573</v>
      </c>
      <c r="B12">
        <v>54</v>
      </c>
      <c r="C12">
        <f t="shared" si="0"/>
        <v>2.25</v>
      </c>
      <c r="D12">
        <v>32.063224498309502</v>
      </c>
      <c r="E12">
        <v>40.560689268973498</v>
      </c>
      <c r="F12">
        <f t="shared" si="1"/>
        <v>320.63224498309501</v>
      </c>
      <c r="G12">
        <f t="shared" si="2"/>
        <v>405.60689268973499</v>
      </c>
      <c r="H12">
        <f t="shared" si="3"/>
        <v>26.197683887957108</v>
      </c>
      <c r="I12">
        <f t="shared" si="4"/>
        <v>346.82992887105212</v>
      </c>
      <c r="L12">
        <v>0.5</v>
      </c>
      <c r="M12">
        <v>280.5229317972898</v>
      </c>
    </row>
    <row r="13" spans="1:13" x14ac:dyDescent="0.35">
      <c r="A13" s="6" t="s">
        <v>573</v>
      </c>
      <c r="B13">
        <v>62</v>
      </c>
      <c r="C13">
        <f t="shared" si="0"/>
        <v>2.5833333333333335</v>
      </c>
      <c r="D13">
        <v>31.974869135882798</v>
      </c>
      <c r="E13">
        <v>39.168797168554597</v>
      </c>
      <c r="F13">
        <f t="shared" si="1"/>
        <v>319.74869135882795</v>
      </c>
      <c r="G13">
        <f t="shared" si="2"/>
        <v>391.68797168554596</v>
      </c>
      <c r="H13">
        <f t="shared" si="3"/>
        <v>22.178880124727161</v>
      </c>
      <c r="I13">
        <f t="shared" si="4"/>
        <v>341.92757148355508</v>
      </c>
      <c r="L13">
        <v>1</v>
      </c>
      <c r="M13">
        <v>265.46942323953459</v>
      </c>
    </row>
    <row r="14" spans="1:13" x14ac:dyDescent="0.35">
      <c r="A14" s="6" t="s">
        <v>573</v>
      </c>
      <c r="B14">
        <v>70</v>
      </c>
      <c r="C14">
        <f t="shared" si="0"/>
        <v>2.9166666666666665</v>
      </c>
      <c r="D14">
        <v>36.525287491075197</v>
      </c>
      <c r="E14">
        <v>43.140841490435101</v>
      </c>
      <c r="F14">
        <f t="shared" si="1"/>
        <v>365.25287491075198</v>
      </c>
      <c r="G14">
        <f t="shared" si="2"/>
        <v>431.40841490435099</v>
      </c>
      <c r="H14">
        <f t="shared" si="3"/>
        <v>20.395752980026575</v>
      </c>
      <c r="I14">
        <f t="shared" si="4"/>
        <v>385.64862789077858</v>
      </c>
      <c r="L14">
        <v>1.0004166666666667</v>
      </c>
      <c r="M14">
        <v>16.830454725440681</v>
      </c>
    </row>
    <row r="15" spans="1:13" x14ac:dyDescent="0.35">
      <c r="A15" s="6" t="s">
        <v>573</v>
      </c>
      <c r="B15">
        <v>78</v>
      </c>
      <c r="C15">
        <f t="shared" si="0"/>
        <v>3.25</v>
      </c>
      <c r="D15">
        <v>33.164458510368398</v>
      </c>
      <c r="E15">
        <v>38.449999355520397</v>
      </c>
      <c r="F15">
        <f t="shared" si="1"/>
        <v>331.64458510368399</v>
      </c>
      <c r="G15">
        <f t="shared" si="2"/>
        <v>384.49999355520396</v>
      </c>
      <c r="H15">
        <f t="shared" si="3"/>
        <v>16.295322425603604</v>
      </c>
      <c r="I15">
        <f t="shared" si="4"/>
        <v>347.93990752928755</v>
      </c>
      <c r="L15">
        <v>1.2916666666666667</v>
      </c>
      <c r="M15">
        <v>31.728095939335937</v>
      </c>
    </row>
    <row r="16" spans="1:13" x14ac:dyDescent="0.35">
      <c r="A16" s="6" t="s">
        <v>573</v>
      </c>
      <c r="B16">
        <v>86</v>
      </c>
      <c r="C16">
        <f t="shared" si="0"/>
        <v>3.5833333333333335</v>
      </c>
      <c r="D16">
        <v>33.905545899359602</v>
      </c>
      <c r="E16">
        <v>38.651280757702402</v>
      </c>
      <c r="F16">
        <f t="shared" si="1"/>
        <v>339.05545899359601</v>
      </c>
      <c r="G16">
        <f t="shared" si="2"/>
        <v>386.51280757702403</v>
      </c>
      <c r="H16">
        <f t="shared" si="3"/>
        <v>14.631100568270861</v>
      </c>
      <c r="I16">
        <f t="shared" si="4"/>
        <v>353.68655956186689</v>
      </c>
      <c r="L16">
        <v>1.5833333333333333</v>
      </c>
      <c r="M16">
        <v>34.811626138653374</v>
      </c>
    </row>
    <row r="17" spans="1:13" x14ac:dyDescent="0.35">
      <c r="A17" s="6" t="s">
        <v>573</v>
      </c>
      <c r="B17">
        <v>94</v>
      </c>
      <c r="C17">
        <f t="shared" si="0"/>
        <v>3.9166666666666665</v>
      </c>
      <c r="D17">
        <v>34.1622774179083</v>
      </c>
      <c r="E17">
        <v>39.417529037080101</v>
      </c>
      <c r="F17">
        <f t="shared" si="1"/>
        <v>341.62277417908297</v>
      </c>
      <c r="G17">
        <f t="shared" si="2"/>
        <v>394.17529037080101</v>
      </c>
      <c r="H17">
        <f t="shared" si="3"/>
        <v>16.201940741906672</v>
      </c>
      <c r="I17">
        <f t="shared" si="4"/>
        <v>357.82471492098966</v>
      </c>
      <c r="L17">
        <v>1.9166666666666667</v>
      </c>
      <c r="M17">
        <v>29.237205353144798</v>
      </c>
    </row>
    <row r="18" spans="1:13" x14ac:dyDescent="0.35">
      <c r="A18" s="6" t="s">
        <v>573</v>
      </c>
      <c r="B18">
        <v>96.01</v>
      </c>
      <c r="C18">
        <f t="shared" si="0"/>
        <v>4.0004166666666672</v>
      </c>
      <c r="D18">
        <v>44.043123652187198</v>
      </c>
      <c r="E18">
        <v>44.725749980090299</v>
      </c>
      <c r="F18">
        <f t="shared" si="1"/>
        <v>440.43123652187199</v>
      </c>
      <c r="G18">
        <f t="shared" si="2"/>
        <v>447.25749980090302</v>
      </c>
      <c r="H18">
        <f t="shared" si="3"/>
        <v>2.1045369689252653</v>
      </c>
      <c r="I18">
        <f t="shared" si="4"/>
        <v>442.53577349079728</v>
      </c>
      <c r="L18">
        <v>2.25</v>
      </c>
      <c r="M18">
        <v>26.197683887957108</v>
      </c>
    </row>
    <row r="19" spans="1:13" x14ac:dyDescent="0.35">
      <c r="A19" s="6" t="s">
        <v>573</v>
      </c>
      <c r="B19">
        <v>99</v>
      </c>
      <c r="C19">
        <f t="shared" si="0"/>
        <v>4.125</v>
      </c>
      <c r="D19">
        <v>41.374668534270498</v>
      </c>
      <c r="E19">
        <v>42.530034647879901</v>
      </c>
      <c r="F19">
        <f t="shared" si="1"/>
        <v>413.74668534270495</v>
      </c>
      <c r="G19">
        <f t="shared" si="2"/>
        <v>425.30034647879904</v>
      </c>
      <c r="H19">
        <f t="shared" si="3"/>
        <v>3.5619937282578089</v>
      </c>
      <c r="I19">
        <f t="shared" si="4"/>
        <v>417.30867907096274</v>
      </c>
      <c r="L19">
        <v>2.5833333333333335</v>
      </c>
      <c r="M19">
        <v>22.178880124727161</v>
      </c>
    </row>
    <row r="20" spans="1:13" x14ac:dyDescent="0.35">
      <c r="A20" s="6" t="s">
        <v>573</v>
      </c>
      <c r="B20">
        <v>102</v>
      </c>
      <c r="C20">
        <f t="shared" si="0"/>
        <v>4.25</v>
      </c>
      <c r="D20">
        <v>41.701808297199001</v>
      </c>
      <c r="E20">
        <v>43.367167975746803</v>
      </c>
      <c r="F20">
        <f t="shared" si="1"/>
        <v>417.01808297199</v>
      </c>
      <c r="G20">
        <f t="shared" si="2"/>
        <v>433.67167975746804</v>
      </c>
      <c r="H20">
        <f t="shared" si="3"/>
        <v>5.1343038889628811</v>
      </c>
      <c r="I20">
        <f t="shared" si="4"/>
        <v>422.1523868609529</v>
      </c>
      <c r="L20">
        <v>2.9166666666666665</v>
      </c>
      <c r="M20">
        <v>20.395752980026575</v>
      </c>
    </row>
    <row r="21" spans="1:13" x14ac:dyDescent="0.35">
      <c r="A21" s="6" t="s">
        <v>573</v>
      </c>
      <c r="B21">
        <v>110</v>
      </c>
      <c r="C21">
        <f t="shared" si="0"/>
        <v>4.583333333333333</v>
      </c>
      <c r="D21">
        <v>39.923796875225101</v>
      </c>
      <c r="E21">
        <v>41.591402221084302</v>
      </c>
      <c r="F21">
        <f t="shared" si="1"/>
        <v>399.23796875225099</v>
      </c>
      <c r="G21">
        <f t="shared" si="2"/>
        <v>415.91402221084303</v>
      </c>
      <c r="H21">
        <f t="shared" si="3"/>
        <v>5.1412272812839257</v>
      </c>
      <c r="I21">
        <f t="shared" si="4"/>
        <v>404.37919603353498</v>
      </c>
      <c r="L21">
        <v>3.25</v>
      </c>
      <c r="M21">
        <v>16.295322425603604</v>
      </c>
    </row>
    <row r="22" spans="1:13" x14ac:dyDescent="0.35">
      <c r="A22" s="6" t="s">
        <v>573</v>
      </c>
      <c r="B22">
        <v>118</v>
      </c>
      <c r="C22">
        <f t="shared" si="0"/>
        <v>4.916666666666667</v>
      </c>
      <c r="D22">
        <v>39.070676840017903</v>
      </c>
      <c r="E22">
        <v>40.777493996104702</v>
      </c>
      <c r="F22">
        <f t="shared" si="1"/>
        <v>390.70676840017904</v>
      </c>
      <c r="G22">
        <f t="shared" si="2"/>
        <v>407.77493996104704</v>
      </c>
      <c r="H22">
        <f t="shared" si="3"/>
        <v>5.2621172922156036</v>
      </c>
      <c r="I22">
        <f t="shared" si="4"/>
        <v>395.96888569239462</v>
      </c>
      <c r="L22">
        <v>3.5833333333333335</v>
      </c>
      <c r="M22">
        <v>14.631100568270861</v>
      </c>
    </row>
    <row r="23" spans="1:13" x14ac:dyDescent="0.35">
      <c r="A23" s="6" t="s">
        <v>573</v>
      </c>
      <c r="B23">
        <v>126</v>
      </c>
      <c r="C23">
        <f t="shared" si="0"/>
        <v>5.25</v>
      </c>
      <c r="D23">
        <v>39.509279356301199</v>
      </c>
      <c r="E23">
        <v>41.568874948239497</v>
      </c>
      <c r="F23">
        <f t="shared" si="1"/>
        <v>395.09279356301198</v>
      </c>
      <c r="G23">
        <f t="shared" si="2"/>
        <v>415.688749482395</v>
      </c>
      <c r="H23">
        <f t="shared" si="3"/>
        <v>6.3497332099457839</v>
      </c>
      <c r="I23">
        <f t="shared" si="4"/>
        <v>401.44252677295776</v>
      </c>
      <c r="L23">
        <v>3.9166666666666665</v>
      </c>
      <c r="M23">
        <v>16.201940741906672</v>
      </c>
    </row>
    <row r="24" spans="1:13" x14ac:dyDescent="0.35">
      <c r="A24" s="6" t="s">
        <v>573</v>
      </c>
      <c r="B24">
        <v>150</v>
      </c>
      <c r="C24">
        <f t="shared" si="0"/>
        <v>6.25</v>
      </c>
      <c r="D24">
        <v>39.587515055929501</v>
      </c>
      <c r="E24">
        <v>40.855747558265399</v>
      </c>
      <c r="F24">
        <f t="shared" si="1"/>
        <v>395.87515055929498</v>
      </c>
      <c r="G24">
        <f t="shared" si="2"/>
        <v>408.55747558265398</v>
      </c>
      <c r="H24">
        <f t="shared" si="3"/>
        <v>3.9099608047015795</v>
      </c>
      <c r="I24">
        <f t="shared" si="4"/>
        <v>399.78511136399658</v>
      </c>
      <c r="L24">
        <v>4.0004166666666672</v>
      </c>
      <c r="M24">
        <v>2.1045369689252653</v>
      </c>
    </row>
    <row r="25" spans="1:13" x14ac:dyDescent="0.35">
      <c r="A25" s="6" t="s">
        <v>573</v>
      </c>
      <c r="B25">
        <v>158</v>
      </c>
      <c r="C25">
        <f t="shared" si="0"/>
        <v>6.583333333333333</v>
      </c>
      <c r="D25">
        <v>39.865987403645498</v>
      </c>
      <c r="E25">
        <v>40.925791225220401</v>
      </c>
      <c r="F25">
        <f t="shared" si="1"/>
        <v>398.65987403645499</v>
      </c>
      <c r="G25">
        <f t="shared" si="2"/>
        <v>409.25791225220399</v>
      </c>
      <c r="H25">
        <f t="shared" si="3"/>
        <v>3.2673751819154169</v>
      </c>
      <c r="I25">
        <f t="shared" si="4"/>
        <v>401.92724921837043</v>
      </c>
      <c r="L25">
        <v>4.125</v>
      </c>
      <c r="M25">
        <v>3.5619937282578089</v>
      </c>
    </row>
    <row r="26" spans="1:13" x14ac:dyDescent="0.35">
      <c r="A26" s="6" t="s">
        <v>573</v>
      </c>
      <c r="B26">
        <v>167</v>
      </c>
      <c r="C26">
        <f t="shared" si="0"/>
        <v>6.958333333333333</v>
      </c>
      <c r="D26">
        <v>37.856775431359601</v>
      </c>
      <c r="E26">
        <v>38.919049107998603</v>
      </c>
      <c r="F26">
        <f t="shared" si="1"/>
        <v>378.56775431359603</v>
      </c>
      <c r="G26">
        <f t="shared" si="2"/>
        <v>389.19049107998603</v>
      </c>
      <c r="H26">
        <f t="shared" si="3"/>
        <v>3.274989745078039</v>
      </c>
      <c r="I26">
        <f t="shared" si="4"/>
        <v>381.84274405867404</v>
      </c>
      <c r="L26">
        <v>4.25</v>
      </c>
      <c r="M26">
        <v>5.1343038889628811</v>
      </c>
    </row>
    <row r="27" spans="1:13" x14ac:dyDescent="0.35">
      <c r="A27" s="6" t="s">
        <v>573</v>
      </c>
      <c r="B27">
        <v>167.01</v>
      </c>
      <c r="C27">
        <f t="shared" si="0"/>
        <v>6.9587499999999993</v>
      </c>
      <c r="D27">
        <v>43.425816472589801</v>
      </c>
      <c r="E27">
        <v>43.7264100272101</v>
      </c>
      <c r="F27">
        <f t="shared" si="1"/>
        <v>434.25816472589804</v>
      </c>
      <c r="G27">
        <f t="shared" si="2"/>
        <v>437.26410027210102</v>
      </c>
      <c r="H27">
        <f t="shared" si="3"/>
        <v>0.92672992889437789</v>
      </c>
      <c r="I27">
        <f t="shared" si="4"/>
        <v>435.1848946547924</v>
      </c>
      <c r="L27">
        <v>4.583333333333333</v>
      </c>
      <c r="M27">
        <v>5.1412272812839257</v>
      </c>
    </row>
    <row r="28" spans="1:13" x14ac:dyDescent="0.35">
      <c r="A28" s="6" t="s">
        <v>573</v>
      </c>
      <c r="B28">
        <v>175</v>
      </c>
      <c r="C28">
        <f t="shared" si="0"/>
        <v>7.291666666666667</v>
      </c>
      <c r="D28">
        <v>42.243543517839299</v>
      </c>
      <c r="E28">
        <v>43.028540437813099</v>
      </c>
      <c r="F28">
        <f t="shared" si="1"/>
        <v>422.43543517839299</v>
      </c>
      <c r="G28">
        <f t="shared" si="2"/>
        <v>430.28540437813098</v>
      </c>
      <c r="H28">
        <f t="shared" si="3"/>
        <v>2.4201455042792208</v>
      </c>
      <c r="I28">
        <f t="shared" si="4"/>
        <v>424.85558068267221</v>
      </c>
      <c r="L28">
        <v>4.916666666666667</v>
      </c>
      <c r="M28">
        <v>5.2621172922156036</v>
      </c>
    </row>
    <row r="29" spans="1:13" x14ac:dyDescent="0.35">
      <c r="A29" s="6" t="s">
        <v>573</v>
      </c>
      <c r="B29">
        <v>182</v>
      </c>
      <c r="C29">
        <f t="shared" si="0"/>
        <v>7.583333333333333</v>
      </c>
      <c r="D29">
        <v>40.560262649198002</v>
      </c>
      <c r="E29">
        <v>41.054748284746097</v>
      </c>
      <c r="F29">
        <f t="shared" si="1"/>
        <v>405.60262649198</v>
      </c>
      <c r="G29">
        <f t="shared" si="2"/>
        <v>410.54748284746097</v>
      </c>
      <c r="H29">
        <f t="shared" si="3"/>
        <v>1.5244992143947818</v>
      </c>
      <c r="I29">
        <f t="shared" si="4"/>
        <v>407.12712570637478</v>
      </c>
      <c r="L29">
        <v>5.25</v>
      </c>
      <c r="M29">
        <v>6.3497332099457839</v>
      </c>
    </row>
    <row r="30" spans="1:13" x14ac:dyDescent="0.35">
      <c r="A30" s="6" t="s">
        <v>573</v>
      </c>
      <c r="B30">
        <v>192</v>
      </c>
      <c r="C30">
        <f t="shared" si="0"/>
        <v>8</v>
      </c>
      <c r="D30">
        <v>40.725738383452601</v>
      </c>
      <c r="E30">
        <v>41.385026566166403</v>
      </c>
      <c r="F30">
        <f t="shared" si="1"/>
        <v>407.25738383452602</v>
      </c>
      <c r="G30">
        <f t="shared" si="2"/>
        <v>413.85026566166403</v>
      </c>
      <c r="H30">
        <f t="shared" si="3"/>
        <v>2.0325854673066459</v>
      </c>
      <c r="I30">
        <f t="shared" si="4"/>
        <v>409.28996930183263</v>
      </c>
      <c r="L30">
        <v>6.25</v>
      </c>
      <c r="M30">
        <v>3.9099608047015795</v>
      </c>
    </row>
    <row r="31" spans="1:13" x14ac:dyDescent="0.35">
      <c r="A31" s="6" t="s">
        <v>573</v>
      </c>
      <c r="B31">
        <v>206</v>
      </c>
      <c r="C31">
        <f t="shared" si="0"/>
        <v>8.5833333333333339</v>
      </c>
      <c r="D31">
        <v>40.242569447130599</v>
      </c>
      <c r="E31">
        <v>40.310860354763001</v>
      </c>
      <c r="F31">
        <f t="shared" si="1"/>
        <v>402.42569447130597</v>
      </c>
      <c r="G31">
        <f t="shared" si="2"/>
        <v>403.10860354763003</v>
      </c>
      <c r="H31">
        <f t="shared" si="3"/>
        <v>0.21054086823070509</v>
      </c>
      <c r="I31">
        <f t="shared" si="4"/>
        <v>402.63623533953665</v>
      </c>
      <c r="L31">
        <v>6.583333333333333</v>
      </c>
      <c r="M31">
        <v>3.2673751819154169</v>
      </c>
    </row>
    <row r="32" spans="1:13" x14ac:dyDescent="0.35">
      <c r="L32">
        <v>6.958333333333333</v>
      </c>
      <c r="M32">
        <v>3.274989745078039</v>
      </c>
    </row>
    <row r="33" spans="12:13" x14ac:dyDescent="0.35">
      <c r="L33">
        <v>6.9587499999999993</v>
      </c>
      <c r="M33">
        <v>0.92672992889437789</v>
      </c>
    </row>
    <row r="34" spans="12:13" x14ac:dyDescent="0.35">
      <c r="L34">
        <v>7.291666666666667</v>
      </c>
      <c r="M34">
        <v>2.4201455042792208</v>
      </c>
    </row>
    <row r="35" spans="12:13" x14ac:dyDescent="0.35">
      <c r="L35">
        <v>7.583333333333333</v>
      </c>
      <c r="M35">
        <v>1.5244992143947818</v>
      </c>
    </row>
    <row r="36" spans="12:13" x14ac:dyDescent="0.35">
      <c r="L36">
        <v>8</v>
      </c>
      <c r="M36">
        <v>2.0325854673066459</v>
      </c>
    </row>
    <row r="37" spans="12:13" x14ac:dyDescent="0.35">
      <c r="L37">
        <v>8.5833333333333339</v>
      </c>
      <c r="M37">
        <v>0.21054086823070509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>
    <tabColor rgb="FF00B050"/>
  </sheetPr>
  <dimension ref="A1:U272"/>
  <sheetViews>
    <sheetView topLeftCell="K243" workbookViewId="0">
      <selection activeCell="Q2" sqref="Q2"/>
    </sheetView>
  </sheetViews>
  <sheetFormatPr defaultColWidth="9" defaultRowHeight="14.15" x14ac:dyDescent="0.35"/>
  <cols>
    <col min="1" max="1" width="11.5" customWidth="1"/>
    <col min="2" max="2" width="27" customWidth="1"/>
    <col min="4" max="4" width="18.78515625" customWidth="1"/>
    <col min="5" max="5" width="11.5" customWidth="1"/>
    <col min="6" max="6" width="14.640625" customWidth="1"/>
    <col min="7" max="7" width="25.640625" customWidth="1"/>
    <col min="8" max="8" width="20.640625" customWidth="1"/>
    <col min="9" max="9" width="13.85546875" customWidth="1"/>
    <col min="10" max="10" width="13.140625" customWidth="1"/>
    <col min="11" max="11" width="21" customWidth="1"/>
    <col min="12" max="12" width="18.640625" customWidth="1"/>
    <col min="13" max="13" width="14.5" customWidth="1"/>
    <col min="14" max="14" width="34.85546875" customWidth="1"/>
    <col min="15" max="15" width="12.140625" customWidth="1"/>
    <col min="16" max="16" width="12.640625" customWidth="1"/>
    <col min="17" max="17" width="14.140625" customWidth="1"/>
    <col min="18" max="18" width="13.640625" customWidth="1"/>
    <col min="19" max="19" width="10.640625" customWidth="1"/>
    <col min="20" max="20" width="11.35546875" customWidth="1"/>
  </cols>
  <sheetData>
    <row r="1" spans="1:21" x14ac:dyDescent="0.35">
      <c r="A1" t="s">
        <v>0</v>
      </c>
      <c r="B1" t="s">
        <v>1</v>
      </c>
      <c r="C1" t="s">
        <v>540</v>
      </c>
      <c r="D1" t="s">
        <v>555</v>
      </c>
      <c r="E1" t="s">
        <v>541</v>
      </c>
      <c r="F1" t="s">
        <v>2</v>
      </c>
      <c r="G1" t="s">
        <v>542</v>
      </c>
      <c r="H1" t="s">
        <v>543</v>
      </c>
      <c r="I1" t="s">
        <v>544</v>
      </c>
      <c r="J1" t="s">
        <v>545</v>
      </c>
      <c r="K1" t="s">
        <v>546</v>
      </c>
      <c r="L1" t="s">
        <v>547</v>
      </c>
      <c r="M1" t="s">
        <v>6</v>
      </c>
      <c r="N1" t="s">
        <v>7</v>
      </c>
      <c r="O1" s="6" t="s">
        <v>612</v>
      </c>
      <c r="P1" s="6" t="s">
        <v>590</v>
      </c>
      <c r="Q1" s="6" t="s">
        <v>596</v>
      </c>
      <c r="R1" s="6" t="s">
        <v>597</v>
      </c>
      <c r="S1" s="6" t="s">
        <v>608</v>
      </c>
      <c r="T1" s="6" t="s">
        <v>609</v>
      </c>
      <c r="U1" s="6" t="s">
        <v>595</v>
      </c>
    </row>
    <row r="2" spans="1:21" x14ac:dyDescent="0.35">
      <c r="A2" t="s">
        <v>560</v>
      </c>
      <c r="B2" t="s">
        <v>152</v>
      </c>
      <c r="C2">
        <v>1</v>
      </c>
      <c r="D2">
        <v>0</v>
      </c>
      <c r="E2">
        <v>1</v>
      </c>
      <c r="F2">
        <v>1</v>
      </c>
      <c r="G2">
        <v>48</v>
      </c>
      <c r="H2">
        <v>2</v>
      </c>
      <c r="I2" s="3">
        <v>45316.495833333334</v>
      </c>
      <c r="J2" s="3">
        <v>45318.511805555558</v>
      </c>
      <c r="K2">
        <f t="shared" ref="K2:K31" si="0">(J2-I2)*24</f>
        <v>48.383333333360497</v>
      </c>
      <c r="L2">
        <f t="shared" ref="L2:L31" si="1">K2/24</f>
        <v>2.015972222223354</v>
      </c>
      <c r="M2">
        <v>0.3805</v>
      </c>
      <c r="N2">
        <v>7.1999999999999995E-2</v>
      </c>
      <c r="O2">
        <v>9.9462425950842395</v>
      </c>
      <c r="P2">
        <v>28.052713066616501</v>
      </c>
      <c r="Q2">
        <f>O2*30/1000/N2</f>
        <v>4.1442677479517664</v>
      </c>
      <c r="R2">
        <f>P2*30/1000/N2</f>
        <v>11.688630444423543</v>
      </c>
      <c r="S2">
        <f>Q2*0.6917</f>
        <v>2.8665900012582366</v>
      </c>
      <c r="T2">
        <f>R2*0.3083</f>
        <v>3.6036047660157786</v>
      </c>
      <c r="U2">
        <v>1</v>
      </c>
    </row>
    <row r="3" spans="1:21" x14ac:dyDescent="0.35">
      <c r="A3" t="s">
        <v>560</v>
      </c>
      <c r="B3" t="s">
        <v>153</v>
      </c>
      <c r="C3">
        <v>1</v>
      </c>
      <c r="D3">
        <v>0</v>
      </c>
      <c r="E3">
        <v>1</v>
      </c>
      <c r="F3">
        <v>2</v>
      </c>
      <c r="G3">
        <v>48</v>
      </c>
      <c r="H3">
        <v>2</v>
      </c>
      <c r="I3" s="3">
        <v>45316.495833333334</v>
      </c>
      <c r="J3" s="3">
        <v>45318.511805555558</v>
      </c>
      <c r="K3">
        <f t="shared" si="0"/>
        <v>48.383333333360497</v>
      </c>
      <c r="L3">
        <f t="shared" si="1"/>
        <v>2.015972222223354</v>
      </c>
      <c r="M3">
        <v>0.41510000000000002</v>
      </c>
      <c r="N3">
        <v>7.9200000000000007E-2</v>
      </c>
      <c r="O3">
        <v>12.6117714491795</v>
      </c>
      <c r="P3">
        <v>33.722788867424001</v>
      </c>
      <c r="Q3">
        <f t="shared" ref="Q3:Q19" si="2">O3*30/1000/N3</f>
        <v>4.7771861549922336</v>
      </c>
      <c r="R3">
        <f t="shared" ref="R3:R19" si="3">P3*30/1000/N3</f>
        <v>12.773783661903028</v>
      </c>
      <c r="S3">
        <f t="shared" ref="S3:S20" si="4">Q3*0.6917</f>
        <v>3.3043796634081279</v>
      </c>
      <c r="T3">
        <f t="shared" ref="T3:T20" si="5">R3*0.3083</f>
        <v>3.938157502964704</v>
      </c>
      <c r="U3">
        <v>1</v>
      </c>
    </row>
    <row r="4" spans="1:21" x14ac:dyDescent="0.35">
      <c r="A4" t="s">
        <v>560</v>
      </c>
      <c r="B4" t="s">
        <v>154</v>
      </c>
      <c r="C4">
        <v>1</v>
      </c>
      <c r="D4">
        <v>0</v>
      </c>
      <c r="E4">
        <v>1</v>
      </c>
      <c r="F4">
        <v>3</v>
      </c>
      <c r="G4">
        <v>48</v>
      </c>
      <c r="H4">
        <v>2</v>
      </c>
      <c r="I4" s="3">
        <v>45316.495833333334</v>
      </c>
      <c r="J4" s="3">
        <v>45318.511805555558</v>
      </c>
      <c r="K4">
        <f t="shared" si="0"/>
        <v>48.383333333360497</v>
      </c>
      <c r="L4">
        <f t="shared" si="1"/>
        <v>2.015972222223354</v>
      </c>
      <c r="M4">
        <v>0.50290000000000001</v>
      </c>
      <c r="N4">
        <v>0.10059999999999999</v>
      </c>
      <c r="O4">
        <v>13.8991865518857</v>
      </c>
      <c r="P4">
        <v>43.5068384317998</v>
      </c>
      <c r="Q4">
        <f t="shared" si="2"/>
        <v>4.1448866456915612</v>
      </c>
      <c r="R4">
        <f t="shared" si="3"/>
        <v>12.974206291789207</v>
      </c>
      <c r="S4">
        <f t="shared" si="4"/>
        <v>2.867018092824853</v>
      </c>
      <c r="T4">
        <f t="shared" si="5"/>
        <v>3.9999477997586128</v>
      </c>
      <c r="U4">
        <v>1</v>
      </c>
    </row>
    <row r="5" spans="1:21" x14ac:dyDescent="0.35">
      <c r="A5" t="s">
        <v>560</v>
      </c>
      <c r="B5" t="s">
        <v>155</v>
      </c>
      <c r="C5">
        <v>1</v>
      </c>
      <c r="D5">
        <v>0</v>
      </c>
      <c r="E5">
        <v>1</v>
      </c>
      <c r="F5">
        <v>4</v>
      </c>
      <c r="G5">
        <v>48</v>
      </c>
      <c r="H5">
        <v>2</v>
      </c>
      <c r="I5" s="3">
        <v>45316.495833333334</v>
      </c>
      <c r="J5" s="3">
        <v>45318.511805555558</v>
      </c>
      <c r="K5">
        <f t="shared" si="0"/>
        <v>48.383333333360497</v>
      </c>
      <c r="L5">
        <f t="shared" si="1"/>
        <v>2.015972222223354</v>
      </c>
      <c r="M5">
        <v>0.42309999999999998</v>
      </c>
      <c r="N5">
        <v>7.9100000000000004E-2</v>
      </c>
      <c r="O5">
        <v>13.071102679889799</v>
      </c>
      <c r="P5">
        <v>39.106784159194603</v>
      </c>
      <c r="Q5">
        <f t="shared" si="2"/>
        <v>4.9574346447116806</v>
      </c>
      <c r="R5">
        <f t="shared" si="3"/>
        <v>14.831902968088977</v>
      </c>
      <c r="S5">
        <f t="shared" si="4"/>
        <v>3.4290575437470694</v>
      </c>
      <c r="T5">
        <f t="shared" si="5"/>
        <v>4.5726756850618324</v>
      </c>
      <c r="U5">
        <v>1</v>
      </c>
    </row>
    <row r="6" spans="1:21" x14ac:dyDescent="0.35">
      <c r="A6" t="s">
        <v>560</v>
      </c>
      <c r="B6" t="s">
        <v>156</v>
      </c>
      <c r="C6">
        <v>1</v>
      </c>
      <c r="D6">
        <v>0</v>
      </c>
      <c r="E6">
        <v>1</v>
      </c>
      <c r="F6">
        <v>5</v>
      </c>
      <c r="G6">
        <v>48</v>
      </c>
      <c r="H6">
        <v>2</v>
      </c>
      <c r="I6" s="3">
        <v>45316.495833333334</v>
      </c>
      <c r="J6" s="3">
        <v>45318.511805555558</v>
      </c>
      <c r="K6">
        <f t="shared" si="0"/>
        <v>48.383333333360497</v>
      </c>
      <c r="L6">
        <f t="shared" si="1"/>
        <v>2.015972222223354</v>
      </c>
      <c r="M6">
        <v>0.59030000000000005</v>
      </c>
      <c r="N6">
        <v>0.1186</v>
      </c>
      <c r="O6">
        <v>19.835752315550199</v>
      </c>
      <c r="P6">
        <v>52.9694346295068</v>
      </c>
      <c r="Q6">
        <f t="shared" si="2"/>
        <v>5.0174752906113484</v>
      </c>
      <c r="R6">
        <f t="shared" si="3"/>
        <v>13.398676550465463</v>
      </c>
      <c r="S6">
        <f t="shared" si="4"/>
        <v>3.4705876585158695</v>
      </c>
      <c r="T6">
        <f t="shared" si="5"/>
        <v>4.1308119805085024</v>
      </c>
      <c r="U6">
        <v>1</v>
      </c>
    </row>
    <row r="7" spans="1:21" x14ac:dyDescent="0.35">
      <c r="A7" t="s">
        <v>560</v>
      </c>
      <c r="B7" t="s">
        <v>157</v>
      </c>
      <c r="C7">
        <v>1</v>
      </c>
      <c r="D7">
        <v>0</v>
      </c>
      <c r="E7">
        <v>2</v>
      </c>
      <c r="F7">
        <v>1</v>
      </c>
      <c r="G7">
        <v>48</v>
      </c>
      <c r="H7">
        <v>2</v>
      </c>
      <c r="I7" s="3">
        <v>45316.495833333334</v>
      </c>
      <c r="J7" s="3">
        <v>45318.518055555556</v>
      </c>
      <c r="K7">
        <f t="shared" si="0"/>
        <v>48.533333333325572</v>
      </c>
      <c r="L7">
        <f t="shared" si="1"/>
        <v>2.0222222222218988</v>
      </c>
      <c r="M7">
        <v>0.44490000000000002</v>
      </c>
      <c r="N7">
        <v>7.9299999999999995E-2</v>
      </c>
      <c r="O7">
        <v>15.989825796067</v>
      </c>
      <c r="P7">
        <v>46.218952924830901</v>
      </c>
      <c r="Q7">
        <f t="shared" si="2"/>
        <v>6.0491144247416146</v>
      </c>
      <c r="R7">
        <f t="shared" si="3"/>
        <v>17.485101989217238</v>
      </c>
      <c r="S7">
        <f t="shared" si="4"/>
        <v>4.1841724475937747</v>
      </c>
      <c r="T7">
        <f t="shared" si="5"/>
        <v>5.3906569432756752</v>
      </c>
      <c r="U7">
        <v>1</v>
      </c>
    </row>
    <row r="8" spans="1:21" x14ac:dyDescent="0.35">
      <c r="A8" t="s">
        <v>560</v>
      </c>
      <c r="B8" t="s">
        <v>158</v>
      </c>
      <c r="C8">
        <v>1</v>
      </c>
      <c r="D8">
        <v>0</v>
      </c>
      <c r="E8">
        <v>2</v>
      </c>
      <c r="F8">
        <v>2</v>
      </c>
      <c r="G8">
        <v>48</v>
      </c>
      <c r="H8">
        <v>2</v>
      </c>
      <c r="I8" s="3">
        <v>45316.495833333334</v>
      </c>
      <c r="J8" s="3">
        <v>45318.518055555556</v>
      </c>
      <c r="K8">
        <f t="shared" si="0"/>
        <v>48.533333333325572</v>
      </c>
      <c r="L8">
        <f t="shared" si="1"/>
        <v>2.0222222222218988</v>
      </c>
      <c r="M8">
        <v>0.53669999999999995</v>
      </c>
      <c r="N8">
        <v>0.1043</v>
      </c>
      <c r="O8">
        <v>15.185782509925099</v>
      </c>
      <c r="P8">
        <v>47.731987709671202</v>
      </c>
      <c r="Q8">
        <f t="shared" si="2"/>
        <v>4.3679144323849757</v>
      </c>
      <c r="R8">
        <f t="shared" si="3"/>
        <v>13.729239034421246</v>
      </c>
      <c r="S8">
        <f t="shared" si="4"/>
        <v>3.0212864128806878</v>
      </c>
      <c r="T8">
        <f t="shared" si="5"/>
        <v>4.2327243943120703</v>
      </c>
      <c r="U8">
        <v>1</v>
      </c>
    </row>
    <row r="9" spans="1:21" x14ac:dyDescent="0.35">
      <c r="A9" t="s">
        <v>560</v>
      </c>
      <c r="B9" t="s">
        <v>159</v>
      </c>
      <c r="C9">
        <v>1</v>
      </c>
      <c r="D9">
        <v>0</v>
      </c>
      <c r="E9">
        <v>2</v>
      </c>
      <c r="F9">
        <v>3</v>
      </c>
      <c r="G9">
        <v>48</v>
      </c>
      <c r="H9">
        <v>2</v>
      </c>
      <c r="I9" s="3">
        <v>45316.495833333334</v>
      </c>
      <c r="J9" s="3">
        <v>45318.518055555556</v>
      </c>
      <c r="K9">
        <f t="shared" si="0"/>
        <v>48.533333333325572</v>
      </c>
      <c r="L9">
        <f t="shared" si="1"/>
        <v>2.0222222222218988</v>
      </c>
      <c r="M9">
        <v>0.37709999999999999</v>
      </c>
      <c r="N9">
        <v>7.0599999999999996E-2</v>
      </c>
      <c r="O9">
        <v>13.408447989880999</v>
      </c>
      <c r="P9">
        <v>35.486368011122103</v>
      </c>
      <c r="Q9">
        <f t="shared" si="2"/>
        <v>5.6976407889012748</v>
      </c>
      <c r="R9">
        <f t="shared" si="3"/>
        <v>15.079193205859251</v>
      </c>
      <c r="S9">
        <f t="shared" si="4"/>
        <v>3.9410581336830117</v>
      </c>
      <c r="T9">
        <f t="shared" si="5"/>
        <v>4.6489152653664076</v>
      </c>
      <c r="U9">
        <v>1</v>
      </c>
    </row>
    <row r="10" spans="1:21" x14ac:dyDescent="0.35">
      <c r="A10" t="s">
        <v>560</v>
      </c>
      <c r="B10" t="s">
        <v>160</v>
      </c>
      <c r="C10">
        <v>1</v>
      </c>
      <c r="D10">
        <v>0</v>
      </c>
      <c r="E10">
        <v>2</v>
      </c>
      <c r="F10">
        <v>4</v>
      </c>
      <c r="G10">
        <v>48</v>
      </c>
      <c r="H10">
        <v>2</v>
      </c>
      <c r="I10" s="3">
        <v>45316.495833333334</v>
      </c>
      <c r="J10" s="3">
        <v>45318.518055555556</v>
      </c>
      <c r="K10">
        <f t="shared" si="0"/>
        <v>48.533333333325572</v>
      </c>
      <c r="L10">
        <f t="shared" si="1"/>
        <v>2.0222222222218988</v>
      </c>
      <c r="M10">
        <v>0.44629999999999997</v>
      </c>
      <c r="N10">
        <v>7.3599999999999999E-2</v>
      </c>
      <c r="O10">
        <v>13.2030193614035</v>
      </c>
      <c r="P10">
        <v>42.818258268716598</v>
      </c>
      <c r="Q10">
        <f t="shared" si="2"/>
        <v>5.3816655005720788</v>
      </c>
      <c r="R10">
        <f t="shared" si="3"/>
        <v>17.453094403009484</v>
      </c>
      <c r="S10">
        <f t="shared" si="4"/>
        <v>3.7224980267457068</v>
      </c>
      <c r="T10">
        <f t="shared" si="5"/>
        <v>5.3807890044478244</v>
      </c>
      <c r="U10">
        <v>1</v>
      </c>
    </row>
    <row r="11" spans="1:21" x14ac:dyDescent="0.35">
      <c r="A11" t="s">
        <v>560</v>
      </c>
      <c r="B11" t="s">
        <v>161</v>
      </c>
      <c r="C11">
        <v>1</v>
      </c>
      <c r="D11">
        <v>0</v>
      </c>
      <c r="E11">
        <v>2</v>
      </c>
      <c r="F11">
        <v>5</v>
      </c>
      <c r="G11">
        <v>48</v>
      </c>
      <c r="H11">
        <v>2</v>
      </c>
      <c r="I11" s="3">
        <v>45316.495833333334</v>
      </c>
      <c r="J11" s="3">
        <v>45318.518055555556</v>
      </c>
      <c r="K11">
        <f t="shared" si="0"/>
        <v>48.533333333325572</v>
      </c>
      <c r="L11">
        <f t="shared" si="1"/>
        <v>2.0222222222218988</v>
      </c>
      <c r="M11">
        <v>0.35610000000000003</v>
      </c>
      <c r="N11">
        <v>6.3299999999999995E-2</v>
      </c>
      <c r="O11">
        <v>11.5697750730537</v>
      </c>
      <c r="P11">
        <v>28.847876413694301</v>
      </c>
      <c r="Q11">
        <f t="shared" si="2"/>
        <v>5.4833057218263983</v>
      </c>
      <c r="R11">
        <f t="shared" si="3"/>
        <v>13.671979342983082</v>
      </c>
      <c r="S11">
        <f t="shared" si="4"/>
        <v>3.7928025677873194</v>
      </c>
      <c r="T11">
        <f t="shared" si="5"/>
        <v>4.2150712314416845</v>
      </c>
      <c r="U11">
        <v>1</v>
      </c>
    </row>
    <row r="12" spans="1:21" x14ac:dyDescent="0.35">
      <c r="A12" t="s">
        <v>560</v>
      </c>
      <c r="B12" t="s">
        <v>162</v>
      </c>
      <c r="C12">
        <v>1</v>
      </c>
      <c r="D12">
        <v>0</v>
      </c>
      <c r="E12">
        <v>3</v>
      </c>
      <c r="F12">
        <v>1</v>
      </c>
      <c r="G12">
        <v>48</v>
      </c>
      <c r="H12">
        <v>2</v>
      </c>
      <c r="I12" s="3">
        <v>45316.496527777781</v>
      </c>
      <c r="J12" s="3">
        <v>45318.524305555555</v>
      </c>
      <c r="K12">
        <f t="shared" si="0"/>
        <v>48.666666666569654</v>
      </c>
      <c r="L12">
        <f t="shared" si="1"/>
        <v>2.0277777777737356</v>
      </c>
      <c r="M12">
        <v>0.50470000000000004</v>
      </c>
      <c r="N12">
        <v>9.8100000000000007E-2</v>
      </c>
      <c r="O12">
        <v>17.8473246969853</v>
      </c>
      <c r="P12">
        <v>42.780840969793701</v>
      </c>
      <c r="Q12">
        <f t="shared" si="2"/>
        <v>5.4578974608517736</v>
      </c>
      <c r="R12">
        <f t="shared" si="3"/>
        <v>13.082825984646391</v>
      </c>
      <c r="S12">
        <f t="shared" si="4"/>
        <v>3.7752276736711718</v>
      </c>
      <c r="T12">
        <f t="shared" si="5"/>
        <v>4.0334352510664822</v>
      </c>
      <c r="U12">
        <v>1</v>
      </c>
    </row>
    <row r="13" spans="1:21" x14ac:dyDescent="0.35">
      <c r="A13" t="s">
        <v>560</v>
      </c>
      <c r="B13" t="s">
        <v>163</v>
      </c>
      <c r="C13">
        <v>1</v>
      </c>
      <c r="D13">
        <v>0</v>
      </c>
      <c r="E13">
        <v>3</v>
      </c>
      <c r="F13">
        <v>2</v>
      </c>
      <c r="G13">
        <v>48</v>
      </c>
      <c r="H13">
        <v>2</v>
      </c>
      <c r="I13" s="3">
        <v>45316.496527777781</v>
      </c>
      <c r="J13" s="3">
        <v>45318.524305555555</v>
      </c>
      <c r="K13">
        <f t="shared" si="0"/>
        <v>48.666666666569654</v>
      </c>
      <c r="L13">
        <f t="shared" si="1"/>
        <v>2.0277777777737356</v>
      </c>
      <c r="M13">
        <v>0.36399999999999999</v>
      </c>
      <c r="N13">
        <v>6.7799999999999999E-2</v>
      </c>
      <c r="O13">
        <v>14.837272819503401</v>
      </c>
      <c r="P13">
        <v>41.931330615325201</v>
      </c>
      <c r="Q13">
        <f t="shared" si="2"/>
        <v>6.5651649643820358</v>
      </c>
      <c r="R13">
        <f t="shared" si="3"/>
        <v>18.55368611297575</v>
      </c>
      <c r="S13">
        <f t="shared" si="4"/>
        <v>4.5411246058630539</v>
      </c>
      <c r="T13">
        <f t="shared" si="5"/>
        <v>5.7201014286304241</v>
      </c>
      <c r="U13">
        <v>1</v>
      </c>
    </row>
    <row r="14" spans="1:21" x14ac:dyDescent="0.35">
      <c r="A14" t="s">
        <v>560</v>
      </c>
      <c r="B14" t="s">
        <v>164</v>
      </c>
      <c r="C14">
        <v>1</v>
      </c>
      <c r="D14">
        <v>0</v>
      </c>
      <c r="E14">
        <v>3</v>
      </c>
      <c r="F14">
        <v>3</v>
      </c>
      <c r="G14">
        <v>48</v>
      </c>
      <c r="H14">
        <v>2</v>
      </c>
      <c r="I14" s="3">
        <v>45316.496527777781</v>
      </c>
      <c r="J14" s="3">
        <v>45318.524305497682</v>
      </c>
      <c r="K14">
        <f t="shared" si="0"/>
        <v>48.666665277618449</v>
      </c>
      <c r="L14">
        <f t="shared" si="1"/>
        <v>2.0277777199007687</v>
      </c>
      <c r="M14">
        <v>0.39700000000000002</v>
      </c>
      <c r="N14">
        <v>7.5399999999999995E-2</v>
      </c>
      <c r="O14">
        <v>11.9806897510797</v>
      </c>
      <c r="P14">
        <v>37.1732673176448</v>
      </c>
      <c r="Q14">
        <f t="shared" si="2"/>
        <v>4.7668526861059819</v>
      </c>
      <c r="R14">
        <f t="shared" si="3"/>
        <v>14.790424662192892</v>
      </c>
      <c r="S14">
        <f t="shared" si="4"/>
        <v>3.2972320029795075</v>
      </c>
      <c r="T14">
        <f t="shared" si="5"/>
        <v>4.5598879233540686</v>
      </c>
      <c r="U14">
        <v>1</v>
      </c>
    </row>
    <row r="15" spans="1:21" x14ac:dyDescent="0.35">
      <c r="A15" t="s">
        <v>560</v>
      </c>
      <c r="B15" t="s">
        <v>165</v>
      </c>
      <c r="C15">
        <v>1</v>
      </c>
      <c r="D15">
        <v>0</v>
      </c>
      <c r="E15">
        <v>3</v>
      </c>
      <c r="F15">
        <v>4</v>
      </c>
      <c r="G15">
        <v>48</v>
      </c>
      <c r="H15">
        <v>2</v>
      </c>
      <c r="I15" s="3">
        <v>45316.496527777781</v>
      </c>
      <c r="J15" s="3">
        <v>45318.524305497682</v>
      </c>
      <c r="K15">
        <f t="shared" si="0"/>
        <v>48.666665277618449</v>
      </c>
      <c r="L15">
        <f t="shared" si="1"/>
        <v>2.0277777199007687</v>
      </c>
      <c r="M15">
        <v>0.43369999999999997</v>
      </c>
      <c r="N15">
        <v>8.0799999999999997E-2</v>
      </c>
      <c r="O15">
        <v>21.1967620324344</v>
      </c>
      <c r="P15">
        <v>39.799221977653502</v>
      </c>
      <c r="Q15">
        <f t="shared" si="2"/>
        <v>7.8700849130325752</v>
      </c>
      <c r="R15">
        <f t="shared" si="3"/>
        <v>14.776938853089172</v>
      </c>
      <c r="S15">
        <f t="shared" si="4"/>
        <v>5.4437377343446318</v>
      </c>
      <c r="T15">
        <f t="shared" si="5"/>
        <v>4.555730248407392</v>
      </c>
      <c r="U15">
        <v>1</v>
      </c>
    </row>
    <row r="16" spans="1:21" x14ac:dyDescent="0.35">
      <c r="A16" t="s">
        <v>560</v>
      </c>
      <c r="B16" t="s">
        <v>166</v>
      </c>
      <c r="C16">
        <v>1</v>
      </c>
      <c r="D16">
        <v>0</v>
      </c>
      <c r="E16">
        <v>3</v>
      </c>
      <c r="F16">
        <v>5</v>
      </c>
      <c r="G16">
        <v>48</v>
      </c>
      <c r="H16">
        <v>2</v>
      </c>
      <c r="I16" s="3">
        <v>45316.496527777781</v>
      </c>
      <c r="J16" s="3">
        <v>45318.524305497682</v>
      </c>
      <c r="K16">
        <f t="shared" si="0"/>
        <v>48.666665277618449</v>
      </c>
      <c r="L16">
        <f t="shared" si="1"/>
        <v>2.0277777199007687</v>
      </c>
      <c r="M16">
        <v>0.34670000000000001</v>
      </c>
      <c r="N16">
        <v>7.0300000000000001E-2</v>
      </c>
      <c r="O16">
        <v>10.6070090344605</v>
      </c>
      <c r="P16">
        <v>29.155987396336901</v>
      </c>
      <c r="Q16">
        <f t="shared" si="2"/>
        <v>4.5264618923729021</v>
      </c>
      <c r="R16">
        <f t="shared" si="3"/>
        <v>12.44209988463879</v>
      </c>
      <c r="S16">
        <f t="shared" si="4"/>
        <v>3.1309536909543363</v>
      </c>
      <c r="T16">
        <f t="shared" si="5"/>
        <v>3.8358993944341391</v>
      </c>
      <c r="U16">
        <v>1</v>
      </c>
    </row>
    <row r="17" spans="1:21" x14ac:dyDescent="0.35">
      <c r="A17" t="s">
        <v>560</v>
      </c>
      <c r="B17" t="s">
        <v>167</v>
      </c>
      <c r="C17">
        <v>1</v>
      </c>
      <c r="D17">
        <v>400</v>
      </c>
      <c r="E17">
        <v>1</v>
      </c>
      <c r="F17">
        <v>1</v>
      </c>
      <c r="G17">
        <v>48</v>
      </c>
      <c r="H17">
        <v>2</v>
      </c>
      <c r="I17" s="3">
        <v>45316.496527777781</v>
      </c>
      <c r="J17" s="3">
        <v>45318.526388888888</v>
      </c>
      <c r="K17">
        <f t="shared" si="0"/>
        <v>48.716666666558012</v>
      </c>
      <c r="L17">
        <f t="shared" si="1"/>
        <v>2.0298611111065838</v>
      </c>
      <c r="M17">
        <v>0.5353</v>
      </c>
      <c r="N17" s="1">
        <v>0.10199999999999999</v>
      </c>
      <c r="O17">
        <v>28.067709959094099</v>
      </c>
      <c r="P17">
        <v>51.523916860630997</v>
      </c>
      <c r="Q17">
        <f t="shared" si="2"/>
        <v>8.2552088114982656</v>
      </c>
      <c r="R17">
        <f t="shared" si="3"/>
        <v>15.154093194303236</v>
      </c>
      <c r="S17">
        <f t="shared" si="4"/>
        <v>5.7101279349133502</v>
      </c>
      <c r="T17">
        <f t="shared" si="5"/>
        <v>4.6720069318036881</v>
      </c>
      <c r="U17">
        <v>1</v>
      </c>
    </row>
    <row r="18" spans="1:21" x14ac:dyDescent="0.35">
      <c r="A18" t="s">
        <v>560</v>
      </c>
      <c r="B18" t="s">
        <v>168</v>
      </c>
      <c r="C18">
        <v>1</v>
      </c>
      <c r="D18">
        <v>400</v>
      </c>
      <c r="E18">
        <v>1</v>
      </c>
      <c r="F18">
        <v>2</v>
      </c>
      <c r="G18">
        <v>48</v>
      </c>
      <c r="H18">
        <v>2</v>
      </c>
      <c r="I18" s="3">
        <v>45316.496527777781</v>
      </c>
      <c r="J18" s="3">
        <v>45318.526388888888</v>
      </c>
      <c r="K18">
        <f t="shared" si="0"/>
        <v>48.716666666558012</v>
      </c>
      <c r="L18">
        <f t="shared" si="1"/>
        <v>2.0298611111065838</v>
      </c>
      <c r="M18">
        <v>0.3503</v>
      </c>
      <c r="N18">
        <v>6.7199999999999996E-2</v>
      </c>
      <c r="O18">
        <v>15.9593489911191</v>
      </c>
      <c r="P18">
        <v>36.172460443324702</v>
      </c>
      <c r="Q18">
        <f t="shared" si="2"/>
        <v>7.1247093710353129</v>
      </c>
      <c r="R18">
        <f t="shared" si="3"/>
        <v>16.148419840769957</v>
      </c>
      <c r="S18">
        <f t="shared" si="4"/>
        <v>4.9281614719451259</v>
      </c>
      <c r="T18">
        <f t="shared" si="5"/>
        <v>4.9785578369093777</v>
      </c>
      <c r="U18">
        <v>1</v>
      </c>
    </row>
    <row r="19" spans="1:21" x14ac:dyDescent="0.35">
      <c r="A19" t="s">
        <v>560</v>
      </c>
      <c r="B19" t="s">
        <v>169</v>
      </c>
      <c r="C19">
        <v>1</v>
      </c>
      <c r="D19">
        <v>400</v>
      </c>
      <c r="E19">
        <v>1</v>
      </c>
      <c r="F19">
        <v>3</v>
      </c>
      <c r="G19">
        <v>48</v>
      </c>
      <c r="H19">
        <v>2</v>
      </c>
      <c r="I19" s="3">
        <v>45316.496527777781</v>
      </c>
      <c r="J19" s="3">
        <v>45318.526388831022</v>
      </c>
      <c r="K19">
        <f t="shared" si="0"/>
        <v>48.716665277781431</v>
      </c>
      <c r="L19">
        <f t="shared" si="1"/>
        <v>2.0298610532408929</v>
      </c>
      <c r="M19">
        <v>0.63590000000000002</v>
      </c>
      <c r="N19">
        <v>0.1221</v>
      </c>
      <c r="O19">
        <v>30.8636665462219</v>
      </c>
      <c r="P19">
        <v>53.825866741324603</v>
      </c>
      <c r="Q19">
        <f t="shared" si="2"/>
        <v>7.5832104536171743</v>
      </c>
      <c r="R19">
        <f t="shared" si="3"/>
        <v>13.225028683372139</v>
      </c>
      <c r="S19">
        <f t="shared" si="4"/>
        <v>5.2453066707669995</v>
      </c>
      <c r="T19">
        <f t="shared" si="5"/>
        <v>4.0772763430836312</v>
      </c>
      <c r="U19">
        <v>1</v>
      </c>
    </row>
    <row r="20" spans="1:21" x14ac:dyDescent="0.35">
      <c r="A20" t="s">
        <v>560</v>
      </c>
      <c r="B20" t="s">
        <v>170</v>
      </c>
      <c r="C20">
        <v>1</v>
      </c>
      <c r="D20">
        <v>400</v>
      </c>
      <c r="E20">
        <v>1</v>
      </c>
      <c r="F20">
        <v>4</v>
      </c>
      <c r="G20">
        <v>48</v>
      </c>
      <c r="H20">
        <v>2</v>
      </c>
      <c r="I20" s="3">
        <v>45316.496527777781</v>
      </c>
      <c r="J20" s="3">
        <v>45318.526388831022</v>
      </c>
      <c r="K20">
        <f t="shared" si="0"/>
        <v>48.716665277781431</v>
      </c>
      <c r="L20">
        <f t="shared" si="1"/>
        <v>2.0298610532408929</v>
      </c>
      <c r="M20">
        <v>0.45469999999999999</v>
      </c>
      <c r="N20" s="1">
        <v>8.2000000000000003E-2</v>
      </c>
      <c r="O20">
        <v>18.681316124395199</v>
      </c>
      <c r="P20">
        <v>33.515804054680302</v>
      </c>
      <c r="Q20">
        <f t="shared" ref="Q20:Q83" si="6">O20*30/1000/N20</f>
        <v>6.834627850388487</v>
      </c>
      <c r="R20">
        <f t="shared" ref="R20:R83" si="7">P20*30/1000/N20</f>
        <v>12.26187953220011</v>
      </c>
      <c r="S20">
        <f t="shared" si="4"/>
        <v>4.7275120841137159</v>
      </c>
      <c r="T20">
        <f t="shared" si="5"/>
        <v>3.7803374597772943</v>
      </c>
      <c r="U20">
        <v>1</v>
      </c>
    </row>
    <row r="21" spans="1:21" x14ac:dyDescent="0.35">
      <c r="A21" t="s">
        <v>560</v>
      </c>
      <c r="B21" t="s">
        <v>171</v>
      </c>
      <c r="C21">
        <v>1</v>
      </c>
      <c r="D21">
        <v>400</v>
      </c>
      <c r="E21">
        <v>1</v>
      </c>
      <c r="F21">
        <v>5</v>
      </c>
      <c r="G21">
        <v>48</v>
      </c>
      <c r="H21">
        <v>2</v>
      </c>
      <c r="I21" s="3">
        <v>45316.496527777781</v>
      </c>
      <c r="J21" s="3">
        <v>45318.526388831022</v>
      </c>
      <c r="K21">
        <f t="shared" si="0"/>
        <v>48.716665277781431</v>
      </c>
      <c r="L21">
        <f t="shared" si="1"/>
        <v>2.0298610532408929</v>
      </c>
      <c r="N21" s="6"/>
      <c r="U21">
        <v>0</v>
      </c>
    </row>
    <row r="22" spans="1:21" x14ac:dyDescent="0.35">
      <c r="A22" t="s">
        <v>560</v>
      </c>
      <c r="B22" t="s">
        <v>172</v>
      </c>
      <c r="C22">
        <v>1</v>
      </c>
      <c r="D22">
        <v>400</v>
      </c>
      <c r="E22">
        <v>2</v>
      </c>
      <c r="F22">
        <v>1</v>
      </c>
      <c r="G22">
        <v>48</v>
      </c>
      <c r="H22">
        <v>2</v>
      </c>
      <c r="I22" s="3">
        <v>45316.49722222222</v>
      </c>
      <c r="J22" s="3">
        <v>45318.52847222222</v>
      </c>
      <c r="K22">
        <f t="shared" si="0"/>
        <v>48.75</v>
      </c>
      <c r="L22">
        <f t="shared" si="1"/>
        <v>2.03125</v>
      </c>
      <c r="M22">
        <v>0.44590000000000002</v>
      </c>
      <c r="N22">
        <v>8.5800000000000001E-2</v>
      </c>
      <c r="O22">
        <v>22.730643038697899</v>
      </c>
      <c r="P22">
        <v>38.182793748314502</v>
      </c>
      <c r="Q22">
        <f t="shared" si="6"/>
        <v>7.9477772862580069</v>
      </c>
      <c r="R22">
        <f t="shared" si="7"/>
        <v>13.350627184725351</v>
      </c>
      <c r="S22">
        <f t="shared" ref="S22:S84" si="8">Q22*0.6917</f>
        <v>5.497477548904663</v>
      </c>
      <c r="T22">
        <f t="shared" ref="T22:T84" si="9">R22*0.3083</f>
        <v>4.1159983610508259</v>
      </c>
      <c r="U22">
        <v>1</v>
      </c>
    </row>
    <row r="23" spans="1:21" x14ac:dyDescent="0.35">
      <c r="A23" t="s">
        <v>560</v>
      </c>
      <c r="B23" t="s">
        <v>173</v>
      </c>
      <c r="C23">
        <v>1</v>
      </c>
      <c r="D23">
        <v>400</v>
      </c>
      <c r="E23">
        <v>2</v>
      </c>
      <c r="F23">
        <v>2</v>
      </c>
      <c r="G23">
        <v>48</v>
      </c>
      <c r="H23">
        <v>2</v>
      </c>
      <c r="I23" s="3">
        <v>45316.49722222222</v>
      </c>
      <c r="J23" s="3">
        <v>45318.52847222222</v>
      </c>
      <c r="K23">
        <f t="shared" si="0"/>
        <v>48.75</v>
      </c>
      <c r="L23">
        <f t="shared" si="1"/>
        <v>2.03125</v>
      </c>
      <c r="M23">
        <v>0.39069999999999999</v>
      </c>
      <c r="N23">
        <v>7.0199999999999999E-2</v>
      </c>
      <c r="O23">
        <v>26.079566226616802</v>
      </c>
      <c r="P23">
        <v>39.0333443333883</v>
      </c>
      <c r="Q23">
        <f t="shared" si="6"/>
        <v>11.145113772058462</v>
      </c>
      <c r="R23">
        <f t="shared" si="7"/>
        <v>16.680916381789871</v>
      </c>
      <c r="S23">
        <f t="shared" si="8"/>
        <v>7.7090751961328383</v>
      </c>
      <c r="T23">
        <f t="shared" si="9"/>
        <v>5.1427265205058177</v>
      </c>
      <c r="U23">
        <v>1</v>
      </c>
    </row>
    <row r="24" spans="1:21" x14ac:dyDescent="0.35">
      <c r="A24" t="s">
        <v>560</v>
      </c>
      <c r="B24" t="s">
        <v>174</v>
      </c>
      <c r="C24">
        <v>1</v>
      </c>
      <c r="D24">
        <v>400</v>
      </c>
      <c r="E24">
        <v>2</v>
      </c>
      <c r="F24">
        <v>3</v>
      </c>
      <c r="G24">
        <v>48</v>
      </c>
      <c r="H24">
        <v>2</v>
      </c>
      <c r="I24" s="3">
        <v>45316.497222164355</v>
      </c>
      <c r="J24" s="3">
        <v>45318.528472164355</v>
      </c>
      <c r="K24">
        <f t="shared" si="0"/>
        <v>48.75</v>
      </c>
      <c r="L24">
        <f t="shared" si="1"/>
        <v>2.03125</v>
      </c>
      <c r="M24">
        <v>0.53900000000000003</v>
      </c>
      <c r="N24">
        <v>9.8900000000000002E-2</v>
      </c>
      <c r="O24">
        <v>34.949002134751701</v>
      </c>
      <c r="P24">
        <v>53.246450136392603</v>
      </c>
      <c r="Q24">
        <f t="shared" si="6"/>
        <v>10.60131510659809</v>
      </c>
      <c r="R24">
        <f t="shared" si="7"/>
        <v>16.151602670290981</v>
      </c>
      <c r="S24">
        <f t="shared" si="8"/>
        <v>7.3329296592338986</v>
      </c>
      <c r="T24">
        <f t="shared" si="9"/>
        <v>4.9795391032507093</v>
      </c>
      <c r="U24">
        <v>1</v>
      </c>
    </row>
    <row r="25" spans="1:21" x14ac:dyDescent="0.35">
      <c r="A25" t="s">
        <v>560</v>
      </c>
      <c r="B25" t="s">
        <v>175</v>
      </c>
      <c r="C25">
        <v>1</v>
      </c>
      <c r="D25">
        <v>400</v>
      </c>
      <c r="E25">
        <v>2</v>
      </c>
      <c r="F25">
        <v>4</v>
      </c>
      <c r="G25">
        <v>48</v>
      </c>
      <c r="H25">
        <v>2</v>
      </c>
      <c r="I25" s="3">
        <v>45316.497222164355</v>
      </c>
      <c r="J25" s="3">
        <v>45318.528472164355</v>
      </c>
      <c r="K25">
        <f t="shared" si="0"/>
        <v>48.75</v>
      </c>
      <c r="L25">
        <f t="shared" si="1"/>
        <v>2.03125</v>
      </c>
      <c r="M25">
        <v>0.44840000000000002</v>
      </c>
      <c r="N25">
        <v>8.48E-2</v>
      </c>
      <c r="O25">
        <v>23.259895925111898</v>
      </c>
      <c r="P25">
        <v>40.694191869976898</v>
      </c>
      <c r="Q25">
        <f t="shared" si="6"/>
        <v>8.2287367659593986</v>
      </c>
      <c r="R25">
        <f t="shared" si="7"/>
        <v>14.396530142680508</v>
      </c>
      <c r="S25">
        <f t="shared" si="8"/>
        <v>5.6918172210141158</v>
      </c>
      <c r="T25">
        <f t="shared" si="9"/>
        <v>4.4384502429884005</v>
      </c>
      <c r="U25">
        <v>1</v>
      </c>
    </row>
    <row r="26" spans="1:21" x14ac:dyDescent="0.35">
      <c r="A26" t="s">
        <v>560</v>
      </c>
      <c r="B26" t="s">
        <v>176</v>
      </c>
      <c r="C26">
        <v>1</v>
      </c>
      <c r="D26">
        <v>400</v>
      </c>
      <c r="E26">
        <v>2</v>
      </c>
      <c r="F26">
        <v>5</v>
      </c>
      <c r="G26">
        <v>48</v>
      </c>
      <c r="H26">
        <v>2</v>
      </c>
      <c r="I26" s="3">
        <v>45316.497222164355</v>
      </c>
      <c r="J26" s="3">
        <v>45318.528472164355</v>
      </c>
      <c r="K26">
        <f t="shared" si="0"/>
        <v>48.75</v>
      </c>
      <c r="L26">
        <f t="shared" si="1"/>
        <v>2.03125</v>
      </c>
      <c r="M26">
        <v>0.3574</v>
      </c>
      <c r="N26">
        <v>6.4100000000000004E-2</v>
      </c>
      <c r="O26">
        <v>21.468486081462501</v>
      </c>
      <c r="P26">
        <v>36.116790132658103</v>
      </c>
      <c r="Q26">
        <f t="shared" si="6"/>
        <v>10.047653392260139</v>
      </c>
      <c r="R26">
        <f t="shared" si="7"/>
        <v>16.903333915440609</v>
      </c>
      <c r="S26">
        <f t="shared" si="8"/>
        <v>6.9499618514263384</v>
      </c>
      <c r="T26">
        <f t="shared" si="9"/>
        <v>5.2112978461303401</v>
      </c>
      <c r="U26">
        <v>1</v>
      </c>
    </row>
    <row r="27" spans="1:21" x14ac:dyDescent="0.35">
      <c r="A27" t="s">
        <v>560</v>
      </c>
      <c r="B27" t="s">
        <v>177</v>
      </c>
      <c r="C27">
        <v>1</v>
      </c>
      <c r="D27">
        <v>400</v>
      </c>
      <c r="E27">
        <v>3</v>
      </c>
      <c r="F27">
        <v>1</v>
      </c>
      <c r="G27">
        <v>48</v>
      </c>
      <c r="H27">
        <v>2</v>
      </c>
      <c r="I27" s="3">
        <v>45316.497222164355</v>
      </c>
      <c r="J27" s="3">
        <v>45318.530555555553</v>
      </c>
      <c r="K27">
        <f t="shared" si="0"/>
        <v>48.80000138876494</v>
      </c>
      <c r="L27">
        <f t="shared" si="1"/>
        <v>2.0333333911985392</v>
      </c>
      <c r="M27">
        <v>0.25309999999999999</v>
      </c>
      <c r="N27">
        <v>4.3400000000000001E-2</v>
      </c>
      <c r="O27">
        <v>19.8267879059051</v>
      </c>
      <c r="P27">
        <v>28.660995844325001</v>
      </c>
      <c r="Q27">
        <f t="shared" si="6"/>
        <v>13.705152930349145</v>
      </c>
      <c r="R27">
        <f t="shared" si="7"/>
        <v>19.811748279487329</v>
      </c>
      <c r="S27">
        <f t="shared" si="8"/>
        <v>9.4798542819225027</v>
      </c>
      <c r="T27">
        <f t="shared" si="9"/>
        <v>6.1079619945659438</v>
      </c>
      <c r="U27">
        <v>1</v>
      </c>
    </row>
    <row r="28" spans="1:21" x14ac:dyDescent="0.35">
      <c r="A28" t="s">
        <v>560</v>
      </c>
      <c r="B28" t="s">
        <v>178</v>
      </c>
      <c r="C28">
        <v>1</v>
      </c>
      <c r="D28">
        <v>400</v>
      </c>
      <c r="E28">
        <v>3</v>
      </c>
      <c r="F28">
        <v>2</v>
      </c>
      <c r="G28">
        <v>48</v>
      </c>
      <c r="H28">
        <v>2</v>
      </c>
      <c r="I28" s="3">
        <v>45316.497222164355</v>
      </c>
      <c r="J28" s="3">
        <v>45318.530555555553</v>
      </c>
      <c r="K28">
        <f t="shared" si="0"/>
        <v>48.80000138876494</v>
      </c>
      <c r="L28">
        <f t="shared" si="1"/>
        <v>2.0333333911985392</v>
      </c>
      <c r="M28">
        <v>0.48599999999999999</v>
      </c>
      <c r="N28">
        <v>8.6800000000000002E-2</v>
      </c>
      <c r="O28">
        <v>36.869117048768103</v>
      </c>
      <c r="P28">
        <v>59.548582372109003</v>
      </c>
      <c r="Q28">
        <f t="shared" si="6"/>
        <v>12.742782390127225</v>
      </c>
      <c r="R28">
        <f t="shared" si="7"/>
        <v>20.581307271466244</v>
      </c>
      <c r="S28">
        <f t="shared" si="8"/>
        <v>8.8141825792510016</v>
      </c>
      <c r="T28">
        <f t="shared" si="9"/>
        <v>6.3452170317930436</v>
      </c>
      <c r="U28">
        <v>1</v>
      </c>
    </row>
    <row r="29" spans="1:21" x14ac:dyDescent="0.35">
      <c r="A29" t="s">
        <v>560</v>
      </c>
      <c r="B29" t="s">
        <v>179</v>
      </c>
      <c r="C29">
        <v>1</v>
      </c>
      <c r="D29">
        <v>400</v>
      </c>
      <c r="E29">
        <v>3</v>
      </c>
      <c r="F29">
        <v>3</v>
      </c>
      <c r="G29">
        <v>48</v>
      </c>
      <c r="H29">
        <v>2</v>
      </c>
      <c r="I29" s="3">
        <v>45316.497222164355</v>
      </c>
      <c r="J29" s="3">
        <v>45318.530555497688</v>
      </c>
      <c r="K29">
        <f t="shared" si="0"/>
        <v>48.799999999988358</v>
      </c>
      <c r="L29">
        <f t="shared" si="1"/>
        <v>2.0333333333328483</v>
      </c>
      <c r="M29">
        <v>0.43359999999999999</v>
      </c>
      <c r="N29">
        <v>7.7600000000000002E-2</v>
      </c>
      <c r="O29">
        <v>21.254966274128101</v>
      </c>
      <c r="P29">
        <v>37.150955945021302</v>
      </c>
      <c r="Q29">
        <f t="shared" si="6"/>
        <v>8.2171261369051933</v>
      </c>
      <c r="R29">
        <f t="shared" si="7"/>
        <v>14.362482968436069</v>
      </c>
      <c r="S29">
        <f t="shared" si="8"/>
        <v>5.6837861488973225</v>
      </c>
      <c r="T29">
        <f t="shared" si="9"/>
        <v>4.4279534991688401</v>
      </c>
      <c r="U29">
        <v>1</v>
      </c>
    </row>
    <row r="30" spans="1:21" x14ac:dyDescent="0.35">
      <c r="A30" t="s">
        <v>560</v>
      </c>
      <c r="B30" t="s">
        <v>180</v>
      </c>
      <c r="C30">
        <v>1</v>
      </c>
      <c r="D30">
        <v>400</v>
      </c>
      <c r="E30">
        <v>3</v>
      </c>
      <c r="F30">
        <v>4</v>
      </c>
      <c r="G30">
        <v>48</v>
      </c>
      <c r="H30">
        <v>2</v>
      </c>
      <c r="I30" s="3">
        <v>45316.497222164355</v>
      </c>
      <c r="J30" s="3">
        <v>45318.530555497688</v>
      </c>
      <c r="K30">
        <f t="shared" si="0"/>
        <v>48.799999999988358</v>
      </c>
      <c r="L30">
        <f t="shared" si="1"/>
        <v>2.0333333333328483</v>
      </c>
      <c r="M30">
        <v>0.39079999999999998</v>
      </c>
      <c r="N30">
        <v>7.5499999999999998E-2</v>
      </c>
      <c r="O30">
        <v>26.999056918447899</v>
      </c>
      <c r="P30">
        <v>51.099669725995099</v>
      </c>
      <c r="Q30">
        <f t="shared" si="6"/>
        <v>10.72810208680049</v>
      </c>
      <c r="R30">
        <f t="shared" si="7"/>
        <v>20.30450452688547</v>
      </c>
      <c r="S30">
        <f t="shared" si="8"/>
        <v>7.4206282134398984</v>
      </c>
      <c r="T30">
        <f t="shared" si="9"/>
        <v>6.2598787456387912</v>
      </c>
      <c r="U30">
        <v>1</v>
      </c>
    </row>
    <row r="31" spans="1:21" x14ac:dyDescent="0.35">
      <c r="A31" t="s">
        <v>560</v>
      </c>
      <c r="B31" t="s">
        <v>181</v>
      </c>
      <c r="C31">
        <v>1</v>
      </c>
      <c r="D31">
        <v>400</v>
      </c>
      <c r="E31">
        <v>3</v>
      </c>
      <c r="F31">
        <v>5</v>
      </c>
      <c r="G31">
        <v>48</v>
      </c>
      <c r="H31">
        <v>2</v>
      </c>
      <c r="I31" s="3">
        <v>45316.497222164355</v>
      </c>
      <c r="J31" s="3">
        <v>45318.530555497688</v>
      </c>
      <c r="K31">
        <f t="shared" si="0"/>
        <v>48.799999999988358</v>
      </c>
      <c r="L31">
        <f t="shared" si="1"/>
        <v>2.0333333333328483</v>
      </c>
      <c r="M31">
        <v>0.4466</v>
      </c>
      <c r="N31">
        <v>8.43E-2</v>
      </c>
      <c r="O31">
        <v>25.341794772919801</v>
      </c>
      <c r="P31">
        <v>39.431684200556603</v>
      </c>
      <c r="Q31">
        <f t="shared" si="6"/>
        <v>9.0184323035301777</v>
      </c>
      <c r="R31">
        <f t="shared" si="7"/>
        <v>14.032627829379575</v>
      </c>
      <c r="S31">
        <f t="shared" si="8"/>
        <v>6.2380496243518238</v>
      </c>
      <c r="T31">
        <f t="shared" si="9"/>
        <v>4.3262591597977229</v>
      </c>
      <c r="U31">
        <v>1</v>
      </c>
    </row>
    <row r="32" spans="1:21" x14ac:dyDescent="0.35">
      <c r="A32" t="s">
        <v>560</v>
      </c>
      <c r="B32" t="s">
        <v>182</v>
      </c>
      <c r="C32">
        <v>1</v>
      </c>
      <c r="D32">
        <v>800</v>
      </c>
      <c r="E32">
        <v>1</v>
      </c>
      <c r="F32">
        <v>1</v>
      </c>
      <c r="G32">
        <v>48</v>
      </c>
      <c r="H32">
        <v>2</v>
      </c>
      <c r="I32" s="3">
        <v>45316.497222164355</v>
      </c>
      <c r="J32" s="3">
        <v>45318.531944444447</v>
      </c>
      <c r="K32">
        <f t="shared" ref="K32:K62" si="10">(J32-I32)*24</f>
        <v>48.833334722206928</v>
      </c>
      <c r="L32">
        <f t="shared" ref="L32:L62" si="11">K32/24</f>
        <v>2.0347222800919553</v>
      </c>
      <c r="M32">
        <v>0.60719999999999996</v>
      </c>
      <c r="N32">
        <v>0.1106</v>
      </c>
      <c r="O32">
        <v>61.6771405099785</v>
      </c>
      <c r="P32">
        <v>92.0244991057954</v>
      </c>
      <c r="Q32">
        <f t="shared" si="6"/>
        <v>16.729784948457098</v>
      </c>
      <c r="R32">
        <f t="shared" si="7"/>
        <v>24.961437370468911</v>
      </c>
      <c r="S32">
        <f t="shared" si="8"/>
        <v>11.571992248847774</v>
      </c>
      <c r="T32">
        <f t="shared" si="9"/>
        <v>7.6956111413155659</v>
      </c>
      <c r="U32">
        <v>1</v>
      </c>
    </row>
    <row r="33" spans="1:21" x14ac:dyDescent="0.35">
      <c r="A33" t="s">
        <v>560</v>
      </c>
      <c r="B33" t="s">
        <v>183</v>
      </c>
      <c r="C33">
        <v>1</v>
      </c>
      <c r="D33">
        <v>800</v>
      </c>
      <c r="E33">
        <v>1</v>
      </c>
      <c r="F33">
        <v>2</v>
      </c>
      <c r="G33">
        <v>48</v>
      </c>
      <c r="H33">
        <v>2</v>
      </c>
      <c r="I33" s="3">
        <v>45316.497222164355</v>
      </c>
      <c r="J33" s="3">
        <v>45318.531944444447</v>
      </c>
      <c r="K33">
        <f t="shared" si="10"/>
        <v>48.833334722206928</v>
      </c>
      <c r="L33">
        <f t="shared" si="11"/>
        <v>2.0347222800919553</v>
      </c>
      <c r="M33">
        <v>0.46110000000000001</v>
      </c>
      <c r="N33">
        <v>8.5199999999999998E-2</v>
      </c>
      <c r="O33">
        <v>46.431897239632001</v>
      </c>
      <c r="P33">
        <v>67.908951672063907</v>
      </c>
      <c r="Q33">
        <f t="shared" si="6"/>
        <v>16.349259591419717</v>
      </c>
      <c r="R33">
        <f t="shared" si="7"/>
        <v>23.911602701430951</v>
      </c>
      <c r="S33">
        <f t="shared" si="8"/>
        <v>11.308782859385017</v>
      </c>
      <c r="T33">
        <f t="shared" si="9"/>
        <v>7.3719471128511627</v>
      </c>
      <c r="U33">
        <v>1</v>
      </c>
    </row>
    <row r="34" spans="1:21" x14ac:dyDescent="0.35">
      <c r="A34" t="s">
        <v>560</v>
      </c>
      <c r="B34" t="s">
        <v>184</v>
      </c>
      <c r="C34">
        <v>1</v>
      </c>
      <c r="D34">
        <v>800</v>
      </c>
      <c r="E34">
        <v>1</v>
      </c>
      <c r="F34">
        <v>3</v>
      </c>
      <c r="G34">
        <v>48</v>
      </c>
      <c r="H34">
        <v>2</v>
      </c>
      <c r="I34" s="3">
        <v>45316.497222164355</v>
      </c>
      <c r="J34" s="3">
        <v>45318.531944444447</v>
      </c>
      <c r="K34">
        <f t="shared" si="10"/>
        <v>48.833334722206928</v>
      </c>
      <c r="L34">
        <f t="shared" si="11"/>
        <v>2.0347222800919553</v>
      </c>
      <c r="M34">
        <v>0.42849999999999999</v>
      </c>
      <c r="N34">
        <v>7.8600000000000003E-2</v>
      </c>
      <c r="O34">
        <v>39.145755611824001</v>
      </c>
      <c r="P34">
        <v>56.453974074125</v>
      </c>
      <c r="Q34">
        <f t="shared" si="6"/>
        <v>14.94112809611603</v>
      </c>
      <c r="R34">
        <f t="shared" si="7"/>
        <v>21.547318348902671</v>
      </c>
      <c r="S34">
        <f t="shared" si="8"/>
        <v>10.334778304083457</v>
      </c>
      <c r="T34">
        <f t="shared" si="9"/>
        <v>6.643038246966694</v>
      </c>
      <c r="U34">
        <v>1</v>
      </c>
    </row>
    <row r="35" spans="1:21" x14ac:dyDescent="0.35">
      <c r="A35" t="s">
        <v>560</v>
      </c>
      <c r="B35" t="s">
        <v>185</v>
      </c>
      <c r="C35">
        <v>1</v>
      </c>
      <c r="D35">
        <v>800</v>
      </c>
      <c r="E35">
        <v>1</v>
      </c>
      <c r="F35">
        <v>4</v>
      </c>
      <c r="G35">
        <v>48</v>
      </c>
      <c r="H35">
        <v>2</v>
      </c>
      <c r="I35" s="3">
        <v>45316.497222164355</v>
      </c>
      <c r="J35" s="3">
        <v>45318.531944444447</v>
      </c>
      <c r="K35">
        <f t="shared" si="10"/>
        <v>48.833334722206928</v>
      </c>
      <c r="L35">
        <f t="shared" si="11"/>
        <v>2.0347222800919553</v>
      </c>
      <c r="M35">
        <v>0.50439999999999996</v>
      </c>
      <c r="N35">
        <v>9.6799999999999997E-2</v>
      </c>
      <c r="O35">
        <v>49.191619182681002</v>
      </c>
      <c r="P35">
        <v>95.393128397935698</v>
      </c>
      <c r="Q35">
        <f t="shared" si="6"/>
        <v>15.245336523558162</v>
      </c>
      <c r="R35">
        <f t="shared" si="7"/>
        <v>29.563986073740402</v>
      </c>
      <c r="S35">
        <f t="shared" si="8"/>
        <v>10.545199273345181</v>
      </c>
      <c r="T35">
        <f t="shared" si="9"/>
        <v>9.1145769065341664</v>
      </c>
      <c r="U35">
        <v>1</v>
      </c>
    </row>
    <row r="36" spans="1:21" x14ac:dyDescent="0.35">
      <c r="A36" t="s">
        <v>560</v>
      </c>
      <c r="B36" t="s">
        <v>186</v>
      </c>
      <c r="C36">
        <v>1</v>
      </c>
      <c r="D36">
        <v>800</v>
      </c>
      <c r="E36">
        <v>1</v>
      </c>
      <c r="F36">
        <v>5</v>
      </c>
      <c r="G36">
        <v>48</v>
      </c>
      <c r="H36">
        <v>2</v>
      </c>
      <c r="I36" s="3">
        <v>45316.497222164355</v>
      </c>
      <c r="J36" s="3">
        <v>45318.531944444447</v>
      </c>
      <c r="K36">
        <f t="shared" si="10"/>
        <v>48.833334722206928</v>
      </c>
      <c r="L36">
        <f t="shared" si="11"/>
        <v>2.0347222800919553</v>
      </c>
      <c r="M36">
        <v>0.4607</v>
      </c>
      <c r="N36">
        <v>8.9800000000000005E-2</v>
      </c>
      <c r="O36">
        <v>47.141967309941201</v>
      </c>
      <c r="P36">
        <v>65.145919498291505</v>
      </c>
      <c r="Q36">
        <f t="shared" si="6"/>
        <v>15.748986851873452</v>
      </c>
      <c r="R36">
        <f t="shared" si="7"/>
        <v>21.763670211010524</v>
      </c>
      <c r="S36">
        <f t="shared" si="8"/>
        <v>10.893574205440867</v>
      </c>
      <c r="T36">
        <f t="shared" si="9"/>
        <v>6.7097395260545447</v>
      </c>
      <c r="U36">
        <v>1</v>
      </c>
    </row>
    <row r="37" spans="1:21" x14ac:dyDescent="0.35">
      <c r="A37" t="s">
        <v>560</v>
      </c>
      <c r="B37" t="s">
        <v>187</v>
      </c>
      <c r="C37">
        <v>1</v>
      </c>
      <c r="D37">
        <v>800</v>
      </c>
      <c r="E37">
        <v>2</v>
      </c>
      <c r="F37">
        <v>1</v>
      </c>
      <c r="G37">
        <v>48</v>
      </c>
      <c r="H37">
        <v>2</v>
      </c>
      <c r="I37" s="3">
        <v>45316.497916666667</v>
      </c>
      <c r="J37" s="3">
        <v>45318.533333333333</v>
      </c>
      <c r="K37">
        <f t="shared" si="10"/>
        <v>48.849999999976717</v>
      </c>
      <c r="L37">
        <f t="shared" si="11"/>
        <v>2.0354166666656965</v>
      </c>
      <c r="M37">
        <v>0.34910000000000002</v>
      </c>
      <c r="N37">
        <v>6.7400000000000002E-2</v>
      </c>
      <c r="O37">
        <v>46.575813942262698</v>
      </c>
      <c r="P37">
        <v>69.668615661612705</v>
      </c>
      <c r="Q37">
        <f t="shared" si="6"/>
        <v>20.731074455013069</v>
      </c>
      <c r="R37">
        <f t="shared" si="7"/>
        <v>31.009769582320192</v>
      </c>
      <c r="S37">
        <f t="shared" si="8"/>
        <v>14.33968420053254</v>
      </c>
      <c r="T37">
        <f t="shared" si="9"/>
        <v>9.5603119622293153</v>
      </c>
      <c r="U37">
        <v>1</v>
      </c>
    </row>
    <row r="38" spans="1:21" x14ac:dyDescent="0.35">
      <c r="A38" t="s">
        <v>560</v>
      </c>
      <c r="B38" t="s">
        <v>188</v>
      </c>
      <c r="C38">
        <v>1</v>
      </c>
      <c r="D38">
        <v>800</v>
      </c>
      <c r="E38">
        <v>2</v>
      </c>
      <c r="F38">
        <v>2</v>
      </c>
      <c r="G38">
        <v>48</v>
      </c>
      <c r="H38">
        <v>2</v>
      </c>
      <c r="I38" s="3">
        <v>45316.497916666667</v>
      </c>
      <c r="J38" s="3">
        <v>45318.533333333333</v>
      </c>
      <c r="K38">
        <f t="shared" si="10"/>
        <v>48.849999999976717</v>
      </c>
      <c r="L38">
        <f t="shared" si="11"/>
        <v>2.0354166666656965</v>
      </c>
      <c r="M38">
        <v>0.51049999999999995</v>
      </c>
      <c r="N38">
        <v>9.8400000000000001E-2</v>
      </c>
      <c r="O38">
        <v>35.828928917247602</v>
      </c>
      <c r="P38">
        <v>54.909091077432699</v>
      </c>
      <c r="Q38">
        <f t="shared" si="6"/>
        <v>10.923453938185245</v>
      </c>
      <c r="R38">
        <f t="shared" si="7"/>
        <v>16.740576547997772</v>
      </c>
      <c r="S38">
        <f t="shared" si="8"/>
        <v>7.5557530890427342</v>
      </c>
      <c r="T38">
        <f t="shared" si="9"/>
        <v>5.1611197497477139</v>
      </c>
      <c r="U38">
        <v>1</v>
      </c>
    </row>
    <row r="39" spans="1:21" x14ac:dyDescent="0.35">
      <c r="A39" t="s">
        <v>560</v>
      </c>
      <c r="B39" t="s">
        <v>189</v>
      </c>
      <c r="C39">
        <v>1</v>
      </c>
      <c r="D39">
        <v>800</v>
      </c>
      <c r="E39">
        <v>2</v>
      </c>
      <c r="F39">
        <v>3</v>
      </c>
      <c r="G39">
        <v>48</v>
      </c>
      <c r="H39">
        <v>2</v>
      </c>
      <c r="I39" s="3">
        <v>45316.497916666667</v>
      </c>
      <c r="J39" s="3">
        <v>45318.53333327546</v>
      </c>
      <c r="K39">
        <f t="shared" si="10"/>
        <v>48.849998611025512</v>
      </c>
      <c r="L39">
        <f t="shared" si="11"/>
        <v>2.0354166087927297</v>
      </c>
      <c r="M39">
        <v>0.50749999999999995</v>
      </c>
      <c r="N39">
        <v>9.8799999999999999E-2</v>
      </c>
      <c r="O39">
        <v>48.8837298087291</v>
      </c>
      <c r="P39">
        <v>71.582768656467096</v>
      </c>
      <c r="Q39">
        <f t="shared" si="6"/>
        <v>14.843237796172804</v>
      </c>
      <c r="R39">
        <f t="shared" si="7"/>
        <v>21.735658498927254</v>
      </c>
      <c r="S39">
        <f t="shared" si="8"/>
        <v>10.267067583612729</v>
      </c>
      <c r="T39">
        <f t="shared" si="9"/>
        <v>6.7011035152192733</v>
      </c>
      <c r="U39">
        <v>1</v>
      </c>
    </row>
    <row r="40" spans="1:21" x14ac:dyDescent="0.35">
      <c r="A40" t="s">
        <v>560</v>
      </c>
      <c r="B40" t="s">
        <v>190</v>
      </c>
      <c r="C40">
        <v>1</v>
      </c>
      <c r="D40">
        <v>800</v>
      </c>
      <c r="E40">
        <v>2</v>
      </c>
      <c r="F40">
        <v>4</v>
      </c>
      <c r="G40">
        <v>48</v>
      </c>
      <c r="H40">
        <v>2</v>
      </c>
      <c r="I40" s="3">
        <v>45316.497916666667</v>
      </c>
      <c r="J40" s="3">
        <v>45318.53333327546</v>
      </c>
      <c r="K40">
        <f t="shared" si="10"/>
        <v>48.849998611025512</v>
      </c>
      <c r="L40">
        <f t="shared" si="11"/>
        <v>2.0354166087927297</v>
      </c>
      <c r="M40">
        <v>0.30830000000000002</v>
      </c>
      <c r="N40">
        <v>5.3600000000000002E-2</v>
      </c>
      <c r="O40">
        <v>41.9350922634139</v>
      </c>
      <c r="P40">
        <v>54.726767336004897</v>
      </c>
      <c r="Q40">
        <f t="shared" si="6"/>
        <v>23.471133729522702</v>
      </c>
      <c r="R40">
        <f t="shared" si="7"/>
        <v>30.630653359704233</v>
      </c>
      <c r="S40">
        <f t="shared" si="8"/>
        <v>16.234983200710854</v>
      </c>
      <c r="T40">
        <f t="shared" si="9"/>
        <v>9.4434304307968162</v>
      </c>
      <c r="U40">
        <v>1</v>
      </c>
    </row>
    <row r="41" spans="1:21" x14ac:dyDescent="0.35">
      <c r="A41" t="s">
        <v>560</v>
      </c>
      <c r="B41" t="s">
        <v>191</v>
      </c>
      <c r="C41">
        <v>1</v>
      </c>
      <c r="D41">
        <v>800</v>
      </c>
      <c r="E41">
        <v>2</v>
      </c>
      <c r="F41">
        <v>5</v>
      </c>
      <c r="G41">
        <v>48</v>
      </c>
      <c r="H41">
        <v>2</v>
      </c>
      <c r="I41" s="3">
        <v>45316.497916666667</v>
      </c>
      <c r="J41" s="3">
        <v>45318.53333327546</v>
      </c>
      <c r="K41">
        <f t="shared" si="10"/>
        <v>48.849998611025512</v>
      </c>
      <c r="L41">
        <f t="shared" si="11"/>
        <v>2.0354166087927297</v>
      </c>
      <c r="M41">
        <v>0.49890000000000001</v>
      </c>
      <c r="N41">
        <v>9.5399999999999999E-2</v>
      </c>
      <c r="O41">
        <v>58.493493544392102</v>
      </c>
      <c r="P41">
        <v>76.652245143857201</v>
      </c>
      <c r="Q41">
        <f t="shared" si="6"/>
        <v>18.394180359871733</v>
      </c>
      <c r="R41">
        <f t="shared" si="7"/>
        <v>24.10447960498654</v>
      </c>
      <c r="S41">
        <f t="shared" si="8"/>
        <v>12.723254554923278</v>
      </c>
      <c r="T41">
        <f t="shared" si="9"/>
        <v>7.431411062217351</v>
      </c>
      <c r="U41">
        <v>1</v>
      </c>
    </row>
    <row r="42" spans="1:21" x14ac:dyDescent="0.35">
      <c r="A42" t="s">
        <v>560</v>
      </c>
      <c r="B42" t="s">
        <v>192</v>
      </c>
      <c r="C42">
        <v>1</v>
      </c>
      <c r="D42">
        <v>800</v>
      </c>
      <c r="E42">
        <v>3</v>
      </c>
      <c r="F42">
        <v>1</v>
      </c>
      <c r="G42">
        <v>48</v>
      </c>
      <c r="H42">
        <v>2</v>
      </c>
      <c r="I42" s="3">
        <v>45316.497916666667</v>
      </c>
      <c r="J42" s="3">
        <v>45318.534722222219</v>
      </c>
      <c r="K42">
        <f t="shared" si="10"/>
        <v>48.883333333244082</v>
      </c>
      <c r="L42">
        <f t="shared" si="11"/>
        <v>2.0368055555518367</v>
      </c>
      <c r="M42">
        <v>0.3654</v>
      </c>
      <c r="N42">
        <v>6.6400000000000001E-2</v>
      </c>
      <c r="O42">
        <v>29.635038047841501</v>
      </c>
      <c r="P42">
        <v>45.076649501070101</v>
      </c>
      <c r="Q42">
        <f t="shared" si="6"/>
        <v>13.389324419205499</v>
      </c>
      <c r="R42">
        <f t="shared" si="7"/>
        <v>20.365956099881071</v>
      </c>
      <c r="S42">
        <f t="shared" si="8"/>
        <v>9.2613957007644441</v>
      </c>
      <c r="T42">
        <f t="shared" si="9"/>
        <v>6.2788242655933342</v>
      </c>
      <c r="U42">
        <v>1</v>
      </c>
    </row>
    <row r="43" spans="1:21" x14ac:dyDescent="0.35">
      <c r="A43" t="s">
        <v>560</v>
      </c>
      <c r="B43" t="s">
        <v>193</v>
      </c>
      <c r="C43">
        <v>1</v>
      </c>
      <c r="D43">
        <v>800</v>
      </c>
      <c r="E43">
        <v>3</v>
      </c>
      <c r="F43">
        <v>2</v>
      </c>
      <c r="G43">
        <v>48</v>
      </c>
      <c r="H43">
        <v>2</v>
      </c>
      <c r="I43" s="3">
        <v>45316.497916666667</v>
      </c>
      <c r="J43" s="3">
        <v>45318.534722222219</v>
      </c>
      <c r="K43">
        <f t="shared" si="10"/>
        <v>48.883333333244082</v>
      </c>
      <c r="L43">
        <f t="shared" si="11"/>
        <v>2.0368055555518367</v>
      </c>
      <c r="M43">
        <v>0.36930000000000002</v>
      </c>
      <c r="N43">
        <v>7.0599999999999996E-2</v>
      </c>
      <c r="O43">
        <v>59.776698181161599</v>
      </c>
      <c r="P43">
        <v>80.644297809769697</v>
      </c>
      <c r="Q43">
        <f t="shared" si="6"/>
        <v>25.400863249785385</v>
      </c>
      <c r="R43">
        <f t="shared" si="7"/>
        <v>34.268115216616017</v>
      </c>
      <c r="S43">
        <f t="shared" si="8"/>
        <v>17.569777109876551</v>
      </c>
      <c r="T43">
        <f t="shared" si="9"/>
        <v>10.56485992128272</v>
      </c>
      <c r="U43">
        <v>1</v>
      </c>
    </row>
    <row r="44" spans="1:21" x14ac:dyDescent="0.35">
      <c r="A44" t="s">
        <v>560</v>
      </c>
      <c r="B44" t="s">
        <v>194</v>
      </c>
      <c r="C44">
        <v>1</v>
      </c>
      <c r="D44">
        <v>800</v>
      </c>
      <c r="E44">
        <v>3</v>
      </c>
      <c r="F44">
        <v>3</v>
      </c>
      <c r="G44">
        <v>48</v>
      </c>
      <c r="H44">
        <v>2</v>
      </c>
      <c r="I44" s="3">
        <v>45316.497916666667</v>
      </c>
      <c r="J44" s="3">
        <v>45318.534722164353</v>
      </c>
      <c r="K44">
        <f t="shared" si="10"/>
        <v>48.8833319444675</v>
      </c>
      <c r="L44">
        <f t="shared" si="11"/>
        <v>2.0368054976861458</v>
      </c>
      <c r="M44">
        <v>0.36919999999999997</v>
      </c>
      <c r="N44">
        <v>6.7299999999999999E-2</v>
      </c>
      <c r="O44">
        <v>29.928506423335701</v>
      </c>
      <c r="P44">
        <v>50.321189092504298</v>
      </c>
      <c r="Q44">
        <f t="shared" si="6"/>
        <v>13.341087558693479</v>
      </c>
      <c r="R44">
        <f t="shared" si="7"/>
        <v>22.431436445395676</v>
      </c>
      <c r="S44">
        <f t="shared" si="8"/>
        <v>9.2280302643482788</v>
      </c>
      <c r="T44">
        <f t="shared" si="9"/>
        <v>6.9156118561154871</v>
      </c>
      <c r="U44">
        <v>1</v>
      </c>
    </row>
    <row r="45" spans="1:21" x14ac:dyDescent="0.35">
      <c r="A45" t="s">
        <v>560</v>
      </c>
      <c r="B45" t="s">
        <v>195</v>
      </c>
      <c r="C45">
        <v>1</v>
      </c>
      <c r="D45">
        <v>800</v>
      </c>
      <c r="E45">
        <v>3</v>
      </c>
      <c r="F45">
        <v>4</v>
      </c>
      <c r="G45">
        <v>48</v>
      </c>
      <c r="H45">
        <v>2</v>
      </c>
      <c r="I45" s="3">
        <v>45316.497916666667</v>
      </c>
      <c r="J45" s="3">
        <v>45318.534722164353</v>
      </c>
      <c r="K45">
        <f t="shared" si="10"/>
        <v>48.8833319444675</v>
      </c>
      <c r="L45">
        <f t="shared" si="11"/>
        <v>2.0368054976861458</v>
      </c>
      <c r="M45">
        <v>0.35399999999999998</v>
      </c>
      <c r="N45">
        <v>6.5600000000000006E-2</v>
      </c>
      <c r="O45">
        <v>37.725014321046999</v>
      </c>
      <c r="P45">
        <v>51.3914288917573</v>
      </c>
      <c r="Q45">
        <f t="shared" si="6"/>
        <v>17.252293134625152</v>
      </c>
      <c r="R45">
        <f t="shared" si="7"/>
        <v>23.50217784684023</v>
      </c>
      <c r="S45">
        <f t="shared" si="8"/>
        <v>11.933411161220217</v>
      </c>
      <c r="T45">
        <f t="shared" si="9"/>
        <v>7.2457214301808435</v>
      </c>
      <c r="U45">
        <v>1</v>
      </c>
    </row>
    <row r="46" spans="1:21" x14ac:dyDescent="0.35">
      <c r="A46" t="s">
        <v>560</v>
      </c>
      <c r="B46" t="s">
        <v>196</v>
      </c>
      <c r="C46">
        <v>1</v>
      </c>
      <c r="D46">
        <v>800</v>
      </c>
      <c r="E46">
        <v>3</v>
      </c>
      <c r="F46">
        <v>5</v>
      </c>
      <c r="G46">
        <v>48</v>
      </c>
      <c r="H46">
        <v>2</v>
      </c>
      <c r="I46" s="3">
        <v>45316.497916666667</v>
      </c>
      <c r="J46" s="3">
        <v>45318.534722164353</v>
      </c>
      <c r="K46">
        <f t="shared" si="10"/>
        <v>48.8833319444675</v>
      </c>
      <c r="L46">
        <f t="shared" si="11"/>
        <v>2.0368054976861458</v>
      </c>
      <c r="M46">
        <v>0.26450000000000001</v>
      </c>
      <c r="N46">
        <v>5.2400000000000002E-2</v>
      </c>
      <c r="O46">
        <v>29.512907012607201</v>
      </c>
      <c r="P46">
        <v>42.159642085814497</v>
      </c>
      <c r="Q46">
        <f t="shared" si="6"/>
        <v>16.896702488133894</v>
      </c>
      <c r="R46">
        <f t="shared" si="7"/>
        <v>24.137199667451046</v>
      </c>
      <c r="S46">
        <f t="shared" si="8"/>
        <v>11.687449111042215</v>
      </c>
      <c r="T46">
        <f t="shared" si="9"/>
        <v>7.441498657475158</v>
      </c>
      <c r="U46">
        <v>1</v>
      </c>
    </row>
    <row r="47" spans="1:21" x14ac:dyDescent="0.35">
      <c r="A47" t="s">
        <v>560</v>
      </c>
      <c r="B47" t="s">
        <v>197</v>
      </c>
      <c r="C47">
        <v>1</v>
      </c>
      <c r="D47">
        <v>1200</v>
      </c>
      <c r="E47">
        <v>1</v>
      </c>
      <c r="F47">
        <v>1</v>
      </c>
      <c r="G47">
        <v>48</v>
      </c>
      <c r="H47">
        <v>2</v>
      </c>
      <c r="I47" s="3">
        <v>45316.497916666667</v>
      </c>
      <c r="J47" s="3">
        <v>45318.536805555559</v>
      </c>
      <c r="K47">
        <f t="shared" si="10"/>
        <v>48.933333333407063</v>
      </c>
      <c r="L47">
        <f t="shared" si="11"/>
        <v>2.038888888891961</v>
      </c>
      <c r="M47">
        <v>0.41920000000000002</v>
      </c>
      <c r="N47">
        <v>7.2300000000000003E-2</v>
      </c>
      <c r="O47">
        <v>55.9812932189107</v>
      </c>
      <c r="P47">
        <v>90.651779031083095</v>
      </c>
      <c r="Q47">
        <f t="shared" si="6"/>
        <v>23.228752372991995</v>
      </c>
      <c r="R47">
        <f t="shared" si="7"/>
        <v>37.614846070988833</v>
      </c>
      <c r="S47">
        <f t="shared" si="8"/>
        <v>16.067328016398562</v>
      </c>
      <c r="T47">
        <f t="shared" si="9"/>
        <v>11.596657043685857</v>
      </c>
      <c r="U47">
        <v>1</v>
      </c>
    </row>
    <row r="48" spans="1:21" x14ac:dyDescent="0.35">
      <c r="A48" t="s">
        <v>560</v>
      </c>
      <c r="B48" t="s">
        <v>198</v>
      </c>
      <c r="C48">
        <v>1</v>
      </c>
      <c r="D48">
        <v>1200</v>
      </c>
      <c r="E48">
        <v>1</v>
      </c>
      <c r="F48">
        <v>2</v>
      </c>
      <c r="G48">
        <v>48</v>
      </c>
      <c r="H48">
        <v>2</v>
      </c>
      <c r="I48" s="3">
        <v>45316.497916666667</v>
      </c>
      <c r="J48" s="3">
        <v>45318.536805555559</v>
      </c>
      <c r="K48">
        <f t="shared" si="10"/>
        <v>48.933333333407063</v>
      </c>
      <c r="L48">
        <f t="shared" si="11"/>
        <v>2.038888888891961</v>
      </c>
      <c r="M48">
        <v>0.53280000000000005</v>
      </c>
      <c r="N48">
        <v>9.7500000000000003E-2</v>
      </c>
      <c r="O48">
        <v>39.024545897872301</v>
      </c>
      <c r="P48">
        <v>75.820018243604693</v>
      </c>
      <c r="Q48">
        <f t="shared" si="6"/>
        <v>12.00755258396071</v>
      </c>
      <c r="R48">
        <f t="shared" si="7"/>
        <v>23.329236382647601</v>
      </c>
      <c r="S48">
        <f t="shared" si="8"/>
        <v>8.3056241223256233</v>
      </c>
      <c r="T48">
        <f t="shared" si="9"/>
        <v>7.1924035767702561</v>
      </c>
      <c r="U48">
        <v>1</v>
      </c>
    </row>
    <row r="49" spans="1:21" x14ac:dyDescent="0.35">
      <c r="A49" t="s">
        <v>560</v>
      </c>
      <c r="B49" t="s">
        <v>199</v>
      </c>
      <c r="C49">
        <v>1</v>
      </c>
      <c r="D49">
        <v>1200</v>
      </c>
      <c r="E49">
        <v>1</v>
      </c>
      <c r="F49">
        <v>3</v>
      </c>
      <c r="G49">
        <v>48</v>
      </c>
      <c r="H49">
        <v>2</v>
      </c>
      <c r="I49" s="3">
        <v>45316.497916666667</v>
      </c>
      <c r="J49" s="3">
        <v>45318.536805555559</v>
      </c>
      <c r="K49">
        <f t="shared" si="10"/>
        <v>48.933333333407063</v>
      </c>
      <c r="L49">
        <f t="shared" si="11"/>
        <v>2.038888888891961</v>
      </c>
      <c r="M49">
        <v>0.43619999999999998</v>
      </c>
      <c r="N49">
        <v>7.7600000000000002E-2</v>
      </c>
      <c r="O49">
        <v>35.991854710348001</v>
      </c>
      <c r="P49">
        <v>58.0265525085047</v>
      </c>
      <c r="Q49">
        <f t="shared" si="6"/>
        <v>13.914376821010826</v>
      </c>
      <c r="R49">
        <f t="shared" si="7"/>
        <v>22.43294555741161</v>
      </c>
      <c r="S49">
        <f t="shared" si="8"/>
        <v>9.6245744470931882</v>
      </c>
      <c r="T49">
        <f t="shared" si="9"/>
        <v>6.9160771153500002</v>
      </c>
      <c r="U49">
        <v>1</v>
      </c>
    </row>
    <row r="50" spans="1:21" x14ac:dyDescent="0.35">
      <c r="A50" t="s">
        <v>560</v>
      </c>
      <c r="B50" t="s">
        <v>200</v>
      </c>
      <c r="C50">
        <v>1</v>
      </c>
      <c r="D50">
        <v>1200</v>
      </c>
      <c r="E50">
        <v>1</v>
      </c>
      <c r="F50">
        <v>4</v>
      </c>
      <c r="G50">
        <v>48</v>
      </c>
      <c r="H50">
        <v>2</v>
      </c>
      <c r="I50" s="3">
        <v>45316.497916666667</v>
      </c>
      <c r="J50" s="3">
        <v>45318.536805555559</v>
      </c>
      <c r="K50">
        <f t="shared" si="10"/>
        <v>48.933333333407063</v>
      </c>
      <c r="L50">
        <f t="shared" si="11"/>
        <v>2.038888888891961</v>
      </c>
      <c r="M50">
        <v>0.42770000000000002</v>
      </c>
      <c r="N50">
        <v>8.3799999999999999E-2</v>
      </c>
      <c r="O50">
        <v>22.2971392877085</v>
      </c>
      <c r="P50">
        <v>47.935550311347498</v>
      </c>
      <c r="Q50">
        <f t="shared" si="6"/>
        <v>7.9822694347405134</v>
      </c>
      <c r="R50">
        <f t="shared" si="7"/>
        <v>17.160698202153043</v>
      </c>
      <c r="S50">
        <f t="shared" si="8"/>
        <v>5.5213357680100126</v>
      </c>
      <c r="T50">
        <f t="shared" si="9"/>
        <v>5.2906432557237837</v>
      </c>
      <c r="U50">
        <v>1</v>
      </c>
    </row>
    <row r="51" spans="1:21" x14ac:dyDescent="0.35">
      <c r="A51" t="s">
        <v>560</v>
      </c>
      <c r="B51" t="s">
        <v>201</v>
      </c>
      <c r="C51">
        <v>1</v>
      </c>
      <c r="D51">
        <v>1200</v>
      </c>
      <c r="E51">
        <v>1</v>
      </c>
      <c r="F51">
        <v>5</v>
      </c>
      <c r="G51">
        <v>48</v>
      </c>
      <c r="H51">
        <v>2</v>
      </c>
      <c r="I51" s="3">
        <v>45316.497916666667</v>
      </c>
      <c r="J51" s="3">
        <v>45318.536805555559</v>
      </c>
      <c r="K51">
        <f t="shared" si="10"/>
        <v>48.933333333407063</v>
      </c>
      <c r="L51">
        <f t="shared" si="11"/>
        <v>2.038888888891961</v>
      </c>
      <c r="M51">
        <v>0.57969999999999999</v>
      </c>
      <c r="N51" s="1">
        <v>0.107</v>
      </c>
      <c r="O51">
        <v>50.598864546414902</v>
      </c>
      <c r="P51">
        <v>89.730326918493006</v>
      </c>
      <c r="Q51">
        <f t="shared" si="6"/>
        <v>14.186597536378009</v>
      </c>
      <c r="R51">
        <f t="shared" si="7"/>
        <v>25.158035584624205</v>
      </c>
      <c r="S51">
        <f t="shared" si="8"/>
        <v>9.8128695159126682</v>
      </c>
      <c r="T51">
        <f t="shared" si="9"/>
        <v>7.7562223707396427</v>
      </c>
      <c r="U51">
        <v>1</v>
      </c>
    </row>
    <row r="52" spans="1:21" x14ac:dyDescent="0.35">
      <c r="A52" t="s">
        <v>560</v>
      </c>
      <c r="B52" t="s">
        <v>202</v>
      </c>
      <c r="C52">
        <v>1</v>
      </c>
      <c r="D52">
        <v>1200</v>
      </c>
      <c r="E52">
        <v>2</v>
      </c>
      <c r="F52">
        <v>1</v>
      </c>
      <c r="G52">
        <v>48</v>
      </c>
      <c r="H52">
        <v>2</v>
      </c>
      <c r="I52" s="3">
        <v>45316.498611111114</v>
      </c>
      <c r="J52" s="3">
        <v>45318.537499999999</v>
      </c>
      <c r="K52">
        <f t="shared" si="10"/>
        <v>48.93333333323244</v>
      </c>
      <c r="L52">
        <f t="shared" si="11"/>
        <v>2.038888888884685</v>
      </c>
      <c r="M52">
        <v>0.50819999999999999</v>
      </c>
      <c r="N52">
        <v>9.4200000000000006E-2</v>
      </c>
      <c r="O52">
        <v>58.461915876638898</v>
      </c>
      <c r="P52">
        <v>91.982484213126696</v>
      </c>
      <c r="Q52">
        <f t="shared" si="6"/>
        <v>18.618444546700285</v>
      </c>
      <c r="R52">
        <f t="shared" si="7"/>
        <v>29.293784781250533</v>
      </c>
      <c r="S52">
        <f t="shared" si="8"/>
        <v>12.878378092952588</v>
      </c>
      <c r="T52">
        <f t="shared" si="9"/>
        <v>9.0312738480595396</v>
      </c>
      <c r="U52">
        <v>1</v>
      </c>
    </row>
    <row r="53" spans="1:21" x14ac:dyDescent="0.35">
      <c r="A53" t="s">
        <v>560</v>
      </c>
      <c r="B53" t="s">
        <v>203</v>
      </c>
      <c r="C53">
        <v>1</v>
      </c>
      <c r="D53">
        <v>1200</v>
      </c>
      <c r="E53">
        <v>2</v>
      </c>
      <c r="F53">
        <v>2</v>
      </c>
      <c r="G53">
        <v>48</v>
      </c>
      <c r="H53">
        <v>2</v>
      </c>
      <c r="I53" s="3">
        <v>45316.498611111114</v>
      </c>
      <c r="J53" s="3">
        <v>45318.537499999999</v>
      </c>
      <c r="K53">
        <f t="shared" si="10"/>
        <v>48.93333333323244</v>
      </c>
      <c r="L53">
        <f t="shared" si="11"/>
        <v>2.038888888884685</v>
      </c>
      <c r="M53">
        <v>0.48070000000000002</v>
      </c>
      <c r="N53">
        <v>8.43E-2</v>
      </c>
      <c r="O53">
        <v>32.429343499236502</v>
      </c>
      <c r="P53">
        <v>65.477979224410007</v>
      </c>
      <c r="Q53">
        <f t="shared" si="6"/>
        <v>11.54069163673897</v>
      </c>
      <c r="R53">
        <f t="shared" si="7"/>
        <v>23.301771965982208</v>
      </c>
      <c r="S53">
        <f t="shared" si="8"/>
        <v>7.9826964051323452</v>
      </c>
      <c r="T53">
        <f t="shared" si="9"/>
        <v>7.1839362971123153</v>
      </c>
      <c r="U53">
        <v>1</v>
      </c>
    </row>
    <row r="54" spans="1:21" x14ac:dyDescent="0.35">
      <c r="A54" t="s">
        <v>560</v>
      </c>
      <c r="B54" t="s">
        <v>204</v>
      </c>
      <c r="C54">
        <v>1</v>
      </c>
      <c r="D54">
        <v>1200</v>
      </c>
      <c r="E54">
        <v>2</v>
      </c>
      <c r="F54">
        <v>3</v>
      </c>
      <c r="G54">
        <v>48</v>
      </c>
      <c r="H54">
        <v>2</v>
      </c>
      <c r="I54" s="3">
        <v>45316.498611111114</v>
      </c>
      <c r="J54" s="3">
        <v>45318.537499942133</v>
      </c>
      <c r="K54">
        <f t="shared" si="10"/>
        <v>48.933331944455858</v>
      </c>
      <c r="L54">
        <f t="shared" si="11"/>
        <v>2.0388888310189941</v>
      </c>
      <c r="M54">
        <v>0.47189999999999999</v>
      </c>
      <c r="N54">
        <v>8.5800000000000001E-2</v>
      </c>
      <c r="O54">
        <v>63.190194516461403</v>
      </c>
      <c r="P54">
        <v>101.403964319709</v>
      </c>
      <c r="Q54">
        <f t="shared" si="6"/>
        <v>22.094473607154335</v>
      </c>
      <c r="R54">
        <f t="shared" si="7"/>
        <v>35.455931580317831</v>
      </c>
      <c r="S54">
        <f t="shared" si="8"/>
        <v>15.282747394068652</v>
      </c>
      <c r="T54">
        <f t="shared" si="9"/>
        <v>10.931063706211988</v>
      </c>
      <c r="U54">
        <v>1</v>
      </c>
    </row>
    <row r="55" spans="1:21" x14ac:dyDescent="0.35">
      <c r="A55" t="s">
        <v>560</v>
      </c>
      <c r="B55" t="s">
        <v>205</v>
      </c>
      <c r="C55">
        <v>1</v>
      </c>
      <c r="D55">
        <v>1200</v>
      </c>
      <c r="E55">
        <v>2</v>
      </c>
      <c r="F55">
        <v>4</v>
      </c>
      <c r="G55">
        <v>48</v>
      </c>
      <c r="H55">
        <v>2</v>
      </c>
      <c r="I55" s="3">
        <v>45316.498611111114</v>
      </c>
      <c r="J55" s="3">
        <v>45318.537499942133</v>
      </c>
      <c r="K55">
        <f t="shared" si="10"/>
        <v>48.933331944455858</v>
      </c>
      <c r="L55">
        <f t="shared" si="11"/>
        <v>2.0388888310189941</v>
      </c>
      <c r="M55">
        <v>0.4027</v>
      </c>
      <c r="N55">
        <v>7.5899999999999995E-2</v>
      </c>
      <c r="O55">
        <v>23.4803945202421</v>
      </c>
      <c r="P55">
        <v>42.777180034341001</v>
      </c>
      <c r="Q55">
        <f t="shared" si="6"/>
        <v>9.2807883479217796</v>
      </c>
      <c r="R55">
        <f t="shared" si="7"/>
        <v>16.907976298158502</v>
      </c>
      <c r="S55">
        <f t="shared" si="8"/>
        <v>6.4195213002574949</v>
      </c>
      <c r="T55">
        <f t="shared" si="9"/>
        <v>5.2127290927222667</v>
      </c>
      <c r="U55">
        <v>1</v>
      </c>
    </row>
    <row r="56" spans="1:21" x14ac:dyDescent="0.35">
      <c r="A56" t="s">
        <v>560</v>
      </c>
      <c r="B56" t="s">
        <v>206</v>
      </c>
      <c r="C56">
        <v>1</v>
      </c>
      <c r="D56">
        <v>1200</v>
      </c>
      <c r="E56">
        <v>2</v>
      </c>
      <c r="F56">
        <v>5</v>
      </c>
      <c r="G56">
        <v>48</v>
      </c>
      <c r="H56">
        <v>2</v>
      </c>
      <c r="I56" s="3">
        <v>45316.498611111114</v>
      </c>
      <c r="J56" s="3">
        <v>45318.537499942133</v>
      </c>
      <c r="K56">
        <f t="shared" si="10"/>
        <v>48.933331944455858</v>
      </c>
      <c r="L56">
        <f t="shared" si="11"/>
        <v>2.0388888310189941</v>
      </c>
      <c r="M56">
        <v>0.52710000000000001</v>
      </c>
      <c r="N56">
        <v>9.8400000000000001E-2</v>
      </c>
      <c r="O56">
        <v>25.362466524019698</v>
      </c>
      <c r="P56">
        <v>69.159775993586507</v>
      </c>
      <c r="Q56">
        <f t="shared" si="6"/>
        <v>7.7324593061035669</v>
      </c>
      <c r="R56">
        <f t="shared" si="7"/>
        <v>21.08529755902028</v>
      </c>
      <c r="S56">
        <f t="shared" si="8"/>
        <v>5.3485421020318373</v>
      </c>
      <c r="T56">
        <f t="shared" si="9"/>
        <v>6.5005972374459526</v>
      </c>
      <c r="U56">
        <v>1</v>
      </c>
    </row>
    <row r="57" spans="1:21" x14ac:dyDescent="0.35">
      <c r="A57" t="s">
        <v>560</v>
      </c>
      <c r="B57" t="s">
        <v>207</v>
      </c>
      <c r="C57">
        <v>1</v>
      </c>
      <c r="D57">
        <v>1200</v>
      </c>
      <c r="E57">
        <v>3</v>
      </c>
      <c r="F57">
        <v>1</v>
      </c>
      <c r="G57">
        <v>48</v>
      </c>
      <c r="H57">
        <v>2</v>
      </c>
      <c r="I57" s="3">
        <v>45316.498611111114</v>
      </c>
      <c r="J57" s="3">
        <v>45318.538194444445</v>
      </c>
      <c r="K57">
        <f t="shared" si="10"/>
        <v>48.949999999953434</v>
      </c>
      <c r="L57">
        <f t="shared" si="11"/>
        <v>2.0395833333313931</v>
      </c>
      <c r="M57">
        <v>0.44019999999999998</v>
      </c>
      <c r="N57">
        <v>8.5199999999999998E-2</v>
      </c>
      <c r="O57">
        <v>75.894497167128804</v>
      </c>
      <c r="P57">
        <v>101.314045910503</v>
      </c>
      <c r="Q57">
        <f t="shared" si="6"/>
        <v>26.723414495467892</v>
      </c>
      <c r="R57">
        <f t="shared" si="7"/>
        <v>35.673959827641902</v>
      </c>
      <c r="S57">
        <f t="shared" si="8"/>
        <v>18.484585806515142</v>
      </c>
      <c r="T57">
        <f t="shared" si="9"/>
        <v>10.998281814861999</v>
      </c>
      <c r="U57">
        <v>1</v>
      </c>
    </row>
    <row r="58" spans="1:21" x14ac:dyDescent="0.35">
      <c r="A58" t="s">
        <v>560</v>
      </c>
      <c r="B58" t="s">
        <v>208</v>
      </c>
      <c r="C58">
        <v>1</v>
      </c>
      <c r="D58">
        <v>1200</v>
      </c>
      <c r="E58">
        <v>3</v>
      </c>
      <c r="F58">
        <v>2</v>
      </c>
      <c r="G58">
        <v>48</v>
      </c>
      <c r="H58">
        <v>2</v>
      </c>
      <c r="I58" s="3">
        <v>45316.498611111114</v>
      </c>
      <c r="J58" s="3">
        <v>45318.538194444445</v>
      </c>
      <c r="K58">
        <f t="shared" si="10"/>
        <v>48.949999999953434</v>
      </c>
      <c r="L58">
        <f t="shared" si="11"/>
        <v>2.0395833333313931</v>
      </c>
      <c r="M58">
        <v>0.29780000000000001</v>
      </c>
      <c r="N58">
        <v>5.4899999999999997E-2</v>
      </c>
      <c r="O58">
        <v>46.309199215653599</v>
      </c>
      <c r="P58">
        <v>63.5097371604136</v>
      </c>
      <c r="Q58">
        <f t="shared" si="6"/>
        <v>25.305573341887211</v>
      </c>
      <c r="R58">
        <f t="shared" si="7"/>
        <v>34.7047744045976</v>
      </c>
      <c r="S58">
        <f t="shared" si="8"/>
        <v>17.503865080583385</v>
      </c>
      <c r="T58">
        <f t="shared" si="9"/>
        <v>10.699481948937441</v>
      </c>
      <c r="U58">
        <v>1</v>
      </c>
    </row>
    <row r="59" spans="1:21" x14ac:dyDescent="0.35">
      <c r="A59" t="s">
        <v>560</v>
      </c>
      <c r="B59" t="s">
        <v>209</v>
      </c>
      <c r="C59">
        <v>1</v>
      </c>
      <c r="D59">
        <v>1200</v>
      </c>
      <c r="E59">
        <v>3</v>
      </c>
      <c r="F59">
        <v>3</v>
      </c>
      <c r="G59">
        <v>48</v>
      </c>
      <c r="H59">
        <v>2</v>
      </c>
      <c r="I59" s="3">
        <v>45316.498611111114</v>
      </c>
      <c r="J59" s="3">
        <v>45318.538194444445</v>
      </c>
      <c r="K59">
        <f t="shared" si="10"/>
        <v>48.949999999953434</v>
      </c>
      <c r="L59">
        <f t="shared" si="11"/>
        <v>2.0395833333313931</v>
      </c>
      <c r="M59">
        <v>0.50739999999999996</v>
      </c>
      <c r="N59">
        <v>9.9299999999999999E-2</v>
      </c>
      <c r="O59">
        <v>44.2423615006891</v>
      </c>
      <c r="P59">
        <v>66.644852952030504</v>
      </c>
      <c r="Q59">
        <f t="shared" si="6"/>
        <v>13.366272356703655</v>
      </c>
      <c r="R59">
        <f t="shared" si="7"/>
        <v>20.134396662244864</v>
      </c>
      <c r="S59">
        <f t="shared" si="8"/>
        <v>9.2454505891319183</v>
      </c>
      <c r="T59">
        <f t="shared" si="9"/>
        <v>6.2074344909700923</v>
      </c>
      <c r="U59">
        <v>1</v>
      </c>
    </row>
    <row r="60" spans="1:21" x14ac:dyDescent="0.35">
      <c r="A60" t="s">
        <v>560</v>
      </c>
      <c r="B60" t="s">
        <v>210</v>
      </c>
      <c r="C60">
        <v>1</v>
      </c>
      <c r="D60">
        <v>1200</v>
      </c>
      <c r="E60">
        <v>3</v>
      </c>
      <c r="F60">
        <v>4</v>
      </c>
      <c r="G60">
        <v>48</v>
      </c>
      <c r="H60">
        <v>2</v>
      </c>
      <c r="I60" s="3">
        <v>45316.498611111114</v>
      </c>
      <c r="J60" s="3">
        <v>45318.538194444445</v>
      </c>
      <c r="K60">
        <f t="shared" si="10"/>
        <v>48.949999999953434</v>
      </c>
      <c r="L60">
        <f t="shared" si="11"/>
        <v>2.0395833333313931</v>
      </c>
      <c r="M60">
        <v>0.50839999999999996</v>
      </c>
      <c r="N60">
        <v>9.2600000000000002E-2</v>
      </c>
      <c r="O60">
        <v>51.113865975350102</v>
      </c>
      <c r="P60">
        <v>86.595125363116296</v>
      </c>
      <c r="Q60">
        <f t="shared" si="6"/>
        <v>16.559567810588586</v>
      </c>
      <c r="R60">
        <f t="shared" si="7"/>
        <v>28.054576251549555</v>
      </c>
      <c r="S60">
        <f t="shared" si="8"/>
        <v>11.454253054584125</v>
      </c>
      <c r="T60">
        <f t="shared" si="9"/>
        <v>8.6492258583527288</v>
      </c>
      <c r="U60">
        <v>1</v>
      </c>
    </row>
    <row r="61" spans="1:21" x14ac:dyDescent="0.35">
      <c r="A61" t="s">
        <v>560</v>
      </c>
      <c r="B61" t="s">
        <v>211</v>
      </c>
      <c r="C61">
        <v>1</v>
      </c>
      <c r="D61">
        <v>1200</v>
      </c>
      <c r="E61">
        <v>3</v>
      </c>
      <c r="F61">
        <v>5</v>
      </c>
      <c r="G61">
        <v>48</v>
      </c>
      <c r="H61">
        <v>2</v>
      </c>
      <c r="I61" s="3">
        <v>45316.498611111114</v>
      </c>
      <c r="J61" s="3">
        <v>45318.538194444445</v>
      </c>
      <c r="K61">
        <f t="shared" si="10"/>
        <v>48.949999999953434</v>
      </c>
      <c r="L61">
        <f t="shared" si="11"/>
        <v>2.0395833333313931</v>
      </c>
      <c r="M61">
        <v>0.36990000000000001</v>
      </c>
      <c r="N61">
        <v>7.0599999999999996E-2</v>
      </c>
      <c r="O61">
        <v>24.6051359789926</v>
      </c>
      <c r="P61">
        <v>51.907433441245701</v>
      </c>
      <c r="Q61">
        <f t="shared" si="6"/>
        <v>10.455440217702238</v>
      </c>
      <c r="R61">
        <f t="shared" si="7"/>
        <v>22.056983048687975</v>
      </c>
      <c r="S61">
        <f t="shared" si="8"/>
        <v>7.2320279985846376</v>
      </c>
      <c r="T61">
        <f t="shared" si="9"/>
        <v>6.8001678739105031</v>
      </c>
      <c r="U61">
        <v>1</v>
      </c>
    </row>
    <row r="62" spans="1:21" x14ac:dyDescent="0.35">
      <c r="A62" t="s">
        <v>560</v>
      </c>
      <c r="B62" t="s">
        <v>212</v>
      </c>
      <c r="C62">
        <v>2</v>
      </c>
      <c r="D62">
        <v>0</v>
      </c>
      <c r="E62">
        <v>1</v>
      </c>
      <c r="F62">
        <v>1</v>
      </c>
      <c r="G62">
        <v>48</v>
      </c>
      <c r="H62">
        <v>2</v>
      </c>
      <c r="I62" s="3">
        <v>45318.548611111109</v>
      </c>
      <c r="J62" s="3">
        <v>45320.566666666666</v>
      </c>
      <c r="K62">
        <f t="shared" si="10"/>
        <v>48.433333333348855</v>
      </c>
      <c r="L62">
        <f t="shared" si="11"/>
        <v>2.0180555555562023</v>
      </c>
      <c r="M62">
        <v>0.51139999999999997</v>
      </c>
      <c r="N62">
        <v>9.1399999999999995E-2</v>
      </c>
      <c r="O62">
        <v>12.259875054851401</v>
      </c>
      <c r="P62">
        <v>34.7911622698511</v>
      </c>
      <c r="Q62">
        <f t="shared" si="6"/>
        <v>4.0240290114391906</v>
      </c>
      <c r="R62">
        <f t="shared" si="7"/>
        <v>11.419418688134934</v>
      </c>
      <c r="S62">
        <f t="shared" si="8"/>
        <v>2.783420867212488</v>
      </c>
      <c r="T62">
        <f t="shared" si="9"/>
        <v>3.5206067815520004</v>
      </c>
      <c r="U62">
        <v>1</v>
      </c>
    </row>
    <row r="63" spans="1:21" x14ac:dyDescent="0.35">
      <c r="A63" t="s">
        <v>560</v>
      </c>
      <c r="B63" t="s">
        <v>213</v>
      </c>
      <c r="C63">
        <v>2</v>
      </c>
      <c r="D63">
        <v>0</v>
      </c>
      <c r="E63">
        <v>1</v>
      </c>
      <c r="F63">
        <v>2</v>
      </c>
      <c r="G63">
        <v>48</v>
      </c>
      <c r="H63">
        <v>2</v>
      </c>
      <c r="I63" s="3">
        <v>45318.548611111109</v>
      </c>
      <c r="J63" s="3">
        <v>45320.566666666666</v>
      </c>
      <c r="K63">
        <f t="shared" ref="K63:K122" si="12">(J63-I63)*24</f>
        <v>48.433333333348855</v>
      </c>
      <c r="L63">
        <f t="shared" ref="L63:L122" si="13">K63/24</f>
        <v>2.0180555555562023</v>
      </c>
      <c r="M63">
        <v>0.52049999999999996</v>
      </c>
      <c r="N63">
        <v>9.1899999999999996E-2</v>
      </c>
      <c r="O63">
        <v>16.685921642552199</v>
      </c>
      <c r="P63">
        <v>30.459839125495499</v>
      </c>
      <c r="Q63">
        <f t="shared" si="6"/>
        <v>5.4469820378298808</v>
      </c>
      <c r="R63">
        <f t="shared" si="7"/>
        <v>9.9433642411846037</v>
      </c>
      <c r="S63">
        <f t="shared" si="8"/>
        <v>3.7676774755669284</v>
      </c>
      <c r="T63">
        <f t="shared" si="9"/>
        <v>3.0655391955572133</v>
      </c>
      <c r="U63">
        <v>1</v>
      </c>
    </row>
    <row r="64" spans="1:21" x14ac:dyDescent="0.35">
      <c r="A64" t="s">
        <v>560</v>
      </c>
      <c r="B64" t="s">
        <v>214</v>
      </c>
      <c r="C64">
        <v>2</v>
      </c>
      <c r="D64">
        <v>0</v>
      </c>
      <c r="E64">
        <v>1</v>
      </c>
      <c r="F64">
        <v>3</v>
      </c>
      <c r="G64">
        <v>48</v>
      </c>
      <c r="H64">
        <v>2</v>
      </c>
      <c r="I64" s="3">
        <v>45318.548611053244</v>
      </c>
      <c r="J64" s="3">
        <v>45320.566666608793</v>
      </c>
      <c r="K64">
        <f t="shared" si="12"/>
        <v>48.433333333174232</v>
      </c>
      <c r="L64">
        <f t="shared" si="13"/>
        <v>2.0180555555489263</v>
      </c>
      <c r="M64">
        <v>0.42670000000000002</v>
      </c>
      <c r="N64">
        <v>7.1599999999999997E-2</v>
      </c>
      <c r="O64">
        <v>11.3462013013697</v>
      </c>
      <c r="P64">
        <v>38.057582604784997</v>
      </c>
      <c r="Q64">
        <f t="shared" si="6"/>
        <v>4.753994958674455</v>
      </c>
      <c r="R64">
        <f t="shared" si="7"/>
        <v>15.94591449921159</v>
      </c>
      <c r="S64">
        <f t="shared" si="8"/>
        <v>3.2883383129151205</v>
      </c>
      <c r="T64">
        <f t="shared" si="9"/>
        <v>4.9161254401069332</v>
      </c>
      <c r="U64">
        <v>1</v>
      </c>
    </row>
    <row r="65" spans="1:21" x14ac:dyDescent="0.35">
      <c r="A65" t="s">
        <v>560</v>
      </c>
      <c r="B65" t="s">
        <v>215</v>
      </c>
      <c r="C65">
        <v>2</v>
      </c>
      <c r="D65">
        <v>0</v>
      </c>
      <c r="E65">
        <v>1</v>
      </c>
      <c r="F65">
        <v>4</v>
      </c>
      <c r="G65">
        <v>48</v>
      </c>
      <c r="H65">
        <v>2</v>
      </c>
      <c r="I65" s="3">
        <v>45318.548611053244</v>
      </c>
      <c r="J65" s="3">
        <v>45320.566666608793</v>
      </c>
      <c r="K65">
        <f t="shared" si="12"/>
        <v>48.433333333174232</v>
      </c>
      <c r="L65">
        <f t="shared" si="13"/>
        <v>2.0180555555489263</v>
      </c>
      <c r="M65">
        <v>0.3987</v>
      </c>
      <c r="N65">
        <v>6.7500000000000004E-2</v>
      </c>
      <c r="O65">
        <v>10.4435870893386</v>
      </c>
      <c r="P65">
        <v>28.338873093740201</v>
      </c>
      <c r="Q65">
        <f t="shared" si="6"/>
        <v>4.6415942619282662</v>
      </c>
      <c r="R65">
        <f t="shared" si="7"/>
        <v>12.595054708328979</v>
      </c>
      <c r="S65">
        <f t="shared" si="8"/>
        <v>3.2105907509757818</v>
      </c>
      <c r="T65">
        <f t="shared" si="9"/>
        <v>3.8830553665778242</v>
      </c>
      <c r="U65">
        <v>1</v>
      </c>
    </row>
    <row r="66" spans="1:21" x14ac:dyDescent="0.35">
      <c r="A66" t="s">
        <v>560</v>
      </c>
      <c r="B66" t="s">
        <v>216</v>
      </c>
      <c r="C66">
        <v>2</v>
      </c>
      <c r="D66">
        <v>0</v>
      </c>
      <c r="E66">
        <v>1</v>
      </c>
      <c r="F66">
        <v>5</v>
      </c>
      <c r="G66">
        <v>48</v>
      </c>
      <c r="H66">
        <v>2</v>
      </c>
      <c r="I66" s="3">
        <v>45318.548611053244</v>
      </c>
      <c r="J66" s="3">
        <v>45320.566666608793</v>
      </c>
      <c r="K66">
        <f t="shared" si="12"/>
        <v>48.433333333174232</v>
      </c>
      <c r="L66">
        <f t="shared" si="13"/>
        <v>2.0180555555489263</v>
      </c>
      <c r="M66">
        <v>0.3972</v>
      </c>
      <c r="N66">
        <v>7.1900000000000006E-2</v>
      </c>
      <c r="O66">
        <v>10.620917706743199</v>
      </c>
      <c r="P66">
        <v>29.6061676194063</v>
      </c>
      <c r="Q66">
        <f t="shared" si="6"/>
        <v>4.4315372907134343</v>
      </c>
      <c r="R66">
        <f t="shared" si="7"/>
        <v>12.353060202812086</v>
      </c>
      <c r="S66">
        <f t="shared" si="8"/>
        <v>3.0652943439864826</v>
      </c>
      <c r="T66">
        <f t="shared" si="9"/>
        <v>3.8084484605269666</v>
      </c>
      <c r="U66">
        <v>1</v>
      </c>
    </row>
    <row r="67" spans="1:21" x14ac:dyDescent="0.35">
      <c r="A67" t="s">
        <v>560</v>
      </c>
      <c r="B67" t="s">
        <v>217</v>
      </c>
      <c r="C67">
        <v>2</v>
      </c>
      <c r="D67">
        <v>0</v>
      </c>
      <c r="E67">
        <v>2</v>
      </c>
      <c r="F67">
        <v>1</v>
      </c>
      <c r="G67">
        <v>48</v>
      </c>
      <c r="H67">
        <v>2</v>
      </c>
      <c r="I67" s="3">
        <v>45318.551388888889</v>
      </c>
      <c r="J67" s="3">
        <v>45320.573611111111</v>
      </c>
      <c r="K67">
        <f t="shared" si="12"/>
        <v>48.533333333325572</v>
      </c>
      <c r="L67">
        <f t="shared" si="13"/>
        <v>2.0222222222218988</v>
      </c>
      <c r="M67">
        <v>0.43419999999999997</v>
      </c>
      <c r="N67">
        <v>7.5600000000000001E-2</v>
      </c>
      <c r="O67">
        <v>11.7607203214815</v>
      </c>
      <c r="P67">
        <v>46.714172569618498</v>
      </c>
      <c r="Q67">
        <f t="shared" si="6"/>
        <v>4.6669525085244041</v>
      </c>
      <c r="R67">
        <f t="shared" si="7"/>
        <v>18.537370067308927</v>
      </c>
      <c r="S67">
        <f t="shared" si="8"/>
        <v>3.2281310501463301</v>
      </c>
      <c r="T67">
        <f t="shared" si="9"/>
        <v>5.7150711917513428</v>
      </c>
      <c r="U67">
        <v>1</v>
      </c>
    </row>
    <row r="68" spans="1:21" x14ac:dyDescent="0.35">
      <c r="A68" t="s">
        <v>560</v>
      </c>
      <c r="B68" t="s">
        <v>218</v>
      </c>
      <c r="C68">
        <v>2</v>
      </c>
      <c r="D68">
        <v>0</v>
      </c>
      <c r="E68">
        <v>2</v>
      </c>
      <c r="F68">
        <v>2</v>
      </c>
      <c r="G68">
        <v>48</v>
      </c>
      <c r="H68">
        <v>2</v>
      </c>
      <c r="I68" s="3">
        <v>45318.551388888889</v>
      </c>
      <c r="J68" s="3">
        <v>45320.573611111111</v>
      </c>
      <c r="K68">
        <f t="shared" si="12"/>
        <v>48.533333333325572</v>
      </c>
      <c r="L68">
        <f t="shared" si="13"/>
        <v>2.0222222222218988</v>
      </c>
      <c r="M68">
        <v>0.34050000000000002</v>
      </c>
      <c r="N68">
        <v>5.8400000000000001E-2</v>
      </c>
      <c r="O68">
        <v>8.7117022552144494</v>
      </c>
      <c r="P68">
        <v>25.668049505645001</v>
      </c>
      <c r="Q68">
        <f t="shared" si="6"/>
        <v>4.4751895146649572</v>
      </c>
      <c r="R68">
        <f t="shared" si="7"/>
        <v>13.185641869338184</v>
      </c>
      <c r="S68">
        <f t="shared" si="8"/>
        <v>3.095488587293751</v>
      </c>
      <c r="T68">
        <f t="shared" si="9"/>
        <v>4.065133388316962</v>
      </c>
      <c r="U68">
        <v>1</v>
      </c>
    </row>
    <row r="69" spans="1:21" x14ac:dyDescent="0.35">
      <c r="A69" t="s">
        <v>560</v>
      </c>
      <c r="B69" t="s">
        <v>219</v>
      </c>
      <c r="C69">
        <v>2</v>
      </c>
      <c r="D69">
        <v>0</v>
      </c>
      <c r="E69">
        <v>2</v>
      </c>
      <c r="F69">
        <v>3</v>
      </c>
      <c r="G69">
        <v>48</v>
      </c>
      <c r="H69">
        <v>2</v>
      </c>
      <c r="I69" s="3">
        <v>45318.551388888889</v>
      </c>
      <c r="J69" s="3">
        <v>45320.573611053238</v>
      </c>
      <c r="K69">
        <f t="shared" si="12"/>
        <v>48.533331944374368</v>
      </c>
      <c r="L69">
        <f t="shared" si="13"/>
        <v>2.022222164348932</v>
      </c>
      <c r="M69">
        <v>0.48399999999999999</v>
      </c>
      <c r="N69">
        <v>8.3400000000000002E-2</v>
      </c>
      <c r="O69">
        <v>14.469036925293601</v>
      </c>
      <c r="P69">
        <v>43.485654893393999</v>
      </c>
      <c r="Q69">
        <f t="shared" si="6"/>
        <v>5.2046895414725185</v>
      </c>
      <c r="R69">
        <f t="shared" si="7"/>
        <v>15.64232190409856</v>
      </c>
      <c r="S69">
        <f t="shared" si="8"/>
        <v>3.6000837558365411</v>
      </c>
      <c r="T69">
        <f t="shared" si="9"/>
        <v>4.8225278430335861</v>
      </c>
      <c r="U69">
        <v>1</v>
      </c>
    </row>
    <row r="70" spans="1:21" x14ac:dyDescent="0.35">
      <c r="A70" t="s">
        <v>560</v>
      </c>
      <c r="B70" t="s">
        <v>220</v>
      </c>
      <c r="C70">
        <v>2</v>
      </c>
      <c r="D70">
        <v>0</v>
      </c>
      <c r="E70">
        <v>2</v>
      </c>
      <c r="F70">
        <v>4</v>
      </c>
      <c r="G70">
        <v>48</v>
      </c>
      <c r="H70">
        <v>2</v>
      </c>
      <c r="I70" s="3">
        <v>45318.551388888889</v>
      </c>
      <c r="J70" s="3">
        <v>45320.573611053238</v>
      </c>
      <c r="K70">
        <f t="shared" si="12"/>
        <v>48.533331944374368</v>
      </c>
      <c r="L70">
        <f t="shared" si="13"/>
        <v>2.022222164348932</v>
      </c>
      <c r="M70">
        <v>0.42759999999999998</v>
      </c>
      <c r="N70">
        <v>6.9800000000000001E-2</v>
      </c>
      <c r="O70">
        <v>10.677219392219</v>
      </c>
      <c r="P70">
        <v>24.441845973828102</v>
      </c>
      <c r="Q70">
        <f t="shared" si="6"/>
        <v>4.5890627760253579</v>
      </c>
      <c r="R70">
        <f t="shared" si="7"/>
        <v>10.505091392762795</v>
      </c>
      <c r="S70">
        <f t="shared" si="8"/>
        <v>3.1742547221767401</v>
      </c>
      <c r="T70">
        <f t="shared" si="9"/>
        <v>3.23871967638877</v>
      </c>
      <c r="U70">
        <v>1</v>
      </c>
    </row>
    <row r="71" spans="1:21" x14ac:dyDescent="0.35">
      <c r="A71" t="s">
        <v>560</v>
      </c>
      <c r="B71" t="s">
        <v>221</v>
      </c>
      <c r="C71">
        <v>2</v>
      </c>
      <c r="D71">
        <v>0</v>
      </c>
      <c r="E71">
        <v>2</v>
      </c>
      <c r="F71">
        <v>5</v>
      </c>
      <c r="G71">
        <v>48</v>
      </c>
      <c r="H71">
        <v>2</v>
      </c>
      <c r="I71" s="3">
        <v>45318.551388888889</v>
      </c>
      <c r="J71" s="3">
        <v>45320.573611053238</v>
      </c>
      <c r="K71">
        <f t="shared" si="12"/>
        <v>48.533331944374368</v>
      </c>
      <c r="L71">
        <f t="shared" si="13"/>
        <v>2.022222164348932</v>
      </c>
      <c r="M71">
        <v>0.55210000000000004</v>
      </c>
      <c r="N71">
        <v>0.1013</v>
      </c>
      <c r="O71">
        <v>14.660469514208399</v>
      </c>
      <c r="P71">
        <v>47.324757771311702</v>
      </c>
      <c r="Q71">
        <f t="shared" si="6"/>
        <v>4.3416987702492795</v>
      </c>
      <c r="R71">
        <f t="shared" si="7"/>
        <v>14.015229349845519</v>
      </c>
      <c r="S71">
        <f t="shared" si="8"/>
        <v>3.0031530393814267</v>
      </c>
      <c r="T71">
        <f t="shared" si="9"/>
        <v>4.3208952085573742</v>
      </c>
      <c r="U71">
        <v>1</v>
      </c>
    </row>
    <row r="72" spans="1:21" x14ac:dyDescent="0.35">
      <c r="A72" t="s">
        <v>560</v>
      </c>
      <c r="B72" t="s">
        <v>222</v>
      </c>
      <c r="C72">
        <v>2</v>
      </c>
      <c r="D72">
        <v>0</v>
      </c>
      <c r="E72">
        <v>3</v>
      </c>
      <c r="F72">
        <v>1</v>
      </c>
      <c r="G72">
        <v>48</v>
      </c>
      <c r="H72">
        <v>2</v>
      </c>
      <c r="I72" s="3">
        <v>45318.554166666669</v>
      </c>
      <c r="J72" s="3">
        <v>45320.581944444442</v>
      </c>
      <c r="K72">
        <f t="shared" si="12"/>
        <v>48.666666666569654</v>
      </c>
      <c r="L72">
        <f t="shared" si="13"/>
        <v>2.0277777777737356</v>
      </c>
      <c r="M72">
        <v>0.50319999999999998</v>
      </c>
      <c r="N72">
        <v>8.2400000000000001E-2</v>
      </c>
      <c r="O72">
        <v>11.896010278512</v>
      </c>
      <c r="P72">
        <v>38.337153229936</v>
      </c>
      <c r="Q72">
        <f t="shared" si="6"/>
        <v>4.3310717033417472</v>
      </c>
      <c r="R72">
        <f t="shared" si="7"/>
        <v>13.957701418666018</v>
      </c>
      <c r="S72">
        <f t="shared" si="8"/>
        <v>2.9958022972014864</v>
      </c>
      <c r="T72">
        <f t="shared" si="9"/>
        <v>4.3031593473747334</v>
      </c>
      <c r="U72">
        <v>1</v>
      </c>
    </row>
    <row r="73" spans="1:21" x14ac:dyDescent="0.35">
      <c r="A73" t="s">
        <v>560</v>
      </c>
      <c r="B73" t="s">
        <v>223</v>
      </c>
      <c r="C73">
        <v>2</v>
      </c>
      <c r="D73">
        <v>0</v>
      </c>
      <c r="E73">
        <v>3</v>
      </c>
      <c r="F73">
        <v>2</v>
      </c>
      <c r="G73">
        <v>48</v>
      </c>
      <c r="H73">
        <v>2</v>
      </c>
      <c r="I73" s="3">
        <v>45318.554166666669</v>
      </c>
      <c r="J73" s="3">
        <v>45320.581944444442</v>
      </c>
      <c r="K73">
        <f t="shared" si="12"/>
        <v>48.666666666569654</v>
      </c>
      <c r="L73">
        <f t="shared" si="13"/>
        <v>2.0277777777737356</v>
      </c>
      <c r="M73">
        <v>0.33739999999999998</v>
      </c>
      <c r="N73">
        <v>6.0600000000000001E-2</v>
      </c>
      <c r="O73">
        <v>11.499782172671599</v>
      </c>
      <c r="P73">
        <v>31.223801551660799</v>
      </c>
      <c r="Q73">
        <f t="shared" si="6"/>
        <v>5.6929614716196042</v>
      </c>
      <c r="R73">
        <f t="shared" si="7"/>
        <v>15.457327500822176</v>
      </c>
      <c r="S73">
        <f t="shared" si="8"/>
        <v>3.9378214499192801</v>
      </c>
      <c r="T73">
        <f t="shared" si="9"/>
        <v>4.765494068503477</v>
      </c>
      <c r="U73">
        <v>1</v>
      </c>
    </row>
    <row r="74" spans="1:21" x14ac:dyDescent="0.35">
      <c r="A74" t="s">
        <v>560</v>
      </c>
      <c r="B74" t="s">
        <v>224</v>
      </c>
      <c r="C74">
        <v>2</v>
      </c>
      <c r="D74">
        <v>0</v>
      </c>
      <c r="E74">
        <v>3</v>
      </c>
      <c r="F74">
        <v>3</v>
      </c>
      <c r="G74">
        <v>48</v>
      </c>
      <c r="H74">
        <v>2</v>
      </c>
      <c r="I74" s="3">
        <v>45318.554166666669</v>
      </c>
      <c r="J74" s="3">
        <v>45320.581944386577</v>
      </c>
      <c r="K74">
        <f t="shared" si="12"/>
        <v>48.666665277793072</v>
      </c>
      <c r="L74">
        <f t="shared" si="13"/>
        <v>2.0277777199080447</v>
      </c>
      <c r="M74">
        <v>0.48870000000000002</v>
      </c>
      <c r="N74">
        <v>8.5199999999999998E-2</v>
      </c>
      <c r="O74">
        <v>13.753072047858801</v>
      </c>
      <c r="P74">
        <v>34.675049593278601</v>
      </c>
      <c r="Q74">
        <f t="shared" si="6"/>
        <v>4.8426310027671828</v>
      </c>
      <c r="R74">
        <f t="shared" si="7"/>
        <v>12.209524504675565</v>
      </c>
      <c r="S74">
        <f t="shared" si="8"/>
        <v>3.3496478646140604</v>
      </c>
      <c r="T74">
        <f t="shared" si="9"/>
        <v>3.7641964047914769</v>
      </c>
      <c r="U74">
        <v>1</v>
      </c>
    </row>
    <row r="75" spans="1:21" x14ac:dyDescent="0.35">
      <c r="A75" t="s">
        <v>560</v>
      </c>
      <c r="B75" t="s">
        <v>225</v>
      </c>
      <c r="C75">
        <v>2</v>
      </c>
      <c r="D75">
        <v>0</v>
      </c>
      <c r="E75">
        <v>3</v>
      </c>
      <c r="F75">
        <v>4</v>
      </c>
      <c r="G75">
        <v>48</v>
      </c>
      <c r="H75">
        <v>2</v>
      </c>
      <c r="I75" s="3">
        <v>45318.554166666669</v>
      </c>
      <c r="J75" s="3">
        <v>45320.581944386577</v>
      </c>
      <c r="K75">
        <f t="shared" si="12"/>
        <v>48.666665277793072</v>
      </c>
      <c r="L75">
        <f t="shared" si="13"/>
        <v>2.0277777199080447</v>
      </c>
      <c r="M75">
        <v>0.38009999999999999</v>
      </c>
      <c r="N75">
        <v>6.7299999999999999E-2</v>
      </c>
      <c r="O75">
        <v>10.2125067917931</v>
      </c>
      <c r="P75">
        <v>35.087465452942197</v>
      </c>
      <c r="Q75">
        <f t="shared" si="6"/>
        <v>4.5523804421068803</v>
      </c>
      <c r="R75">
        <f t="shared" si="7"/>
        <v>15.640772118696374</v>
      </c>
      <c r="S75">
        <f t="shared" si="8"/>
        <v>3.1488815518053288</v>
      </c>
      <c r="T75">
        <f t="shared" si="9"/>
        <v>4.8220500441940919</v>
      </c>
      <c r="U75">
        <v>1</v>
      </c>
    </row>
    <row r="76" spans="1:21" x14ac:dyDescent="0.35">
      <c r="A76" t="s">
        <v>560</v>
      </c>
      <c r="B76" t="s">
        <v>226</v>
      </c>
      <c r="C76">
        <v>2</v>
      </c>
      <c r="D76">
        <v>0</v>
      </c>
      <c r="E76">
        <v>3</v>
      </c>
      <c r="F76">
        <v>5</v>
      </c>
      <c r="G76">
        <v>48</v>
      </c>
      <c r="H76">
        <v>2</v>
      </c>
      <c r="I76" s="3">
        <v>45318.554166666669</v>
      </c>
      <c r="J76" s="3">
        <v>45320.581944386577</v>
      </c>
      <c r="K76">
        <f t="shared" si="12"/>
        <v>48.666665277793072</v>
      </c>
      <c r="L76">
        <f t="shared" si="13"/>
        <v>2.0277777199080447</v>
      </c>
      <c r="M76">
        <v>0.42720000000000002</v>
      </c>
      <c r="N76">
        <v>6.9900000000000004E-2</v>
      </c>
      <c r="O76">
        <v>10.817243305499799</v>
      </c>
      <c r="P76">
        <v>34.284015642365603</v>
      </c>
      <c r="Q76">
        <f t="shared" si="6"/>
        <v>4.6425936933475525</v>
      </c>
      <c r="R76">
        <f t="shared" si="7"/>
        <v>14.714169803590389</v>
      </c>
      <c r="S76">
        <f t="shared" si="8"/>
        <v>3.2112820576885022</v>
      </c>
      <c r="T76">
        <f t="shared" si="9"/>
        <v>4.5363785504469174</v>
      </c>
      <c r="U76">
        <v>1</v>
      </c>
    </row>
    <row r="77" spans="1:21" x14ac:dyDescent="0.35">
      <c r="A77" t="s">
        <v>560</v>
      </c>
      <c r="B77" t="s">
        <v>227</v>
      </c>
      <c r="C77">
        <v>2</v>
      </c>
      <c r="D77">
        <v>400</v>
      </c>
      <c r="E77">
        <v>1</v>
      </c>
      <c r="F77">
        <v>1</v>
      </c>
      <c r="G77">
        <v>48</v>
      </c>
      <c r="H77">
        <v>2</v>
      </c>
      <c r="I77" s="3">
        <v>45318.556944444441</v>
      </c>
      <c r="J77" s="3">
        <v>45320.584722222222</v>
      </c>
      <c r="K77">
        <f t="shared" si="12"/>
        <v>48.666666666744277</v>
      </c>
      <c r="L77">
        <f t="shared" si="13"/>
        <v>2.0277777777810115</v>
      </c>
      <c r="M77">
        <v>0.45469999999999999</v>
      </c>
      <c r="N77">
        <v>7.5700000000000003E-2</v>
      </c>
      <c r="O77">
        <v>57.493299402683</v>
      </c>
      <c r="P77">
        <v>73.577464900144804</v>
      </c>
      <c r="Q77">
        <f t="shared" si="6"/>
        <v>22.784662907271994</v>
      </c>
      <c r="R77">
        <f t="shared" si="7"/>
        <v>29.15883681643783</v>
      </c>
      <c r="S77">
        <f t="shared" si="8"/>
        <v>15.760151332960037</v>
      </c>
      <c r="T77">
        <f t="shared" si="9"/>
        <v>8.9896693905077836</v>
      </c>
      <c r="U77">
        <v>1</v>
      </c>
    </row>
    <row r="78" spans="1:21" x14ac:dyDescent="0.35">
      <c r="A78" t="s">
        <v>560</v>
      </c>
      <c r="B78" t="s">
        <v>228</v>
      </c>
      <c r="C78">
        <v>2</v>
      </c>
      <c r="D78">
        <v>400</v>
      </c>
      <c r="E78">
        <v>1</v>
      </c>
      <c r="F78">
        <v>2</v>
      </c>
      <c r="G78">
        <v>48</v>
      </c>
      <c r="H78">
        <v>2</v>
      </c>
      <c r="I78" s="3">
        <v>45318.556944444441</v>
      </c>
      <c r="J78" s="3">
        <v>45320.584722222222</v>
      </c>
      <c r="K78">
        <f t="shared" si="12"/>
        <v>48.666666666744277</v>
      </c>
      <c r="L78">
        <f t="shared" si="13"/>
        <v>2.0277777777810115</v>
      </c>
      <c r="M78">
        <v>0.53449999999999998</v>
      </c>
      <c r="N78">
        <v>8.3699999999999997E-2</v>
      </c>
      <c r="O78">
        <v>49.313895908051798</v>
      </c>
      <c r="P78">
        <v>65.497822560842593</v>
      </c>
      <c r="Q78">
        <f t="shared" si="6"/>
        <v>17.675231508262293</v>
      </c>
      <c r="R78">
        <f t="shared" si="7"/>
        <v>23.475922064818135</v>
      </c>
      <c r="S78">
        <f t="shared" si="8"/>
        <v>12.225957634265027</v>
      </c>
      <c r="T78">
        <f t="shared" si="9"/>
        <v>7.2376267725834316</v>
      </c>
      <c r="U78">
        <v>1</v>
      </c>
    </row>
    <row r="79" spans="1:21" x14ac:dyDescent="0.35">
      <c r="A79" t="s">
        <v>560</v>
      </c>
      <c r="B79" t="s">
        <v>229</v>
      </c>
      <c r="C79">
        <v>2</v>
      </c>
      <c r="D79">
        <v>400</v>
      </c>
      <c r="E79">
        <v>1</v>
      </c>
      <c r="F79">
        <v>3</v>
      </c>
      <c r="G79">
        <v>48</v>
      </c>
      <c r="H79">
        <v>2</v>
      </c>
      <c r="I79" s="3">
        <v>45318.556944386575</v>
      </c>
      <c r="J79" s="3">
        <v>45320.584722164349</v>
      </c>
      <c r="K79">
        <f t="shared" si="12"/>
        <v>48.666666666569654</v>
      </c>
      <c r="L79">
        <f t="shared" si="13"/>
        <v>2.0277777777737356</v>
      </c>
      <c r="M79">
        <v>0.43419999999999997</v>
      </c>
      <c r="N79">
        <v>7.9399999999999998E-2</v>
      </c>
      <c r="O79">
        <v>26.039420026806098</v>
      </c>
      <c r="P79">
        <v>40.161788789203598</v>
      </c>
      <c r="Q79">
        <f t="shared" si="6"/>
        <v>9.8385717985413468</v>
      </c>
      <c r="R79">
        <f t="shared" si="7"/>
        <v>15.17447939138675</v>
      </c>
      <c r="S79">
        <f t="shared" si="8"/>
        <v>6.8053401130510496</v>
      </c>
      <c r="T79">
        <f t="shared" si="9"/>
        <v>4.6782919963645355</v>
      </c>
      <c r="U79">
        <v>1</v>
      </c>
    </row>
    <row r="80" spans="1:21" x14ac:dyDescent="0.35">
      <c r="A80" t="s">
        <v>560</v>
      </c>
      <c r="B80" t="s">
        <v>230</v>
      </c>
      <c r="C80">
        <v>2</v>
      </c>
      <c r="D80">
        <v>400</v>
      </c>
      <c r="E80">
        <v>1</v>
      </c>
      <c r="F80">
        <v>4</v>
      </c>
      <c r="G80">
        <v>48</v>
      </c>
      <c r="H80">
        <v>2</v>
      </c>
      <c r="I80" s="3">
        <v>45318.556944386575</v>
      </c>
      <c r="J80" s="3">
        <v>45320.584722164349</v>
      </c>
      <c r="K80">
        <f t="shared" si="12"/>
        <v>48.666666666569654</v>
      </c>
      <c r="L80">
        <f t="shared" si="13"/>
        <v>2.0277777777737356</v>
      </c>
      <c r="M80">
        <v>0.4506</v>
      </c>
      <c r="N80">
        <v>7.2599999999999998E-2</v>
      </c>
      <c r="O80">
        <v>22.720751453362499</v>
      </c>
      <c r="P80">
        <v>40.284947821230901</v>
      </c>
      <c r="Q80">
        <f t="shared" si="6"/>
        <v>9.3887402699845044</v>
      </c>
      <c r="R80">
        <f t="shared" si="7"/>
        <v>16.6466726534012</v>
      </c>
      <c r="S80">
        <f t="shared" si="8"/>
        <v>6.4941916447482813</v>
      </c>
      <c r="T80">
        <f t="shared" si="9"/>
        <v>5.1321691790435908</v>
      </c>
      <c r="U80">
        <v>1</v>
      </c>
    </row>
    <row r="81" spans="1:21" x14ac:dyDescent="0.35">
      <c r="A81" t="s">
        <v>560</v>
      </c>
      <c r="B81" t="s">
        <v>231</v>
      </c>
      <c r="C81">
        <v>2</v>
      </c>
      <c r="D81">
        <v>400</v>
      </c>
      <c r="E81">
        <v>1</v>
      </c>
      <c r="F81">
        <v>5</v>
      </c>
      <c r="G81">
        <v>48</v>
      </c>
      <c r="H81">
        <v>2</v>
      </c>
      <c r="I81" s="3">
        <v>45318.556944386575</v>
      </c>
      <c r="J81" s="3">
        <v>45320.584722164349</v>
      </c>
      <c r="K81">
        <f t="shared" si="12"/>
        <v>48.666666666569654</v>
      </c>
      <c r="L81">
        <f t="shared" si="13"/>
        <v>2.0277777777737356</v>
      </c>
      <c r="M81">
        <v>0.45929999999999999</v>
      </c>
      <c r="N81">
        <v>8.3599999999999994E-2</v>
      </c>
      <c r="O81">
        <v>31.5159938302215</v>
      </c>
      <c r="P81">
        <v>46.102355494119898</v>
      </c>
      <c r="Q81">
        <f t="shared" si="6"/>
        <v>11.309567163955085</v>
      </c>
      <c r="R81">
        <f t="shared" si="7"/>
        <v>16.54390747396647</v>
      </c>
      <c r="S81">
        <f t="shared" si="8"/>
        <v>7.8228276073077323</v>
      </c>
      <c r="T81">
        <f t="shared" si="9"/>
        <v>5.1004866742238635</v>
      </c>
      <c r="U81">
        <v>1</v>
      </c>
    </row>
    <row r="82" spans="1:21" x14ac:dyDescent="0.35">
      <c r="A82" t="s">
        <v>560</v>
      </c>
      <c r="B82" t="s">
        <v>232</v>
      </c>
      <c r="C82">
        <v>2</v>
      </c>
      <c r="D82">
        <v>400</v>
      </c>
      <c r="E82">
        <v>2</v>
      </c>
      <c r="F82">
        <v>1</v>
      </c>
      <c r="G82">
        <v>48</v>
      </c>
      <c r="H82">
        <v>2</v>
      </c>
      <c r="I82" s="3">
        <v>45318.55972222222</v>
      </c>
      <c r="J82" s="3">
        <v>45320.591666666667</v>
      </c>
      <c r="K82">
        <f t="shared" si="12"/>
        <v>48.766666666720994</v>
      </c>
      <c r="L82">
        <f t="shared" si="13"/>
        <v>2.0319444444467081</v>
      </c>
      <c r="M82">
        <v>0.54830000000000001</v>
      </c>
      <c r="N82">
        <v>0.1038</v>
      </c>
      <c r="O82">
        <v>50.259466176776698</v>
      </c>
      <c r="P82">
        <v>65.327566408722802</v>
      </c>
      <c r="Q82">
        <f t="shared" si="6"/>
        <v>14.525857276525057</v>
      </c>
      <c r="R82">
        <f t="shared" si="7"/>
        <v>18.880799540093296</v>
      </c>
      <c r="S82">
        <f t="shared" si="8"/>
        <v>10.047535478172382</v>
      </c>
      <c r="T82">
        <f t="shared" si="9"/>
        <v>5.8209504982107632</v>
      </c>
      <c r="U82">
        <v>1</v>
      </c>
    </row>
    <row r="83" spans="1:21" x14ac:dyDescent="0.35">
      <c r="A83" t="s">
        <v>560</v>
      </c>
      <c r="B83" t="s">
        <v>233</v>
      </c>
      <c r="C83">
        <v>2</v>
      </c>
      <c r="D83">
        <v>400</v>
      </c>
      <c r="E83">
        <v>2</v>
      </c>
      <c r="F83">
        <v>2</v>
      </c>
      <c r="G83">
        <v>48</v>
      </c>
      <c r="H83">
        <v>2</v>
      </c>
      <c r="I83" s="3">
        <v>45318.55972222222</v>
      </c>
      <c r="J83" s="3">
        <v>45320.591666666667</v>
      </c>
      <c r="K83">
        <f t="shared" si="12"/>
        <v>48.766666666720994</v>
      </c>
      <c r="L83">
        <f t="shared" si="13"/>
        <v>2.0319444444467081</v>
      </c>
      <c r="M83">
        <v>0.58589999999999998</v>
      </c>
      <c r="N83">
        <v>0.1019</v>
      </c>
      <c r="O83">
        <v>25.384962578056602</v>
      </c>
      <c r="P83">
        <v>37.704570807870702</v>
      </c>
      <c r="Q83">
        <f t="shared" si="6"/>
        <v>7.4734924174847697</v>
      </c>
      <c r="R83">
        <f t="shared" si="7"/>
        <v>11.100462455702855</v>
      </c>
      <c r="S83">
        <f t="shared" si="8"/>
        <v>5.1694147051742148</v>
      </c>
      <c r="T83">
        <f t="shared" si="9"/>
        <v>3.4222725750931904</v>
      </c>
      <c r="U83">
        <v>1</v>
      </c>
    </row>
    <row r="84" spans="1:21" x14ac:dyDescent="0.35">
      <c r="A84" t="s">
        <v>560</v>
      </c>
      <c r="B84" t="s">
        <v>234</v>
      </c>
      <c r="C84">
        <v>2</v>
      </c>
      <c r="D84">
        <v>400</v>
      </c>
      <c r="E84">
        <v>2</v>
      </c>
      <c r="F84">
        <v>3</v>
      </c>
      <c r="G84">
        <v>48</v>
      </c>
      <c r="H84">
        <v>2</v>
      </c>
      <c r="I84" s="3">
        <v>45318.559722164355</v>
      </c>
      <c r="J84" s="3">
        <v>45320.591666666667</v>
      </c>
      <c r="K84">
        <f t="shared" si="12"/>
        <v>48.766668055497576</v>
      </c>
      <c r="L84">
        <f t="shared" si="13"/>
        <v>2.031944502312399</v>
      </c>
      <c r="M84">
        <v>0.41470000000000001</v>
      </c>
      <c r="N84" s="1">
        <v>7.5999999999999998E-2</v>
      </c>
      <c r="O84">
        <v>22.391561026356801</v>
      </c>
      <c r="P84">
        <v>34.052089504849299</v>
      </c>
      <c r="Q84">
        <f t="shared" ref="Q84:Q147" si="14">O84*30/1000/N84</f>
        <v>8.8387740893513698</v>
      </c>
      <c r="R84">
        <f t="shared" ref="R84:R147" si="15">P84*30/1000/N84</f>
        <v>13.441614278229988</v>
      </c>
      <c r="S84">
        <f t="shared" si="8"/>
        <v>6.1137800376043421</v>
      </c>
      <c r="T84">
        <f t="shared" si="9"/>
        <v>4.1440496819783057</v>
      </c>
      <c r="U84">
        <v>1</v>
      </c>
    </row>
    <row r="85" spans="1:21" x14ac:dyDescent="0.35">
      <c r="A85" t="s">
        <v>560</v>
      </c>
      <c r="B85" t="s">
        <v>235</v>
      </c>
      <c r="C85">
        <v>2</v>
      </c>
      <c r="D85">
        <v>400</v>
      </c>
      <c r="E85">
        <v>2</v>
      </c>
      <c r="F85">
        <v>4</v>
      </c>
      <c r="G85">
        <v>48</v>
      </c>
      <c r="H85">
        <v>2</v>
      </c>
      <c r="I85" s="3">
        <v>45318.559722164355</v>
      </c>
      <c r="J85" s="3">
        <v>45320.591666666667</v>
      </c>
      <c r="K85">
        <f t="shared" si="12"/>
        <v>48.766668055497576</v>
      </c>
      <c r="L85">
        <f t="shared" si="13"/>
        <v>2.031944502312399</v>
      </c>
      <c r="M85">
        <v>0.51170000000000004</v>
      </c>
      <c r="N85">
        <v>8.2500000000000004E-2</v>
      </c>
      <c r="O85">
        <v>37.212041175736097</v>
      </c>
      <c r="P85">
        <v>55.843777326573203</v>
      </c>
      <c r="Q85">
        <f t="shared" si="14"/>
        <v>13.531651336631306</v>
      </c>
      <c r="R85">
        <f t="shared" si="15"/>
        <v>20.306828118753891</v>
      </c>
      <c r="S85">
        <f t="shared" ref="S85:S148" si="16">Q85*0.6917</f>
        <v>9.3598432295478737</v>
      </c>
      <c r="T85">
        <f t="shared" ref="T85:T148" si="17">R85*0.3083</f>
        <v>6.2605951090118248</v>
      </c>
      <c r="U85">
        <v>1</v>
      </c>
    </row>
    <row r="86" spans="1:21" x14ac:dyDescent="0.35">
      <c r="A86" t="s">
        <v>560</v>
      </c>
      <c r="B86" t="s">
        <v>236</v>
      </c>
      <c r="C86">
        <v>2</v>
      </c>
      <c r="D86">
        <v>400</v>
      </c>
      <c r="E86">
        <v>2</v>
      </c>
      <c r="F86">
        <v>5</v>
      </c>
      <c r="G86">
        <v>48</v>
      </c>
      <c r="H86">
        <v>2</v>
      </c>
      <c r="I86" s="3">
        <v>45318.559722164355</v>
      </c>
      <c r="J86" s="3">
        <v>45320.591666666667</v>
      </c>
      <c r="K86">
        <f t="shared" si="12"/>
        <v>48.766668055497576</v>
      </c>
      <c r="L86">
        <f t="shared" si="13"/>
        <v>2.031944502312399</v>
      </c>
      <c r="M86">
        <v>0.3513</v>
      </c>
      <c r="N86">
        <v>5.6800000000000003E-2</v>
      </c>
      <c r="O86">
        <v>24.836103209972901</v>
      </c>
      <c r="P86">
        <v>36.231793785390401</v>
      </c>
      <c r="Q86">
        <f t="shared" si="14"/>
        <v>13.117660146112447</v>
      </c>
      <c r="R86">
        <f t="shared" si="15"/>
        <v>19.136510802142816</v>
      </c>
      <c r="S86">
        <f t="shared" si="16"/>
        <v>9.0734855230659797</v>
      </c>
      <c r="T86">
        <f t="shared" si="17"/>
        <v>5.8997862803006305</v>
      </c>
      <c r="U86">
        <v>1</v>
      </c>
    </row>
    <row r="87" spans="1:21" x14ac:dyDescent="0.35">
      <c r="A87" t="s">
        <v>560</v>
      </c>
      <c r="B87" t="s">
        <v>237</v>
      </c>
      <c r="C87">
        <v>2</v>
      </c>
      <c r="D87">
        <v>400</v>
      </c>
      <c r="E87">
        <v>3</v>
      </c>
      <c r="F87">
        <v>1</v>
      </c>
      <c r="G87">
        <v>48</v>
      </c>
      <c r="H87">
        <v>2</v>
      </c>
      <c r="I87" s="3">
        <v>45318.5625</v>
      </c>
      <c r="J87" s="3">
        <v>45320.601388888892</v>
      </c>
      <c r="K87">
        <f t="shared" si="12"/>
        <v>48.933333333407063</v>
      </c>
      <c r="L87">
        <f t="shared" si="13"/>
        <v>2.038888888891961</v>
      </c>
      <c r="M87">
        <v>0.63390000000000002</v>
      </c>
      <c r="N87">
        <v>0.10440000000000001</v>
      </c>
      <c r="O87">
        <v>46.8243807456995</v>
      </c>
      <c r="P87">
        <v>73.240854641609303</v>
      </c>
      <c r="Q87">
        <f t="shared" si="14"/>
        <v>13.455281823476867</v>
      </c>
      <c r="R87">
        <f t="shared" si="15"/>
        <v>21.046222598163592</v>
      </c>
      <c r="S87">
        <f t="shared" si="16"/>
        <v>9.3070184372989484</v>
      </c>
      <c r="T87">
        <f t="shared" si="17"/>
        <v>6.4885504270138359</v>
      </c>
      <c r="U87">
        <v>1</v>
      </c>
    </row>
    <row r="88" spans="1:21" x14ac:dyDescent="0.35">
      <c r="A88" t="s">
        <v>560</v>
      </c>
      <c r="B88" t="s">
        <v>238</v>
      </c>
      <c r="C88">
        <v>2</v>
      </c>
      <c r="D88">
        <v>400</v>
      </c>
      <c r="E88">
        <v>3</v>
      </c>
      <c r="F88">
        <v>2</v>
      </c>
      <c r="G88">
        <v>48</v>
      </c>
      <c r="H88">
        <v>2</v>
      </c>
      <c r="I88" s="3">
        <v>45318.5625</v>
      </c>
      <c r="J88" s="3">
        <v>45320.601388888892</v>
      </c>
      <c r="K88">
        <f t="shared" si="12"/>
        <v>48.933333333407063</v>
      </c>
      <c r="L88">
        <f t="shared" si="13"/>
        <v>2.038888888891961</v>
      </c>
      <c r="M88">
        <v>0.55469999999999997</v>
      </c>
      <c r="N88">
        <v>9.6799999999999997E-2</v>
      </c>
      <c r="O88">
        <v>27.9359438207109</v>
      </c>
      <c r="P88">
        <v>52.961591162893299</v>
      </c>
      <c r="Q88">
        <f t="shared" si="14"/>
        <v>8.6578338287327163</v>
      </c>
      <c r="R88">
        <f t="shared" si="15"/>
        <v>16.413716269491726</v>
      </c>
      <c r="S88">
        <f t="shared" si="16"/>
        <v>5.9886236593344195</v>
      </c>
      <c r="T88">
        <f t="shared" si="17"/>
        <v>5.0603487258842996</v>
      </c>
      <c r="U88">
        <v>1</v>
      </c>
    </row>
    <row r="89" spans="1:21" x14ac:dyDescent="0.35">
      <c r="A89" t="s">
        <v>560</v>
      </c>
      <c r="B89" t="s">
        <v>239</v>
      </c>
      <c r="C89">
        <v>2</v>
      </c>
      <c r="D89">
        <v>400</v>
      </c>
      <c r="E89">
        <v>3</v>
      </c>
      <c r="F89">
        <v>3</v>
      </c>
      <c r="G89">
        <v>48</v>
      </c>
      <c r="H89">
        <v>2</v>
      </c>
      <c r="I89" s="3">
        <v>45318.5625</v>
      </c>
      <c r="J89" s="3">
        <v>45320.601388888892</v>
      </c>
      <c r="K89">
        <f t="shared" si="12"/>
        <v>48.933333333407063</v>
      </c>
      <c r="L89">
        <f t="shared" si="13"/>
        <v>2.038888888891961</v>
      </c>
      <c r="M89">
        <v>0.42249999999999999</v>
      </c>
      <c r="N89">
        <v>7.1300000000000002E-2</v>
      </c>
      <c r="O89">
        <v>23.566573792634301</v>
      </c>
      <c r="P89">
        <v>40.938689259413799</v>
      </c>
      <c r="Q89">
        <f t="shared" si="14"/>
        <v>9.9158094499162548</v>
      </c>
      <c r="R89">
        <f t="shared" si="15"/>
        <v>17.225254947859945</v>
      </c>
      <c r="S89">
        <f t="shared" si="16"/>
        <v>6.8587653965070734</v>
      </c>
      <c r="T89">
        <f t="shared" si="17"/>
        <v>5.3105461004252215</v>
      </c>
      <c r="U89">
        <v>1</v>
      </c>
    </row>
    <row r="90" spans="1:21" x14ac:dyDescent="0.35">
      <c r="A90" t="s">
        <v>560</v>
      </c>
      <c r="B90" t="s">
        <v>240</v>
      </c>
      <c r="C90">
        <v>2</v>
      </c>
      <c r="D90">
        <v>400</v>
      </c>
      <c r="E90">
        <v>3</v>
      </c>
      <c r="F90">
        <v>4</v>
      </c>
      <c r="G90">
        <v>48</v>
      </c>
      <c r="H90">
        <v>2</v>
      </c>
      <c r="I90" s="3">
        <v>45318.5625</v>
      </c>
      <c r="J90" s="3">
        <v>45320.601388888892</v>
      </c>
      <c r="K90">
        <f t="shared" si="12"/>
        <v>48.933333333407063</v>
      </c>
      <c r="L90">
        <f t="shared" si="13"/>
        <v>2.038888888891961</v>
      </c>
      <c r="M90">
        <v>0.43</v>
      </c>
      <c r="N90">
        <v>8.2500000000000004E-2</v>
      </c>
      <c r="O90">
        <v>19.7707935284879</v>
      </c>
      <c r="P90">
        <v>31.245415202019799</v>
      </c>
      <c r="Q90">
        <f t="shared" si="14"/>
        <v>7.1893794649046905</v>
      </c>
      <c r="R90">
        <f t="shared" si="15"/>
        <v>11.361969164370835</v>
      </c>
      <c r="S90">
        <f t="shared" si="16"/>
        <v>4.9728937758745744</v>
      </c>
      <c r="T90">
        <f t="shared" si="17"/>
        <v>3.5028950933755287</v>
      </c>
      <c r="U90">
        <v>1</v>
      </c>
    </row>
    <row r="91" spans="1:21" x14ac:dyDescent="0.35">
      <c r="A91" t="s">
        <v>560</v>
      </c>
      <c r="B91" t="s">
        <v>241</v>
      </c>
      <c r="C91">
        <v>2</v>
      </c>
      <c r="D91">
        <v>400</v>
      </c>
      <c r="E91">
        <v>3</v>
      </c>
      <c r="F91">
        <v>5</v>
      </c>
      <c r="G91">
        <v>48</v>
      </c>
      <c r="H91">
        <v>2</v>
      </c>
      <c r="I91" s="3">
        <v>45318.5625</v>
      </c>
      <c r="J91" s="3">
        <v>45320.601388888892</v>
      </c>
      <c r="K91">
        <f t="shared" si="12"/>
        <v>48.933333333407063</v>
      </c>
      <c r="L91">
        <f t="shared" si="13"/>
        <v>2.038888888891961</v>
      </c>
      <c r="M91">
        <v>0.4627</v>
      </c>
      <c r="N91">
        <v>8.0699999999999994E-2</v>
      </c>
      <c r="O91">
        <v>26.153328842265001</v>
      </c>
      <c r="P91">
        <v>43.758013525761903</v>
      </c>
      <c r="Q91">
        <f t="shared" si="14"/>
        <v>9.7224270789089235</v>
      </c>
      <c r="R91">
        <f t="shared" si="15"/>
        <v>16.266919526305543</v>
      </c>
      <c r="S91">
        <f t="shared" si="16"/>
        <v>6.7250028104813024</v>
      </c>
      <c r="T91">
        <f t="shared" si="17"/>
        <v>5.0150912899599991</v>
      </c>
      <c r="U91">
        <v>1</v>
      </c>
    </row>
    <row r="92" spans="1:21" x14ac:dyDescent="0.35">
      <c r="A92" t="s">
        <v>560</v>
      </c>
      <c r="B92" t="s">
        <v>242</v>
      </c>
      <c r="C92">
        <v>2</v>
      </c>
      <c r="D92">
        <v>800</v>
      </c>
      <c r="E92">
        <v>1</v>
      </c>
      <c r="F92">
        <v>1</v>
      </c>
      <c r="G92">
        <v>48</v>
      </c>
      <c r="H92">
        <v>2</v>
      </c>
      <c r="I92" s="3">
        <v>45318.56527777778</v>
      </c>
      <c r="J92" s="3">
        <v>45320.603472222225</v>
      </c>
      <c r="K92">
        <f t="shared" si="12"/>
        <v>48.916666666686069</v>
      </c>
      <c r="L92">
        <f t="shared" si="13"/>
        <v>2.0381944444452529</v>
      </c>
      <c r="M92">
        <v>0.36709999999999998</v>
      </c>
      <c r="N92">
        <v>6.7199999999999996E-2</v>
      </c>
      <c r="O92">
        <v>47.850142379852102</v>
      </c>
      <c r="P92">
        <v>65.789497005362193</v>
      </c>
      <c r="Q92">
        <f t="shared" si="14"/>
        <v>21.361670705291122</v>
      </c>
      <c r="R92">
        <f t="shared" si="15"/>
        <v>29.370311163108127</v>
      </c>
      <c r="S92">
        <f t="shared" si="16"/>
        <v>14.775867626849868</v>
      </c>
      <c r="T92">
        <f t="shared" si="17"/>
        <v>9.0548669315862362</v>
      </c>
      <c r="U92">
        <v>1</v>
      </c>
    </row>
    <row r="93" spans="1:21" x14ac:dyDescent="0.35">
      <c r="A93" t="s">
        <v>560</v>
      </c>
      <c r="B93" t="s">
        <v>243</v>
      </c>
      <c r="C93">
        <v>2</v>
      </c>
      <c r="D93">
        <v>800</v>
      </c>
      <c r="E93">
        <v>1</v>
      </c>
      <c r="F93">
        <v>2</v>
      </c>
      <c r="G93">
        <v>48</v>
      </c>
      <c r="H93">
        <v>2</v>
      </c>
      <c r="I93" s="3">
        <v>45318.56527777778</v>
      </c>
      <c r="J93" s="3">
        <v>45320.603472222225</v>
      </c>
      <c r="K93">
        <f t="shared" si="12"/>
        <v>48.916666666686069</v>
      </c>
      <c r="L93">
        <f t="shared" si="13"/>
        <v>2.0381944444452529</v>
      </c>
      <c r="M93">
        <v>0.63370000000000004</v>
      </c>
      <c r="N93" s="1">
        <v>0.11799999999999999</v>
      </c>
      <c r="O93">
        <v>101.611571336924</v>
      </c>
      <c r="P93">
        <v>120.911666758092</v>
      </c>
      <c r="Q93">
        <f t="shared" si="14"/>
        <v>25.833450339895933</v>
      </c>
      <c r="R93">
        <f t="shared" si="15"/>
        <v>30.740254260531866</v>
      </c>
      <c r="S93">
        <f t="shared" si="16"/>
        <v>17.868997600106017</v>
      </c>
      <c r="T93">
        <f t="shared" si="17"/>
        <v>9.4772203885219746</v>
      </c>
      <c r="U93">
        <v>1</v>
      </c>
    </row>
    <row r="94" spans="1:21" x14ac:dyDescent="0.35">
      <c r="A94" t="s">
        <v>560</v>
      </c>
      <c r="B94" t="s">
        <v>244</v>
      </c>
      <c r="C94">
        <v>2</v>
      </c>
      <c r="D94">
        <v>800</v>
      </c>
      <c r="E94">
        <v>1</v>
      </c>
      <c r="F94">
        <v>3</v>
      </c>
      <c r="G94">
        <v>48</v>
      </c>
      <c r="H94">
        <v>2</v>
      </c>
      <c r="I94" s="3">
        <v>45318.56527777778</v>
      </c>
      <c r="J94" s="3">
        <v>45320.603472222225</v>
      </c>
      <c r="K94">
        <f t="shared" si="12"/>
        <v>48.916666666686069</v>
      </c>
      <c r="L94">
        <f t="shared" si="13"/>
        <v>2.0381944444452529</v>
      </c>
      <c r="M94">
        <v>0.60950000000000004</v>
      </c>
      <c r="N94">
        <v>0.1082</v>
      </c>
      <c r="O94">
        <v>118.190799481447</v>
      </c>
      <c r="P94">
        <v>139.683590672658</v>
      </c>
      <c r="Q94">
        <f t="shared" si="14"/>
        <v>32.770092277665526</v>
      </c>
      <c r="R94">
        <f t="shared" si="15"/>
        <v>38.729276526614974</v>
      </c>
      <c r="S94">
        <f t="shared" si="16"/>
        <v>22.667072828461244</v>
      </c>
      <c r="T94">
        <f t="shared" si="17"/>
        <v>11.940235953155398</v>
      </c>
      <c r="U94">
        <v>1</v>
      </c>
    </row>
    <row r="95" spans="1:21" x14ac:dyDescent="0.35">
      <c r="A95" t="s">
        <v>560</v>
      </c>
      <c r="B95" t="s">
        <v>245</v>
      </c>
      <c r="C95">
        <v>2</v>
      </c>
      <c r="D95">
        <v>800</v>
      </c>
      <c r="E95">
        <v>1</v>
      </c>
      <c r="F95">
        <v>4</v>
      </c>
      <c r="G95">
        <v>48</v>
      </c>
      <c r="H95">
        <v>2</v>
      </c>
      <c r="I95" s="3">
        <v>45318.56527777778</v>
      </c>
      <c r="J95" s="3">
        <v>45320.603472222225</v>
      </c>
      <c r="K95">
        <f t="shared" si="12"/>
        <v>48.916666666686069</v>
      </c>
      <c r="L95">
        <f t="shared" si="13"/>
        <v>2.0381944444452529</v>
      </c>
      <c r="M95">
        <v>0.46929999999999999</v>
      </c>
      <c r="N95">
        <v>8.4599999999999995E-2</v>
      </c>
      <c r="O95">
        <v>65.319319798168706</v>
      </c>
      <c r="P95">
        <v>83.258319016549905</v>
      </c>
      <c r="Q95">
        <f t="shared" si="14"/>
        <v>23.162879361052735</v>
      </c>
      <c r="R95">
        <f t="shared" si="15"/>
        <v>29.524226601613446</v>
      </c>
      <c r="S95">
        <f t="shared" si="16"/>
        <v>16.021763654040175</v>
      </c>
      <c r="T95">
        <f t="shared" si="17"/>
        <v>9.1023190612774254</v>
      </c>
      <c r="U95">
        <v>1</v>
      </c>
    </row>
    <row r="96" spans="1:21" x14ac:dyDescent="0.35">
      <c r="A96" t="s">
        <v>560</v>
      </c>
      <c r="B96" t="s">
        <v>246</v>
      </c>
      <c r="C96">
        <v>2</v>
      </c>
      <c r="D96">
        <v>800</v>
      </c>
      <c r="E96">
        <v>1</v>
      </c>
      <c r="F96">
        <v>5</v>
      </c>
      <c r="G96">
        <v>48</v>
      </c>
      <c r="H96">
        <v>2</v>
      </c>
      <c r="I96" s="3">
        <v>45318.56527777778</v>
      </c>
      <c r="J96" s="3">
        <v>45320.603472222225</v>
      </c>
      <c r="K96">
        <f t="shared" si="12"/>
        <v>48.916666666686069</v>
      </c>
      <c r="L96">
        <f t="shared" si="13"/>
        <v>2.0381944444452529</v>
      </c>
      <c r="N96" s="6"/>
      <c r="U96">
        <v>0</v>
      </c>
    </row>
    <row r="97" spans="1:21" x14ac:dyDescent="0.35">
      <c r="A97" t="s">
        <v>560</v>
      </c>
      <c r="B97" t="s">
        <v>247</v>
      </c>
      <c r="C97">
        <v>2</v>
      </c>
      <c r="D97">
        <v>800</v>
      </c>
      <c r="E97">
        <v>2</v>
      </c>
      <c r="F97">
        <v>1</v>
      </c>
      <c r="G97">
        <v>48</v>
      </c>
      <c r="H97">
        <v>2</v>
      </c>
      <c r="I97" s="3">
        <v>45318.568055555559</v>
      </c>
      <c r="J97" s="3">
        <v>45320.604861111111</v>
      </c>
      <c r="K97">
        <f t="shared" si="12"/>
        <v>48.883333333244082</v>
      </c>
      <c r="L97">
        <f t="shared" si="13"/>
        <v>2.0368055555518367</v>
      </c>
      <c r="M97">
        <v>0.51119999999999999</v>
      </c>
      <c r="N97">
        <v>9.4100000000000003E-2</v>
      </c>
      <c r="O97">
        <v>90.280848885073198</v>
      </c>
      <c r="P97">
        <v>115.70604131411901</v>
      </c>
      <c r="Q97">
        <f t="shared" si="14"/>
        <v>28.782417285358083</v>
      </c>
      <c r="R97">
        <f t="shared" si="15"/>
        <v>36.888217209602232</v>
      </c>
      <c r="S97">
        <f t="shared" si="16"/>
        <v>19.908798036282185</v>
      </c>
      <c r="T97">
        <f t="shared" si="17"/>
        <v>11.372637365720369</v>
      </c>
      <c r="U97">
        <v>1</v>
      </c>
    </row>
    <row r="98" spans="1:21" x14ac:dyDescent="0.35">
      <c r="A98" t="s">
        <v>560</v>
      </c>
      <c r="B98" t="s">
        <v>248</v>
      </c>
      <c r="C98">
        <v>2</v>
      </c>
      <c r="D98">
        <v>800</v>
      </c>
      <c r="E98">
        <v>2</v>
      </c>
      <c r="F98">
        <v>2</v>
      </c>
      <c r="G98">
        <v>48</v>
      </c>
      <c r="H98">
        <v>2</v>
      </c>
      <c r="I98" s="3">
        <v>45318.568055555559</v>
      </c>
      <c r="J98" s="3">
        <v>45320.604861111111</v>
      </c>
      <c r="K98">
        <f t="shared" si="12"/>
        <v>48.883333333244082</v>
      </c>
      <c r="L98">
        <f t="shared" si="13"/>
        <v>2.0368055555518367</v>
      </c>
      <c r="M98">
        <v>0.38969999999999999</v>
      </c>
      <c r="N98">
        <v>6.7599999999999993E-2</v>
      </c>
      <c r="O98">
        <v>30.863199310519999</v>
      </c>
      <c r="P98">
        <v>50.250045549217297</v>
      </c>
      <c r="Q98">
        <f t="shared" si="14"/>
        <v>13.696686084550297</v>
      </c>
      <c r="R98">
        <f t="shared" si="15"/>
        <v>22.300316072137861</v>
      </c>
      <c r="S98">
        <f t="shared" si="16"/>
        <v>9.4739977646834408</v>
      </c>
      <c r="T98">
        <f t="shared" si="17"/>
        <v>6.8751874450401029</v>
      </c>
      <c r="U98">
        <v>1</v>
      </c>
    </row>
    <row r="99" spans="1:21" x14ac:dyDescent="0.35">
      <c r="A99" t="s">
        <v>560</v>
      </c>
      <c r="B99" t="s">
        <v>249</v>
      </c>
      <c r="C99">
        <v>2</v>
      </c>
      <c r="D99">
        <v>800</v>
      </c>
      <c r="E99">
        <v>2</v>
      </c>
      <c r="F99">
        <v>3</v>
      </c>
      <c r="G99">
        <v>48</v>
      </c>
      <c r="H99">
        <v>2</v>
      </c>
      <c r="I99" s="3">
        <v>45318.568055555559</v>
      </c>
      <c r="J99" s="3">
        <v>45320.604861053238</v>
      </c>
      <c r="K99">
        <f t="shared" si="12"/>
        <v>48.883331944292877</v>
      </c>
      <c r="L99">
        <f t="shared" si="13"/>
        <v>2.0368054976788699</v>
      </c>
      <c r="M99">
        <v>0.55249999999999999</v>
      </c>
      <c r="N99">
        <v>9.7000000000000003E-2</v>
      </c>
      <c r="O99">
        <v>72.745318629189697</v>
      </c>
      <c r="P99">
        <v>99.235605925908004</v>
      </c>
      <c r="Q99">
        <f t="shared" si="14"/>
        <v>22.498552153357632</v>
      </c>
      <c r="R99">
        <f t="shared" si="15"/>
        <v>30.691424513167423</v>
      </c>
      <c r="S99">
        <f t="shared" si="16"/>
        <v>15.562248524477473</v>
      </c>
      <c r="T99">
        <f t="shared" si="17"/>
        <v>9.4621661774095163</v>
      </c>
      <c r="U99">
        <v>1</v>
      </c>
    </row>
    <row r="100" spans="1:21" x14ac:dyDescent="0.35">
      <c r="A100" t="s">
        <v>560</v>
      </c>
      <c r="B100" t="s">
        <v>250</v>
      </c>
      <c r="C100">
        <v>2</v>
      </c>
      <c r="D100">
        <v>800</v>
      </c>
      <c r="E100">
        <v>2</v>
      </c>
      <c r="F100">
        <v>4</v>
      </c>
      <c r="G100">
        <v>48</v>
      </c>
      <c r="H100">
        <v>2</v>
      </c>
      <c r="I100" s="3">
        <v>45318.568055555559</v>
      </c>
      <c r="J100" s="3">
        <v>45320.604861053238</v>
      </c>
      <c r="K100">
        <f t="shared" si="12"/>
        <v>48.883331944292877</v>
      </c>
      <c r="L100">
        <f t="shared" si="13"/>
        <v>2.0368054976788699</v>
      </c>
      <c r="M100">
        <v>0.40720000000000001</v>
      </c>
      <c r="N100">
        <v>7.7399999999999997E-2</v>
      </c>
      <c r="O100">
        <v>84.822662864881394</v>
      </c>
      <c r="P100">
        <v>111.207600246029</v>
      </c>
      <c r="Q100">
        <f t="shared" si="14"/>
        <v>32.877001110419144</v>
      </c>
      <c r="R100">
        <f t="shared" si="15"/>
        <v>43.103721025592641</v>
      </c>
      <c r="S100">
        <f t="shared" si="16"/>
        <v>22.741021668076922</v>
      </c>
      <c r="T100">
        <f t="shared" si="17"/>
        <v>13.288877192190212</v>
      </c>
      <c r="U100">
        <v>1</v>
      </c>
    </row>
    <row r="101" spans="1:21" x14ac:dyDescent="0.35">
      <c r="A101" t="s">
        <v>560</v>
      </c>
      <c r="B101" t="s">
        <v>251</v>
      </c>
      <c r="C101">
        <v>2</v>
      </c>
      <c r="D101">
        <v>800</v>
      </c>
      <c r="E101">
        <v>2</v>
      </c>
      <c r="F101">
        <v>5</v>
      </c>
      <c r="G101">
        <v>48</v>
      </c>
      <c r="H101">
        <v>2</v>
      </c>
      <c r="I101" s="3">
        <v>45318.568055555559</v>
      </c>
      <c r="J101" s="3">
        <v>45320.604861053238</v>
      </c>
      <c r="K101">
        <f t="shared" si="12"/>
        <v>48.883331944292877</v>
      </c>
      <c r="L101">
        <f t="shared" si="13"/>
        <v>2.0368054976788699</v>
      </c>
      <c r="M101">
        <v>0.32579999999999998</v>
      </c>
      <c r="N101">
        <v>7.4999999999999997E-2</v>
      </c>
      <c r="O101">
        <v>73.319000130964895</v>
      </c>
      <c r="P101">
        <v>90.183063488700896</v>
      </c>
      <c r="Q101">
        <f t="shared" si="14"/>
        <v>29.327600052385961</v>
      </c>
      <c r="R101">
        <f t="shared" si="15"/>
        <v>36.073225395480357</v>
      </c>
      <c r="S101">
        <f t="shared" si="16"/>
        <v>20.28590095623537</v>
      </c>
      <c r="T101">
        <f t="shared" si="17"/>
        <v>11.121375389426595</v>
      </c>
      <c r="U101">
        <v>1</v>
      </c>
    </row>
    <row r="102" spans="1:21" x14ac:dyDescent="0.35">
      <c r="A102" s="2" t="s">
        <v>560</v>
      </c>
      <c r="B102" t="s">
        <v>252</v>
      </c>
      <c r="C102" s="2">
        <v>2</v>
      </c>
      <c r="D102" s="2">
        <v>800</v>
      </c>
      <c r="E102" s="2">
        <v>3</v>
      </c>
      <c r="F102" s="2">
        <v>1</v>
      </c>
      <c r="G102">
        <v>48</v>
      </c>
      <c r="H102">
        <v>2</v>
      </c>
      <c r="I102" s="3">
        <v>45318.570833333331</v>
      </c>
      <c r="J102" s="3">
        <v>45320.607638888891</v>
      </c>
      <c r="K102">
        <f t="shared" si="12"/>
        <v>48.883333333418705</v>
      </c>
      <c r="L102">
        <f t="shared" si="13"/>
        <v>2.0368055555591127</v>
      </c>
      <c r="M102" s="2">
        <v>0.29609999999999997</v>
      </c>
      <c r="N102">
        <v>5.1799999999999999E-2</v>
      </c>
      <c r="O102">
        <v>46.490923270605002</v>
      </c>
      <c r="P102">
        <v>57.240641790809903</v>
      </c>
      <c r="Q102">
        <f t="shared" si="14"/>
        <v>26.925245137416024</v>
      </c>
      <c r="R102">
        <f t="shared" si="15"/>
        <v>33.150950844098396</v>
      </c>
      <c r="S102">
        <f t="shared" si="16"/>
        <v>18.624192061550662</v>
      </c>
      <c r="T102">
        <f t="shared" si="17"/>
        <v>10.220438145235537</v>
      </c>
      <c r="U102">
        <v>2</v>
      </c>
    </row>
    <row r="103" spans="1:21" x14ac:dyDescent="0.35">
      <c r="A103" t="s">
        <v>560</v>
      </c>
      <c r="B103" t="s">
        <v>253</v>
      </c>
      <c r="C103">
        <v>2</v>
      </c>
      <c r="D103">
        <v>800</v>
      </c>
      <c r="E103">
        <v>3</v>
      </c>
      <c r="F103">
        <v>2</v>
      </c>
      <c r="G103">
        <v>48</v>
      </c>
      <c r="H103">
        <v>2</v>
      </c>
      <c r="I103" s="3">
        <v>45318.570833333331</v>
      </c>
      <c r="J103" s="3">
        <v>45320.607638888891</v>
      </c>
      <c r="K103">
        <f t="shared" si="12"/>
        <v>48.883333333418705</v>
      </c>
      <c r="L103">
        <f t="shared" si="13"/>
        <v>2.0368055555591127</v>
      </c>
      <c r="M103">
        <v>0.37069999999999997</v>
      </c>
      <c r="N103">
        <v>6.2700000000000006E-2</v>
      </c>
      <c r="O103">
        <v>80.082819785245206</v>
      </c>
      <c r="P103">
        <v>108.08559375073</v>
      </c>
      <c r="Q103">
        <f t="shared" si="14"/>
        <v>38.317138653227374</v>
      </c>
      <c r="R103">
        <f t="shared" si="15"/>
        <v>51.71559509604306</v>
      </c>
      <c r="S103">
        <f t="shared" si="16"/>
        <v>26.503964806437374</v>
      </c>
      <c r="T103">
        <f t="shared" si="17"/>
        <v>15.943917968110076</v>
      </c>
      <c r="U103">
        <v>1</v>
      </c>
    </row>
    <row r="104" spans="1:21" x14ac:dyDescent="0.35">
      <c r="A104" t="s">
        <v>560</v>
      </c>
      <c r="B104" t="s">
        <v>254</v>
      </c>
      <c r="C104">
        <v>2</v>
      </c>
      <c r="D104">
        <v>800</v>
      </c>
      <c r="E104">
        <v>3</v>
      </c>
      <c r="F104">
        <v>3</v>
      </c>
      <c r="G104">
        <v>48</v>
      </c>
      <c r="H104">
        <v>2</v>
      </c>
      <c r="I104" s="3">
        <v>45318.570833275466</v>
      </c>
      <c r="J104" s="3">
        <v>45320.607638888891</v>
      </c>
      <c r="K104">
        <f t="shared" si="12"/>
        <v>48.883334722195286</v>
      </c>
      <c r="L104">
        <f t="shared" si="13"/>
        <v>2.0368056134248036</v>
      </c>
      <c r="M104">
        <v>0.53169999999999995</v>
      </c>
      <c r="N104">
        <v>9.4E-2</v>
      </c>
      <c r="O104">
        <v>111.28952229639501</v>
      </c>
      <c r="P104">
        <v>139.882092994895</v>
      </c>
      <c r="Q104">
        <f t="shared" si="14"/>
        <v>35.517932647785642</v>
      </c>
      <c r="R104">
        <f t="shared" si="15"/>
        <v>44.643221168583509</v>
      </c>
      <c r="S104">
        <f t="shared" si="16"/>
        <v>24.567754012473326</v>
      </c>
      <c r="T104">
        <f t="shared" si="17"/>
        <v>13.763505086274296</v>
      </c>
      <c r="U104">
        <v>1</v>
      </c>
    </row>
    <row r="105" spans="1:21" x14ac:dyDescent="0.35">
      <c r="A105" t="s">
        <v>560</v>
      </c>
      <c r="B105" t="s">
        <v>255</v>
      </c>
      <c r="C105">
        <v>2</v>
      </c>
      <c r="D105">
        <v>800</v>
      </c>
      <c r="E105">
        <v>3</v>
      </c>
      <c r="F105">
        <v>4</v>
      </c>
      <c r="G105">
        <v>48</v>
      </c>
      <c r="H105">
        <v>2</v>
      </c>
      <c r="I105" s="3">
        <v>45318.570833275466</v>
      </c>
      <c r="J105" s="3">
        <v>45320.607638888891</v>
      </c>
      <c r="K105">
        <f t="shared" si="12"/>
        <v>48.883334722195286</v>
      </c>
      <c r="L105">
        <f t="shared" si="13"/>
        <v>2.0368056134248036</v>
      </c>
      <c r="M105">
        <v>0.51349999999999996</v>
      </c>
      <c r="N105">
        <v>8.9700000000000002E-2</v>
      </c>
      <c r="O105">
        <v>60.862656788716201</v>
      </c>
      <c r="P105">
        <v>102.329815738413</v>
      </c>
      <c r="Q105">
        <f t="shared" si="14"/>
        <v>20.355403608266286</v>
      </c>
      <c r="R105">
        <f t="shared" si="15"/>
        <v>34.224018641609703</v>
      </c>
      <c r="S105">
        <f t="shared" si="16"/>
        <v>14.079832675837789</v>
      </c>
      <c r="T105">
        <f t="shared" si="17"/>
        <v>10.551264947208272</v>
      </c>
      <c r="U105">
        <v>1</v>
      </c>
    </row>
    <row r="106" spans="1:21" x14ac:dyDescent="0.35">
      <c r="A106" t="s">
        <v>560</v>
      </c>
      <c r="B106" t="s">
        <v>256</v>
      </c>
      <c r="C106">
        <v>2</v>
      </c>
      <c r="D106">
        <v>800</v>
      </c>
      <c r="E106">
        <v>3</v>
      </c>
      <c r="F106">
        <v>5</v>
      </c>
      <c r="G106">
        <v>48</v>
      </c>
      <c r="H106">
        <v>2</v>
      </c>
      <c r="I106" s="3">
        <v>45318.570833275466</v>
      </c>
      <c r="J106" s="3">
        <v>45320.607638888891</v>
      </c>
      <c r="K106">
        <f t="shared" si="12"/>
        <v>48.883334722195286</v>
      </c>
      <c r="L106">
        <f t="shared" si="13"/>
        <v>2.0368056134248036</v>
      </c>
      <c r="M106">
        <v>0.4284</v>
      </c>
      <c r="N106">
        <v>5.7700000000000001E-2</v>
      </c>
      <c r="O106">
        <v>44.823296740301799</v>
      </c>
      <c r="P106">
        <v>67.899169394065794</v>
      </c>
      <c r="Q106">
        <f t="shared" si="14"/>
        <v>23.305006970694176</v>
      </c>
      <c r="R106">
        <f t="shared" si="15"/>
        <v>35.30286103677598</v>
      </c>
      <c r="S106">
        <f t="shared" si="16"/>
        <v>16.12007332162916</v>
      </c>
      <c r="T106">
        <f t="shared" si="17"/>
        <v>10.883872057638035</v>
      </c>
      <c r="U106">
        <v>1</v>
      </c>
    </row>
    <row r="107" spans="1:21" x14ac:dyDescent="0.35">
      <c r="A107" t="s">
        <v>560</v>
      </c>
      <c r="B107" t="s">
        <v>257</v>
      </c>
      <c r="C107">
        <v>2</v>
      </c>
      <c r="D107">
        <v>1200</v>
      </c>
      <c r="E107">
        <v>1</v>
      </c>
      <c r="F107">
        <v>1</v>
      </c>
      <c r="G107">
        <v>48</v>
      </c>
      <c r="H107">
        <v>2</v>
      </c>
      <c r="I107" s="3">
        <v>45318.573611111111</v>
      </c>
      <c r="J107" s="3">
        <v>45320.609027777777</v>
      </c>
      <c r="K107">
        <f t="shared" si="12"/>
        <v>48.849999999976717</v>
      </c>
      <c r="L107">
        <f t="shared" si="13"/>
        <v>2.0354166666656965</v>
      </c>
      <c r="M107">
        <v>0.35189999999999999</v>
      </c>
      <c r="N107">
        <v>6.1400000000000003E-2</v>
      </c>
      <c r="O107">
        <v>44.757084014883802</v>
      </c>
      <c r="P107">
        <v>59.724544989212703</v>
      </c>
      <c r="Q107">
        <f t="shared" si="14"/>
        <v>21.868282091962769</v>
      </c>
      <c r="R107">
        <f t="shared" si="15"/>
        <v>29.181373773230959</v>
      </c>
      <c r="S107">
        <f t="shared" si="16"/>
        <v>15.126290723010646</v>
      </c>
      <c r="T107">
        <f t="shared" si="17"/>
        <v>8.9966175342871058</v>
      </c>
      <c r="U107">
        <v>1</v>
      </c>
    </row>
    <row r="108" spans="1:21" x14ac:dyDescent="0.35">
      <c r="A108" t="s">
        <v>560</v>
      </c>
      <c r="B108" t="s">
        <v>258</v>
      </c>
      <c r="C108">
        <v>2</v>
      </c>
      <c r="D108">
        <v>1200</v>
      </c>
      <c r="E108">
        <v>1</v>
      </c>
      <c r="F108">
        <v>2</v>
      </c>
      <c r="G108">
        <v>48</v>
      </c>
      <c r="H108">
        <v>2</v>
      </c>
      <c r="I108" s="3">
        <v>45318.573611111111</v>
      </c>
      <c r="J108" s="3">
        <v>45320.609027777777</v>
      </c>
      <c r="K108">
        <f t="shared" si="12"/>
        <v>48.849999999976717</v>
      </c>
      <c r="L108">
        <f t="shared" si="13"/>
        <v>2.0354166666656965</v>
      </c>
      <c r="M108">
        <v>0.3044</v>
      </c>
      <c r="N108">
        <v>5.3100000000000001E-2</v>
      </c>
      <c r="O108">
        <v>32.8828798946777</v>
      </c>
      <c r="P108">
        <v>53.294707970520598</v>
      </c>
      <c r="Q108">
        <f t="shared" si="14"/>
        <v>18.57789824558062</v>
      </c>
      <c r="R108">
        <f t="shared" si="15"/>
        <v>30.110004503118979</v>
      </c>
      <c r="S108">
        <f t="shared" si="16"/>
        <v>12.850332216468114</v>
      </c>
      <c r="T108">
        <f t="shared" si="17"/>
        <v>9.2829143883115819</v>
      </c>
      <c r="U108">
        <v>1</v>
      </c>
    </row>
    <row r="109" spans="1:21" x14ac:dyDescent="0.35">
      <c r="A109" t="s">
        <v>560</v>
      </c>
      <c r="B109" t="s">
        <v>259</v>
      </c>
      <c r="C109">
        <v>2</v>
      </c>
      <c r="D109">
        <v>1200</v>
      </c>
      <c r="E109">
        <v>1</v>
      </c>
      <c r="F109">
        <v>3</v>
      </c>
      <c r="G109">
        <v>48</v>
      </c>
      <c r="H109">
        <v>2</v>
      </c>
      <c r="I109" s="3">
        <v>45318.573611053238</v>
      </c>
      <c r="J109" s="3">
        <v>45320.609027719911</v>
      </c>
      <c r="K109">
        <f t="shared" si="12"/>
        <v>48.85000000015134</v>
      </c>
      <c r="L109">
        <f t="shared" si="13"/>
        <v>2.0354166666729725</v>
      </c>
      <c r="M109">
        <v>0.38100000000000001</v>
      </c>
      <c r="N109">
        <v>6.7400000000000002E-2</v>
      </c>
      <c r="O109">
        <v>85.513707457675494</v>
      </c>
      <c r="P109">
        <v>118.818044083619</v>
      </c>
      <c r="Q109">
        <f t="shared" si="14"/>
        <v>38.062481064247251</v>
      </c>
      <c r="R109">
        <f t="shared" si="15"/>
        <v>52.886369770156819</v>
      </c>
      <c r="S109">
        <f t="shared" si="16"/>
        <v>26.327818152139823</v>
      </c>
      <c r="T109">
        <f t="shared" si="17"/>
        <v>16.304867800139348</v>
      </c>
      <c r="U109">
        <v>1</v>
      </c>
    </row>
    <row r="110" spans="1:21" x14ac:dyDescent="0.35">
      <c r="A110" t="s">
        <v>560</v>
      </c>
      <c r="B110" t="s">
        <v>260</v>
      </c>
      <c r="C110">
        <v>2</v>
      </c>
      <c r="D110">
        <v>1200</v>
      </c>
      <c r="E110">
        <v>1</v>
      </c>
      <c r="F110">
        <v>4</v>
      </c>
      <c r="G110">
        <v>48</v>
      </c>
      <c r="H110">
        <v>2</v>
      </c>
      <c r="I110" s="3">
        <v>45318.573611053238</v>
      </c>
      <c r="J110" s="3">
        <v>45320.609027719911</v>
      </c>
      <c r="K110">
        <f t="shared" si="12"/>
        <v>48.85000000015134</v>
      </c>
      <c r="L110">
        <f t="shared" si="13"/>
        <v>2.0354166666729725</v>
      </c>
      <c r="M110">
        <v>0.34939999999999999</v>
      </c>
      <c r="N110">
        <v>5.9799999999999999E-2</v>
      </c>
      <c r="O110">
        <v>71.384195985711003</v>
      </c>
      <c r="P110">
        <v>90.408991433422102</v>
      </c>
      <c r="Q110">
        <f t="shared" si="14"/>
        <v>35.811469558048998</v>
      </c>
      <c r="R110">
        <f t="shared" si="15"/>
        <v>45.355681321114766</v>
      </c>
      <c r="S110">
        <f t="shared" si="16"/>
        <v>24.770793493302492</v>
      </c>
      <c r="T110">
        <f t="shared" si="17"/>
        <v>13.983156551299682</v>
      </c>
      <c r="U110">
        <v>1</v>
      </c>
    </row>
    <row r="111" spans="1:21" x14ac:dyDescent="0.35">
      <c r="A111" t="s">
        <v>560</v>
      </c>
      <c r="B111" t="s">
        <v>261</v>
      </c>
      <c r="C111">
        <v>2</v>
      </c>
      <c r="D111">
        <v>1200</v>
      </c>
      <c r="E111">
        <v>1</v>
      </c>
      <c r="F111">
        <v>5</v>
      </c>
      <c r="G111">
        <v>48</v>
      </c>
      <c r="H111">
        <v>2</v>
      </c>
      <c r="I111" s="3">
        <v>45318.573611053238</v>
      </c>
      <c r="J111" s="3">
        <v>45320.609027719911</v>
      </c>
      <c r="K111">
        <f t="shared" si="12"/>
        <v>48.85000000015134</v>
      </c>
      <c r="L111">
        <f t="shared" si="13"/>
        <v>2.0354166666729725</v>
      </c>
      <c r="M111">
        <v>0.41099999999999998</v>
      </c>
      <c r="N111">
        <v>6.5199999999999994E-2</v>
      </c>
      <c r="O111">
        <v>365.073109822817</v>
      </c>
      <c r="P111">
        <v>404.31197158458798</v>
      </c>
      <c r="Q111">
        <f t="shared" si="14"/>
        <v>167.97842476509985</v>
      </c>
      <c r="R111">
        <f t="shared" si="15"/>
        <v>186.03311575977978</v>
      </c>
      <c r="S111">
        <f t="shared" si="16"/>
        <v>116.19067641001956</v>
      </c>
      <c r="T111">
        <f t="shared" si="17"/>
        <v>57.354009588740105</v>
      </c>
      <c r="U111">
        <v>1</v>
      </c>
    </row>
    <row r="112" spans="1:21" x14ac:dyDescent="0.35">
      <c r="A112" t="s">
        <v>560</v>
      </c>
      <c r="B112" t="s">
        <v>262</v>
      </c>
      <c r="C112">
        <v>2</v>
      </c>
      <c r="D112">
        <v>1200</v>
      </c>
      <c r="E112">
        <v>2</v>
      </c>
      <c r="F112">
        <v>1</v>
      </c>
      <c r="G112">
        <v>48</v>
      </c>
      <c r="H112">
        <v>2</v>
      </c>
      <c r="I112" s="3">
        <v>45318.576388888891</v>
      </c>
      <c r="J112" s="3">
        <v>45320.61041666667</v>
      </c>
      <c r="K112">
        <f t="shared" si="12"/>
        <v>48.816666666709352</v>
      </c>
      <c r="L112">
        <f t="shared" si="13"/>
        <v>2.0340277777795563</v>
      </c>
      <c r="M112">
        <v>0.47189999999999999</v>
      </c>
      <c r="N112">
        <v>8.0799999999999997E-2</v>
      </c>
      <c r="O112">
        <v>31.7733886937406</v>
      </c>
      <c r="P112">
        <v>58.346367855964502</v>
      </c>
      <c r="Q112">
        <f t="shared" si="14"/>
        <v>11.797050257576956</v>
      </c>
      <c r="R112">
        <f t="shared" si="15"/>
        <v>21.663255392066031</v>
      </c>
      <c r="S112">
        <f t="shared" si="16"/>
        <v>8.1600196631659809</v>
      </c>
      <c r="T112">
        <f t="shared" si="17"/>
        <v>6.6787816373739579</v>
      </c>
      <c r="U112">
        <v>1</v>
      </c>
    </row>
    <row r="113" spans="1:21" x14ac:dyDescent="0.35">
      <c r="A113" t="s">
        <v>560</v>
      </c>
      <c r="B113" t="s">
        <v>263</v>
      </c>
      <c r="C113">
        <v>2</v>
      </c>
      <c r="D113">
        <v>1200</v>
      </c>
      <c r="E113">
        <v>2</v>
      </c>
      <c r="F113">
        <v>2</v>
      </c>
      <c r="G113">
        <v>48</v>
      </c>
      <c r="H113">
        <v>2</v>
      </c>
      <c r="I113" s="3">
        <v>45318.576388888891</v>
      </c>
      <c r="J113" s="3">
        <v>45320.61041666667</v>
      </c>
      <c r="K113">
        <f t="shared" si="12"/>
        <v>48.816666666709352</v>
      </c>
      <c r="L113">
        <f t="shared" si="13"/>
        <v>2.0340277777795563</v>
      </c>
      <c r="M113">
        <v>0.33350000000000002</v>
      </c>
      <c r="N113">
        <v>5.5599999999999997E-2</v>
      </c>
      <c r="O113">
        <v>44.343268024602203</v>
      </c>
      <c r="P113">
        <v>63.599332792709703</v>
      </c>
      <c r="Q113">
        <f t="shared" si="14"/>
        <v>23.926223754281764</v>
      </c>
      <c r="R113">
        <f t="shared" si="15"/>
        <v>34.316186758656322</v>
      </c>
      <c r="S113">
        <f t="shared" si="16"/>
        <v>16.549768970836695</v>
      </c>
      <c r="T113">
        <f t="shared" si="17"/>
        <v>10.579680377693744</v>
      </c>
      <c r="U113">
        <v>1</v>
      </c>
    </row>
    <row r="114" spans="1:21" x14ac:dyDescent="0.35">
      <c r="A114" t="s">
        <v>560</v>
      </c>
      <c r="B114" t="s">
        <v>264</v>
      </c>
      <c r="C114">
        <v>2</v>
      </c>
      <c r="D114">
        <v>1200</v>
      </c>
      <c r="E114">
        <v>2</v>
      </c>
      <c r="F114">
        <v>3</v>
      </c>
      <c r="G114">
        <v>48</v>
      </c>
      <c r="H114">
        <v>2</v>
      </c>
      <c r="I114" s="3">
        <v>45318.576388888891</v>
      </c>
      <c r="J114" s="3">
        <v>45320.61041666667</v>
      </c>
      <c r="K114">
        <f t="shared" si="12"/>
        <v>48.816666666709352</v>
      </c>
      <c r="L114">
        <f t="shared" si="13"/>
        <v>2.0340277777795563</v>
      </c>
      <c r="M114">
        <v>0.37790000000000001</v>
      </c>
      <c r="N114">
        <v>6.3700000000000007E-2</v>
      </c>
      <c r="O114">
        <v>39.342476196971297</v>
      </c>
      <c r="P114">
        <v>68.764801340217304</v>
      </c>
      <c r="Q114">
        <f t="shared" si="14"/>
        <v>18.528638711289464</v>
      </c>
      <c r="R114">
        <f t="shared" si="15"/>
        <v>32.385306753634524</v>
      </c>
      <c r="S114">
        <f t="shared" si="16"/>
        <v>12.816259396598921</v>
      </c>
      <c r="T114">
        <f t="shared" si="17"/>
        <v>9.9843900721455245</v>
      </c>
      <c r="U114">
        <v>1</v>
      </c>
    </row>
    <row r="115" spans="1:21" x14ac:dyDescent="0.35">
      <c r="A115" t="s">
        <v>560</v>
      </c>
      <c r="B115" t="s">
        <v>265</v>
      </c>
      <c r="C115">
        <v>2</v>
      </c>
      <c r="D115">
        <v>1200</v>
      </c>
      <c r="E115">
        <v>2</v>
      </c>
      <c r="F115">
        <v>4</v>
      </c>
      <c r="G115">
        <v>48</v>
      </c>
      <c r="H115">
        <v>2</v>
      </c>
      <c r="I115" s="3">
        <v>45318.576388888891</v>
      </c>
      <c r="J115" s="3">
        <v>45320.61041666667</v>
      </c>
      <c r="K115">
        <f t="shared" si="12"/>
        <v>48.816666666709352</v>
      </c>
      <c r="L115">
        <f t="shared" si="13"/>
        <v>2.0340277777795563</v>
      </c>
      <c r="M115">
        <v>0.39429999999999998</v>
      </c>
      <c r="N115">
        <v>6.6299999999999998E-2</v>
      </c>
      <c r="O115">
        <v>44.733078247463901</v>
      </c>
      <c r="P115">
        <v>69.096079083377802</v>
      </c>
      <c r="Q115">
        <f t="shared" si="14"/>
        <v>20.241211876680499</v>
      </c>
      <c r="R115">
        <f t="shared" si="15"/>
        <v>31.265194155374573</v>
      </c>
      <c r="S115">
        <f t="shared" si="16"/>
        <v>14.000846255099901</v>
      </c>
      <c r="T115">
        <f t="shared" si="17"/>
        <v>9.6390593581019814</v>
      </c>
      <c r="U115">
        <v>1</v>
      </c>
    </row>
    <row r="116" spans="1:21" x14ac:dyDescent="0.35">
      <c r="A116" t="s">
        <v>560</v>
      </c>
      <c r="B116" t="s">
        <v>266</v>
      </c>
      <c r="C116">
        <v>2</v>
      </c>
      <c r="D116">
        <v>1200</v>
      </c>
      <c r="E116">
        <v>2</v>
      </c>
      <c r="F116">
        <v>5</v>
      </c>
      <c r="G116">
        <v>48</v>
      </c>
      <c r="H116">
        <v>2</v>
      </c>
      <c r="I116" s="3">
        <v>45318.576388888891</v>
      </c>
      <c r="J116" s="3">
        <v>45320.61041666667</v>
      </c>
      <c r="K116">
        <f t="shared" si="12"/>
        <v>48.816666666709352</v>
      </c>
      <c r="L116">
        <f t="shared" si="13"/>
        <v>2.0340277777795563</v>
      </c>
      <c r="N116" s="6"/>
      <c r="U116">
        <v>0</v>
      </c>
    </row>
    <row r="117" spans="1:21" x14ac:dyDescent="0.35">
      <c r="A117" s="2" t="s">
        <v>560</v>
      </c>
      <c r="B117" t="s">
        <v>267</v>
      </c>
      <c r="C117" s="2">
        <v>2</v>
      </c>
      <c r="D117" s="2">
        <v>1200</v>
      </c>
      <c r="E117" s="2">
        <v>3</v>
      </c>
      <c r="F117" s="2">
        <v>1</v>
      </c>
      <c r="G117">
        <v>48</v>
      </c>
      <c r="H117">
        <v>2</v>
      </c>
      <c r="I117" s="3">
        <v>45318.57916666667</v>
      </c>
      <c r="J117" s="3">
        <v>45320.611111111109</v>
      </c>
      <c r="K117">
        <f t="shared" si="12"/>
        <v>48.766666666546371</v>
      </c>
      <c r="L117">
        <f t="shared" si="13"/>
        <v>2.0319444444394321</v>
      </c>
      <c r="M117" s="2">
        <v>0.29099999999999998</v>
      </c>
      <c r="N117">
        <v>4.7399999999999998E-2</v>
      </c>
      <c r="O117">
        <v>119.97235654836901</v>
      </c>
      <c r="P117">
        <v>134.66362827566999</v>
      </c>
      <c r="Q117">
        <f t="shared" si="14"/>
        <v>75.931871233144946</v>
      </c>
      <c r="R117">
        <f t="shared" si="15"/>
        <v>85.230144478272152</v>
      </c>
      <c r="S117">
        <f t="shared" si="16"/>
        <v>52.522075331966356</v>
      </c>
      <c r="T117">
        <f t="shared" si="17"/>
        <v>26.276453542651307</v>
      </c>
      <c r="U117">
        <v>2</v>
      </c>
    </row>
    <row r="118" spans="1:21" x14ac:dyDescent="0.35">
      <c r="A118" s="2" t="s">
        <v>560</v>
      </c>
      <c r="B118" t="s">
        <v>268</v>
      </c>
      <c r="C118" s="2">
        <v>2</v>
      </c>
      <c r="D118" s="2">
        <v>1200</v>
      </c>
      <c r="E118" s="2">
        <v>3</v>
      </c>
      <c r="F118" s="2">
        <v>2</v>
      </c>
      <c r="G118">
        <v>48</v>
      </c>
      <c r="H118">
        <v>2</v>
      </c>
      <c r="I118" s="3">
        <v>45318.57916666667</v>
      </c>
      <c r="J118" s="3">
        <v>45320.611111111109</v>
      </c>
      <c r="K118">
        <f t="shared" si="12"/>
        <v>48.766666666546371</v>
      </c>
      <c r="L118">
        <f t="shared" si="13"/>
        <v>2.0319444444394321</v>
      </c>
      <c r="M118" s="2">
        <v>0.37619999999999998</v>
      </c>
      <c r="N118">
        <v>5.6300000000000003E-2</v>
      </c>
      <c r="O118">
        <v>341.37591257665002</v>
      </c>
      <c r="P118">
        <v>373.61950264928299</v>
      </c>
      <c r="Q118">
        <f t="shared" si="14"/>
        <v>181.90545963231793</v>
      </c>
      <c r="R118">
        <f t="shared" si="15"/>
        <v>199.08676872963568</v>
      </c>
      <c r="S118">
        <f t="shared" si="16"/>
        <v>125.82400642767431</v>
      </c>
      <c r="T118">
        <f t="shared" si="17"/>
        <v>61.37845079934668</v>
      </c>
      <c r="U118">
        <v>2</v>
      </c>
    </row>
    <row r="119" spans="1:21" x14ac:dyDescent="0.35">
      <c r="A119" t="s">
        <v>560</v>
      </c>
      <c r="B119" t="s">
        <v>269</v>
      </c>
      <c r="C119">
        <v>2</v>
      </c>
      <c r="D119">
        <v>1200</v>
      </c>
      <c r="E119">
        <v>3</v>
      </c>
      <c r="F119">
        <v>3</v>
      </c>
      <c r="G119">
        <v>48</v>
      </c>
      <c r="H119">
        <v>2</v>
      </c>
      <c r="I119" s="3">
        <v>45318.57916666667</v>
      </c>
      <c r="J119" s="3">
        <v>45320.611111053244</v>
      </c>
      <c r="K119">
        <f t="shared" si="12"/>
        <v>48.766665277769789</v>
      </c>
      <c r="L119">
        <f t="shared" si="13"/>
        <v>2.0319443865737412</v>
      </c>
      <c r="M119">
        <v>0.53320000000000001</v>
      </c>
      <c r="N119">
        <v>9.0899999999999995E-2</v>
      </c>
      <c r="O119">
        <v>266.801744353934</v>
      </c>
      <c r="P119">
        <v>295.88409620833301</v>
      </c>
      <c r="Q119">
        <f t="shared" si="14"/>
        <v>88.053380974895717</v>
      </c>
      <c r="R119">
        <f t="shared" si="15"/>
        <v>97.651516900439944</v>
      </c>
      <c r="S119">
        <f t="shared" si="16"/>
        <v>60.906523620335363</v>
      </c>
      <c r="T119">
        <f t="shared" si="17"/>
        <v>30.105962660405638</v>
      </c>
      <c r="U119">
        <v>1</v>
      </c>
    </row>
    <row r="120" spans="1:21" x14ac:dyDescent="0.35">
      <c r="A120" t="s">
        <v>560</v>
      </c>
      <c r="B120" t="s">
        <v>270</v>
      </c>
      <c r="C120">
        <v>2</v>
      </c>
      <c r="D120">
        <v>1200</v>
      </c>
      <c r="E120">
        <v>3</v>
      </c>
      <c r="F120">
        <v>4</v>
      </c>
      <c r="G120">
        <v>48</v>
      </c>
      <c r="H120">
        <v>2</v>
      </c>
      <c r="I120" s="3">
        <v>45318.57916666667</v>
      </c>
      <c r="J120" s="3">
        <v>45320.611111053244</v>
      </c>
      <c r="K120">
        <f t="shared" si="12"/>
        <v>48.766665277769789</v>
      </c>
      <c r="L120">
        <f t="shared" si="13"/>
        <v>2.0319443865737412</v>
      </c>
      <c r="M120">
        <v>0.3826</v>
      </c>
      <c r="N120">
        <v>5.9700000000000003E-2</v>
      </c>
      <c r="O120">
        <v>398.85563893592303</v>
      </c>
      <c r="P120">
        <v>426.512503451231</v>
      </c>
      <c r="Q120">
        <f t="shared" si="14"/>
        <v>200.42996931453416</v>
      </c>
      <c r="R120">
        <f t="shared" si="15"/>
        <v>214.32789118152311</v>
      </c>
      <c r="S120">
        <f t="shared" si="16"/>
        <v>138.63740977486327</v>
      </c>
      <c r="T120">
        <f t="shared" si="17"/>
        <v>66.077288851263575</v>
      </c>
      <c r="U120">
        <v>1</v>
      </c>
    </row>
    <row r="121" spans="1:21" x14ac:dyDescent="0.35">
      <c r="A121" t="s">
        <v>560</v>
      </c>
      <c r="B121" t="s">
        <v>271</v>
      </c>
      <c r="C121">
        <v>2</v>
      </c>
      <c r="D121">
        <v>1200</v>
      </c>
      <c r="E121">
        <v>3</v>
      </c>
      <c r="F121">
        <v>5</v>
      </c>
      <c r="G121">
        <v>48</v>
      </c>
      <c r="H121">
        <v>2</v>
      </c>
      <c r="I121" s="3">
        <v>45318.57916666667</v>
      </c>
      <c r="J121" s="3">
        <v>45320.611111053244</v>
      </c>
      <c r="K121">
        <f t="shared" si="12"/>
        <v>48.766665277769789</v>
      </c>
      <c r="L121">
        <f t="shared" si="13"/>
        <v>2.0319443865737412</v>
      </c>
      <c r="M121">
        <v>0.47410000000000002</v>
      </c>
      <c r="N121">
        <v>7.6300000000000007E-2</v>
      </c>
      <c r="O121">
        <v>45.008084614255601</v>
      </c>
      <c r="P121">
        <v>70.453054614210401</v>
      </c>
      <c r="Q121">
        <f t="shared" si="14"/>
        <v>17.696494605867205</v>
      </c>
      <c r="R121">
        <f t="shared" si="15"/>
        <v>27.701069966268829</v>
      </c>
      <c r="S121">
        <f t="shared" si="16"/>
        <v>12.240665318878346</v>
      </c>
      <c r="T121">
        <f t="shared" si="17"/>
        <v>8.540239870600681</v>
      </c>
      <c r="U121">
        <v>1</v>
      </c>
    </row>
    <row r="122" spans="1:21" x14ac:dyDescent="0.35">
      <c r="A122" t="s">
        <v>560</v>
      </c>
      <c r="B122" t="s">
        <v>272</v>
      </c>
      <c r="C122">
        <v>3</v>
      </c>
      <c r="D122">
        <v>0</v>
      </c>
      <c r="E122">
        <v>1</v>
      </c>
      <c r="F122">
        <v>1</v>
      </c>
      <c r="G122">
        <v>48</v>
      </c>
      <c r="H122">
        <v>2</v>
      </c>
      <c r="I122" s="8">
        <v>45320.568749999999</v>
      </c>
      <c r="J122" s="8">
        <v>45322.59097222222</v>
      </c>
      <c r="K122">
        <f t="shared" si="12"/>
        <v>48.533333333325572</v>
      </c>
      <c r="L122">
        <f t="shared" si="13"/>
        <v>2.0222222222218988</v>
      </c>
      <c r="M122">
        <v>0.5373</v>
      </c>
      <c r="N122">
        <v>9.0499999999999997E-2</v>
      </c>
      <c r="O122">
        <v>17.569065187784599</v>
      </c>
      <c r="P122">
        <v>41.985901651091403</v>
      </c>
      <c r="Q122">
        <f t="shared" si="14"/>
        <v>5.8239995097628512</v>
      </c>
      <c r="R122">
        <f t="shared" si="15"/>
        <v>13.917978447875607</v>
      </c>
      <c r="S122">
        <f t="shared" si="16"/>
        <v>4.0284604609029637</v>
      </c>
      <c r="T122">
        <f t="shared" si="17"/>
        <v>4.2909127554800497</v>
      </c>
      <c r="U122">
        <v>1</v>
      </c>
    </row>
    <row r="123" spans="1:21" x14ac:dyDescent="0.35">
      <c r="A123" t="s">
        <v>560</v>
      </c>
      <c r="B123" t="s">
        <v>273</v>
      </c>
      <c r="C123">
        <v>3</v>
      </c>
      <c r="D123">
        <v>0</v>
      </c>
      <c r="E123">
        <v>1</v>
      </c>
      <c r="F123">
        <v>2</v>
      </c>
      <c r="G123">
        <v>48</v>
      </c>
      <c r="H123">
        <v>2</v>
      </c>
      <c r="I123" s="8">
        <v>45320.568749999999</v>
      </c>
      <c r="J123" s="8">
        <v>45322.59097222222</v>
      </c>
      <c r="K123">
        <f t="shared" ref="K123:K182" si="18">(J123-I123)*24</f>
        <v>48.533333333325572</v>
      </c>
      <c r="L123">
        <f t="shared" ref="L123:L182" si="19">K123/24</f>
        <v>2.0222222222218988</v>
      </c>
      <c r="M123">
        <v>0.41980000000000001</v>
      </c>
      <c r="N123">
        <v>7.7200000000000005E-2</v>
      </c>
      <c r="O123">
        <v>10.5519438953663</v>
      </c>
      <c r="P123">
        <v>35.247171779398897</v>
      </c>
      <c r="Q123">
        <f t="shared" si="14"/>
        <v>4.1004963323962302</v>
      </c>
      <c r="R123">
        <f t="shared" si="15"/>
        <v>13.697087479041022</v>
      </c>
      <c r="S123">
        <f t="shared" si="16"/>
        <v>2.8363133131184726</v>
      </c>
      <c r="T123">
        <f t="shared" si="17"/>
        <v>4.2228120697883469</v>
      </c>
      <c r="U123">
        <v>1</v>
      </c>
    </row>
    <row r="124" spans="1:21" x14ac:dyDescent="0.35">
      <c r="A124" t="s">
        <v>560</v>
      </c>
      <c r="B124" t="s">
        <v>274</v>
      </c>
      <c r="C124">
        <v>3</v>
      </c>
      <c r="D124">
        <v>0</v>
      </c>
      <c r="E124">
        <v>1</v>
      </c>
      <c r="F124">
        <v>3</v>
      </c>
      <c r="G124">
        <v>48</v>
      </c>
      <c r="H124">
        <v>2</v>
      </c>
      <c r="I124" s="8">
        <v>45320.568749942133</v>
      </c>
      <c r="J124" s="8">
        <v>45322.590972164355</v>
      </c>
      <c r="K124">
        <f t="shared" si="18"/>
        <v>48.533333333325572</v>
      </c>
      <c r="L124">
        <f t="shared" si="19"/>
        <v>2.0222222222218988</v>
      </c>
      <c r="M124">
        <v>0.38</v>
      </c>
      <c r="N124">
        <v>6.93E-2</v>
      </c>
      <c r="O124">
        <v>11.269440260298399</v>
      </c>
      <c r="P124">
        <v>32.277065144604201</v>
      </c>
      <c r="Q124">
        <f t="shared" si="14"/>
        <v>4.8785455672287439</v>
      </c>
      <c r="R124">
        <f t="shared" si="15"/>
        <v>13.972755473854631</v>
      </c>
      <c r="S124">
        <f t="shared" si="16"/>
        <v>3.3744899688521222</v>
      </c>
      <c r="T124">
        <f t="shared" si="17"/>
        <v>4.3078005125893828</v>
      </c>
      <c r="U124">
        <v>1</v>
      </c>
    </row>
    <row r="125" spans="1:21" x14ac:dyDescent="0.35">
      <c r="A125" t="s">
        <v>560</v>
      </c>
      <c r="B125" t="s">
        <v>275</v>
      </c>
      <c r="C125">
        <v>3</v>
      </c>
      <c r="D125">
        <v>0</v>
      </c>
      <c r="E125">
        <v>1</v>
      </c>
      <c r="F125">
        <v>4</v>
      </c>
      <c r="G125">
        <v>48</v>
      </c>
      <c r="H125">
        <v>2</v>
      </c>
      <c r="I125" s="8">
        <v>45320.568749942133</v>
      </c>
      <c r="J125" s="8">
        <v>45322.590972164355</v>
      </c>
      <c r="K125">
        <f t="shared" si="18"/>
        <v>48.533333333325572</v>
      </c>
      <c r="L125">
        <f t="shared" si="19"/>
        <v>2.0222222222218988</v>
      </c>
      <c r="M125">
        <v>0.40489999999999998</v>
      </c>
      <c r="N125">
        <v>6.6900000000000001E-2</v>
      </c>
      <c r="O125">
        <v>10.1791138904257</v>
      </c>
      <c r="P125">
        <v>30.6929774151047</v>
      </c>
      <c r="Q125">
        <f t="shared" si="14"/>
        <v>4.5646250629711664</v>
      </c>
      <c r="R125">
        <f t="shared" si="15"/>
        <v>13.763667002289104</v>
      </c>
      <c r="S125">
        <f t="shared" si="16"/>
        <v>3.1573511560571559</v>
      </c>
      <c r="T125">
        <f t="shared" si="17"/>
        <v>4.243338536805731</v>
      </c>
      <c r="U125">
        <v>1</v>
      </c>
    </row>
    <row r="126" spans="1:21" x14ac:dyDescent="0.35">
      <c r="A126" t="s">
        <v>560</v>
      </c>
      <c r="B126" t="s">
        <v>276</v>
      </c>
      <c r="C126">
        <v>3</v>
      </c>
      <c r="D126">
        <v>0</v>
      </c>
      <c r="E126">
        <v>1</v>
      </c>
      <c r="F126">
        <v>5</v>
      </c>
      <c r="G126">
        <v>48</v>
      </c>
      <c r="H126">
        <v>2</v>
      </c>
      <c r="I126" s="8">
        <v>45320.568749942133</v>
      </c>
      <c r="J126" s="8">
        <v>45322.590972164355</v>
      </c>
      <c r="K126">
        <f t="shared" si="18"/>
        <v>48.533333333325572</v>
      </c>
      <c r="L126">
        <f t="shared" si="19"/>
        <v>2.0222222222218988</v>
      </c>
      <c r="M126">
        <v>0.48149999999999998</v>
      </c>
      <c r="N126">
        <v>8.7099999999999997E-2</v>
      </c>
      <c r="O126">
        <v>11.9555659056469</v>
      </c>
      <c r="P126">
        <v>35.8496562126588</v>
      </c>
      <c r="Q126">
        <f t="shared" si="14"/>
        <v>4.1178757424730996</v>
      </c>
      <c r="R126">
        <f t="shared" si="15"/>
        <v>12.347757593338279</v>
      </c>
      <c r="S126">
        <f t="shared" si="16"/>
        <v>2.8483346510686429</v>
      </c>
      <c r="T126">
        <f t="shared" si="17"/>
        <v>3.806813666026192</v>
      </c>
      <c r="U126">
        <v>1</v>
      </c>
    </row>
    <row r="127" spans="1:21" x14ac:dyDescent="0.35">
      <c r="A127" t="s">
        <v>560</v>
      </c>
      <c r="B127" t="s">
        <v>277</v>
      </c>
      <c r="C127">
        <v>3</v>
      </c>
      <c r="D127">
        <v>0</v>
      </c>
      <c r="E127">
        <v>2</v>
      </c>
      <c r="F127">
        <v>1</v>
      </c>
      <c r="G127">
        <v>48</v>
      </c>
      <c r="H127">
        <v>2</v>
      </c>
      <c r="I127" s="8">
        <v>45320.577777777777</v>
      </c>
      <c r="J127" s="8">
        <v>45322.597916666666</v>
      </c>
      <c r="K127">
        <f t="shared" si="18"/>
        <v>48.483333333337214</v>
      </c>
      <c r="L127">
        <f t="shared" si="19"/>
        <v>2.0201388888890506</v>
      </c>
      <c r="M127">
        <v>0.56340000000000001</v>
      </c>
      <c r="N127">
        <v>9.5899999999999999E-2</v>
      </c>
      <c r="O127">
        <v>15.9198233278827</v>
      </c>
      <c r="P127">
        <v>42.514020862707703</v>
      </c>
      <c r="Q127">
        <f t="shared" si="14"/>
        <v>4.9801324279090817</v>
      </c>
      <c r="R127">
        <f t="shared" si="15"/>
        <v>13.299485149960699</v>
      </c>
      <c r="S127">
        <f t="shared" si="16"/>
        <v>3.4447576003847118</v>
      </c>
      <c r="T127">
        <f t="shared" si="17"/>
        <v>4.1002312717328833</v>
      </c>
      <c r="U127">
        <v>1</v>
      </c>
    </row>
    <row r="128" spans="1:21" x14ac:dyDescent="0.35">
      <c r="A128" t="s">
        <v>560</v>
      </c>
      <c r="B128" t="s">
        <v>278</v>
      </c>
      <c r="C128">
        <v>3</v>
      </c>
      <c r="D128">
        <v>0</v>
      </c>
      <c r="E128">
        <v>2</v>
      </c>
      <c r="F128">
        <v>2</v>
      </c>
      <c r="G128">
        <v>48</v>
      </c>
      <c r="H128">
        <v>2</v>
      </c>
      <c r="I128" s="8">
        <v>45320.577777777777</v>
      </c>
      <c r="J128" s="8">
        <v>45322.597916666666</v>
      </c>
      <c r="K128">
        <f t="shared" si="18"/>
        <v>48.483333333337214</v>
      </c>
      <c r="L128">
        <f t="shared" si="19"/>
        <v>2.0201388888890506</v>
      </c>
      <c r="M128">
        <v>0.44140000000000001</v>
      </c>
      <c r="N128">
        <v>8.1299999999999997E-2</v>
      </c>
      <c r="O128">
        <v>15.1041920165856</v>
      </c>
      <c r="P128">
        <v>41.722393870374297</v>
      </c>
      <c r="Q128">
        <f t="shared" si="14"/>
        <v>5.5735025891459777</v>
      </c>
      <c r="R128">
        <f t="shared" si="15"/>
        <v>15.39571729534107</v>
      </c>
      <c r="S128">
        <f t="shared" si="16"/>
        <v>3.8551917409122729</v>
      </c>
      <c r="T128">
        <f t="shared" si="17"/>
        <v>4.7464996421536521</v>
      </c>
      <c r="U128">
        <v>1</v>
      </c>
    </row>
    <row r="129" spans="1:21" x14ac:dyDescent="0.35">
      <c r="A129" t="s">
        <v>560</v>
      </c>
      <c r="B129" t="s">
        <v>279</v>
      </c>
      <c r="C129">
        <v>3</v>
      </c>
      <c r="D129">
        <v>0</v>
      </c>
      <c r="E129">
        <v>2</v>
      </c>
      <c r="F129">
        <v>3</v>
      </c>
      <c r="G129">
        <v>48</v>
      </c>
      <c r="H129">
        <v>2</v>
      </c>
      <c r="I129" s="8">
        <v>45320.577777719911</v>
      </c>
      <c r="J129" s="8">
        <v>45322.597916608793</v>
      </c>
      <c r="K129">
        <f t="shared" si="18"/>
        <v>48.483333333162591</v>
      </c>
      <c r="L129">
        <f t="shared" si="19"/>
        <v>2.0201388888817746</v>
      </c>
      <c r="M129">
        <v>0.59689999999999999</v>
      </c>
      <c r="N129">
        <v>0.1003</v>
      </c>
      <c r="O129">
        <v>18.3960562536823</v>
      </c>
      <c r="P129">
        <v>42.739948705902201</v>
      </c>
      <c r="Q129">
        <f t="shared" si="14"/>
        <v>5.5023099462658926</v>
      </c>
      <c r="R129">
        <f t="shared" si="15"/>
        <v>12.783633710638744</v>
      </c>
      <c r="S129">
        <f t="shared" si="16"/>
        <v>3.8059477898321177</v>
      </c>
      <c r="T129">
        <f t="shared" si="17"/>
        <v>3.9411942729899252</v>
      </c>
      <c r="U129">
        <v>1</v>
      </c>
    </row>
    <row r="130" spans="1:21" x14ac:dyDescent="0.35">
      <c r="A130" t="s">
        <v>560</v>
      </c>
      <c r="B130" t="s">
        <v>280</v>
      </c>
      <c r="C130">
        <v>3</v>
      </c>
      <c r="D130">
        <v>0</v>
      </c>
      <c r="E130">
        <v>2</v>
      </c>
      <c r="F130">
        <v>4</v>
      </c>
      <c r="G130">
        <v>48</v>
      </c>
      <c r="H130">
        <v>2</v>
      </c>
      <c r="I130" s="8">
        <v>45320.577777719911</v>
      </c>
      <c r="J130" s="8">
        <v>45322.597916608793</v>
      </c>
      <c r="K130">
        <f t="shared" si="18"/>
        <v>48.483333333162591</v>
      </c>
      <c r="L130">
        <f t="shared" si="19"/>
        <v>2.0201388888817746</v>
      </c>
      <c r="M130">
        <v>0.64249999999999996</v>
      </c>
      <c r="N130">
        <v>0.1149</v>
      </c>
      <c r="O130">
        <v>16.060722762166499</v>
      </c>
      <c r="P130">
        <v>51.591314658308903</v>
      </c>
      <c r="Q130">
        <f t="shared" si="14"/>
        <v>4.1934001989990852</v>
      </c>
      <c r="R130">
        <f t="shared" si="15"/>
        <v>13.470317143161594</v>
      </c>
      <c r="S130">
        <f t="shared" si="16"/>
        <v>2.9005749176476674</v>
      </c>
      <c r="T130">
        <f t="shared" si="17"/>
        <v>4.1528987752367197</v>
      </c>
      <c r="U130">
        <v>1</v>
      </c>
    </row>
    <row r="131" spans="1:21" x14ac:dyDescent="0.35">
      <c r="A131" t="s">
        <v>560</v>
      </c>
      <c r="B131" t="s">
        <v>281</v>
      </c>
      <c r="C131">
        <v>3</v>
      </c>
      <c r="D131">
        <v>0</v>
      </c>
      <c r="E131">
        <v>2</v>
      </c>
      <c r="F131">
        <v>5</v>
      </c>
      <c r="G131">
        <v>48</v>
      </c>
      <c r="H131">
        <v>2</v>
      </c>
      <c r="I131" s="8">
        <v>45320.577777719911</v>
      </c>
      <c r="J131" s="8">
        <v>45322.597916608793</v>
      </c>
      <c r="K131">
        <f t="shared" si="18"/>
        <v>48.483333333162591</v>
      </c>
      <c r="L131">
        <f t="shared" si="19"/>
        <v>2.0201388888817746</v>
      </c>
      <c r="M131">
        <v>0.3735</v>
      </c>
      <c r="N131">
        <v>6.7299999999999999E-2</v>
      </c>
      <c r="O131">
        <v>10.5292090099266</v>
      </c>
      <c r="P131">
        <v>31.107857127902101</v>
      </c>
      <c r="Q131">
        <f t="shared" si="14"/>
        <v>4.6935552793134914</v>
      </c>
      <c r="R131">
        <f t="shared" si="15"/>
        <v>13.86680109713318</v>
      </c>
      <c r="S131">
        <f t="shared" si="16"/>
        <v>3.2465321867011419</v>
      </c>
      <c r="T131">
        <f t="shared" si="17"/>
        <v>4.2751347782461595</v>
      </c>
      <c r="U131">
        <v>1</v>
      </c>
    </row>
    <row r="132" spans="1:21" x14ac:dyDescent="0.35">
      <c r="A132" t="s">
        <v>560</v>
      </c>
      <c r="B132" t="s">
        <v>282</v>
      </c>
      <c r="C132">
        <v>3</v>
      </c>
      <c r="D132">
        <v>0</v>
      </c>
      <c r="E132">
        <v>3</v>
      </c>
      <c r="F132">
        <v>1</v>
      </c>
      <c r="G132">
        <v>48</v>
      </c>
      <c r="H132">
        <v>2</v>
      </c>
      <c r="I132" s="8">
        <v>45320.582638888889</v>
      </c>
      <c r="J132" s="8">
        <v>45322.60833333333</v>
      </c>
      <c r="K132">
        <f t="shared" si="18"/>
        <v>48.616666666581295</v>
      </c>
      <c r="L132">
        <f t="shared" si="19"/>
        <v>2.0256944444408873</v>
      </c>
      <c r="M132">
        <v>0.45610000000000001</v>
      </c>
      <c r="N132">
        <v>8.1299999999999997E-2</v>
      </c>
      <c r="O132">
        <v>13.229141946997199</v>
      </c>
      <c r="P132">
        <v>39.440319866732601</v>
      </c>
      <c r="Q132">
        <f t="shared" si="14"/>
        <v>4.8816021944639116</v>
      </c>
      <c r="R132">
        <f t="shared" si="15"/>
        <v>14.553623567060002</v>
      </c>
      <c r="S132">
        <f t="shared" si="16"/>
        <v>3.3766042379106875</v>
      </c>
      <c r="T132">
        <f t="shared" si="17"/>
        <v>4.4868821457245991</v>
      </c>
      <c r="U132">
        <v>1</v>
      </c>
    </row>
    <row r="133" spans="1:21" x14ac:dyDescent="0.35">
      <c r="A133" t="s">
        <v>560</v>
      </c>
      <c r="B133" t="s">
        <v>283</v>
      </c>
      <c r="C133">
        <v>3</v>
      </c>
      <c r="D133">
        <v>0</v>
      </c>
      <c r="E133">
        <v>3</v>
      </c>
      <c r="F133">
        <v>2</v>
      </c>
      <c r="G133">
        <v>48</v>
      </c>
      <c r="H133">
        <v>2</v>
      </c>
      <c r="I133" s="8">
        <v>45320.582638888889</v>
      </c>
      <c r="J133" s="8">
        <v>45322.60833333333</v>
      </c>
      <c r="K133">
        <f t="shared" si="18"/>
        <v>48.616666666581295</v>
      </c>
      <c r="L133">
        <f t="shared" si="19"/>
        <v>2.0256944444408873</v>
      </c>
      <c r="M133">
        <v>0.42409999999999998</v>
      </c>
      <c r="N133">
        <v>7.4800000000000005E-2</v>
      </c>
      <c r="O133">
        <v>17.414801244985</v>
      </c>
      <c r="P133">
        <v>42.534982936776601</v>
      </c>
      <c r="Q133">
        <f t="shared" si="14"/>
        <v>6.9845459538709873</v>
      </c>
      <c r="R133">
        <f t="shared" si="15"/>
        <v>17.059485135070826</v>
      </c>
      <c r="S133">
        <f t="shared" si="16"/>
        <v>4.8312104362925616</v>
      </c>
      <c r="T133">
        <f t="shared" si="17"/>
        <v>5.2594392671423362</v>
      </c>
      <c r="U133">
        <v>1</v>
      </c>
    </row>
    <row r="134" spans="1:21" x14ac:dyDescent="0.35">
      <c r="A134" t="s">
        <v>560</v>
      </c>
      <c r="B134" t="s">
        <v>284</v>
      </c>
      <c r="C134">
        <v>3</v>
      </c>
      <c r="D134">
        <v>0</v>
      </c>
      <c r="E134">
        <v>3</v>
      </c>
      <c r="F134">
        <v>3</v>
      </c>
      <c r="G134">
        <v>48</v>
      </c>
      <c r="H134">
        <v>2</v>
      </c>
      <c r="I134" s="8">
        <v>45320.582638888889</v>
      </c>
      <c r="J134" s="8">
        <v>45322.608333275464</v>
      </c>
      <c r="K134">
        <f t="shared" si="18"/>
        <v>48.616665277804714</v>
      </c>
      <c r="L134">
        <f t="shared" si="19"/>
        <v>2.0256943865751964</v>
      </c>
      <c r="M134">
        <v>0.63839999999999997</v>
      </c>
      <c r="N134">
        <v>0.1091</v>
      </c>
      <c r="O134">
        <v>17.6991897316693</v>
      </c>
      <c r="P134">
        <v>43.697641083906397</v>
      </c>
      <c r="Q134">
        <f t="shared" si="14"/>
        <v>4.8668716035754258</v>
      </c>
      <c r="R134">
        <f t="shared" si="15"/>
        <v>12.015849977242823</v>
      </c>
      <c r="S134">
        <f t="shared" si="16"/>
        <v>3.3664150881931221</v>
      </c>
      <c r="T134">
        <f t="shared" si="17"/>
        <v>3.7044865479839624</v>
      </c>
      <c r="U134">
        <v>1</v>
      </c>
    </row>
    <row r="135" spans="1:21" x14ac:dyDescent="0.35">
      <c r="A135" t="s">
        <v>560</v>
      </c>
      <c r="B135" t="s">
        <v>285</v>
      </c>
      <c r="C135">
        <v>3</v>
      </c>
      <c r="D135">
        <v>0</v>
      </c>
      <c r="E135">
        <v>3</v>
      </c>
      <c r="F135">
        <v>4</v>
      </c>
      <c r="G135">
        <v>48</v>
      </c>
      <c r="H135">
        <v>2</v>
      </c>
      <c r="I135" s="8">
        <v>45320.582638888889</v>
      </c>
      <c r="J135" s="8">
        <v>45322.608333275464</v>
      </c>
      <c r="K135">
        <f t="shared" si="18"/>
        <v>48.616665277804714</v>
      </c>
      <c r="L135">
        <f t="shared" si="19"/>
        <v>2.0256943865751964</v>
      </c>
      <c r="M135">
        <v>0.4768</v>
      </c>
      <c r="N135">
        <v>8.5599999999999996E-2</v>
      </c>
      <c r="O135">
        <v>11.921679344197599</v>
      </c>
      <c r="P135">
        <v>33.416568835173301</v>
      </c>
      <c r="Q135">
        <f t="shared" si="14"/>
        <v>4.1781586486673836</v>
      </c>
      <c r="R135">
        <f t="shared" si="15"/>
        <v>11.711414311392511</v>
      </c>
      <c r="S135">
        <f t="shared" si="16"/>
        <v>2.8900323372832291</v>
      </c>
      <c r="T135">
        <f t="shared" si="17"/>
        <v>3.6106290322023114</v>
      </c>
      <c r="U135">
        <v>1</v>
      </c>
    </row>
    <row r="136" spans="1:21" x14ac:dyDescent="0.35">
      <c r="A136" t="s">
        <v>560</v>
      </c>
      <c r="B136" t="s">
        <v>286</v>
      </c>
      <c r="C136">
        <v>3</v>
      </c>
      <c r="D136">
        <v>0</v>
      </c>
      <c r="E136">
        <v>3</v>
      </c>
      <c r="F136">
        <v>5</v>
      </c>
      <c r="G136">
        <v>48</v>
      </c>
      <c r="H136">
        <v>2</v>
      </c>
      <c r="I136" s="8">
        <v>45320.582638888889</v>
      </c>
      <c r="J136" s="8">
        <v>45322.608333275464</v>
      </c>
      <c r="K136">
        <f t="shared" si="18"/>
        <v>48.616665277804714</v>
      </c>
      <c r="L136">
        <f t="shared" si="19"/>
        <v>2.0256943865751964</v>
      </c>
      <c r="M136">
        <v>0.38340000000000002</v>
      </c>
      <c r="N136">
        <v>7.2099999999999997E-2</v>
      </c>
      <c r="O136">
        <v>11.610365600825</v>
      </c>
      <c r="P136">
        <v>37.295268628647101</v>
      </c>
      <c r="Q136">
        <f t="shared" si="14"/>
        <v>4.830942691050625</v>
      </c>
      <c r="R136">
        <f t="shared" si="15"/>
        <v>15.518142286538323</v>
      </c>
      <c r="S136">
        <f t="shared" si="16"/>
        <v>3.3415630593997174</v>
      </c>
      <c r="T136">
        <f t="shared" si="17"/>
        <v>4.7842432669397654</v>
      </c>
      <c r="U136">
        <v>1</v>
      </c>
    </row>
    <row r="137" spans="1:21" x14ac:dyDescent="0.35">
      <c r="A137" t="s">
        <v>560</v>
      </c>
      <c r="B137" t="s">
        <v>287</v>
      </c>
      <c r="C137">
        <v>3</v>
      </c>
      <c r="D137">
        <v>400</v>
      </c>
      <c r="E137">
        <v>1</v>
      </c>
      <c r="F137">
        <v>1</v>
      </c>
      <c r="G137">
        <v>48</v>
      </c>
      <c r="H137">
        <v>2</v>
      </c>
      <c r="I137" s="8">
        <v>45320.585416666669</v>
      </c>
      <c r="J137" s="8">
        <v>45322.652777777781</v>
      </c>
      <c r="K137">
        <f t="shared" si="18"/>
        <v>49.616666666697711</v>
      </c>
      <c r="L137">
        <f t="shared" si="19"/>
        <v>2.0673611111124046</v>
      </c>
      <c r="M137">
        <v>0.3826</v>
      </c>
      <c r="N137">
        <v>6.2199999999999998E-2</v>
      </c>
      <c r="O137">
        <v>26.637450122939001</v>
      </c>
      <c r="P137">
        <v>40.578876398239302</v>
      </c>
      <c r="Q137">
        <f t="shared" si="14"/>
        <v>12.847644753829099</v>
      </c>
      <c r="R137">
        <f t="shared" si="15"/>
        <v>19.571805336771369</v>
      </c>
      <c r="S137">
        <f t="shared" si="16"/>
        <v>8.8867158762235885</v>
      </c>
      <c r="T137">
        <f t="shared" si="17"/>
        <v>6.0339875853266136</v>
      </c>
      <c r="U137">
        <v>1</v>
      </c>
    </row>
    <row r="138" spans="1:21" x14ac:dyDescent="0.35">
      <c r="A138" t="s">
        <v>560</v>
      </c>
      <c r="B138" t="s">
        <v>288</v>
      </c>
      <c r="C138">
        <v>3</v>
      </c>
      <c r="D138">
        <v>400</v>
      </c>
      <c r="E138">
        <v>1</v>
      </c>
      <c r="F138">
        <v>2</v>
      </c>
      <c r="G138">
        <v>48</v>
      </c>
      <c r="H138">
        <v>2</v>
      </c>
      <c r="I138" s="8">
        <v>45320.585416666669</v>
      </c>
      <c r="J138" s="8">
        <v>45322.652777777781</v>
      </c>
      <c r="K138">
        <f t="shared" si="18"/>
        <v>49.616666666697711</v>
      </c>
      <c r="L138">
        <f t="shared" si="19"/>
        <v>2.0673611111124046</v>
      </c>
      <c r="M138">
        <v>0.58609999999999995</v>
      </c>
      <c r="N138">
        <v>0.10580000000000001</v>
      </c>
      <c r="O138">
        <v>37.842692350343597</v>
      </c>
      <c r="P138">
        <v>57.051951006298303</v>
      </c>
      <c r="Q138">
        <f t="shared" si="14"/>
        <v>10.73044206531482</v>
      </c>
      <c r="R138">
        <f t="shared" si="15"/>
        <v>16.177301797627116</v>
      </c>
      <c r="S138">
        <f t="shared" si="16"/>
        <v>7.4222467765782607</v>
      </c>
      <c r="T138">
        <f t="shared" si="17"/>
        <v>4.9874621442084406</v>
      </c>
      <c r="U138">
        <v>1</v>
      </c>
    </row>
    <row r="139" spans="1:21" x14ac:dyDescent="0.35">
      <c r="A139" t="s">
        <v>560</v>
      </c>
      <c r="B139" t="s">
        <v>289</v>
      </c>
      <c r="C139">
        <v>3</v>
      </c>
      <c r="D139">
        <v>400</v>
      </c>
      <c r="E139">
        <v>1</v>
      </c>
      <c r="F139">
        <v>3</v>
      </c>
      <c r="G139">
        <v>48</v>
      </c>
      <c r="H139">
        <v>2</v>
      </c>
      <c r="I139" s="8">
        <v>45320.585416666669</v>
      </c>
      <c r="J139" s="8">
        <v>45322.652777777781</v>
      </c>
      <c r="K139">
        <f t="shared" si="18"/>
        <v>49.616666666697711</v>
      </c>
      <c r="L139">
        <f t="shared" si="19"/>
        <v>2.0673611111124046</v>
      </c>
      <c r="M139">
        <v>0.67210000000000003</v>
      </c>
      <c r="N139">
        <v>0.1134</v>
      </c>
      <c r="O139">
        <v>47.716009741944397</v>
      </c>
      <c r="P139">
        <v>58.149408999007299</v>
      </c>
      <c r="Q139">
        <f t="shared" si="14"/>
        <v>12.623283000514389</v>
      </c>
      <c r="R139">
        <f t="shared" si="15"/>
        <v>15.383441534128915</v>
      </c>
      <c r="S139">
        <f t="shared" si="16"/>
        <v>8.7315248514558021</v>
      </c>
      <c r="T139">
        <f t="shared" si="17"/>
        <v>4.742715024971945</v>
      </c>
      <c r="U139">
        <v>1</v>
      </c>
    </row>
    <row r="140" spans="1:21" x14ac:dyDescent="0.35">
      <c r="A140" t="s">
        <v>560</v>
      </c>
      <c r="B140" t="s">
        <v>290</v>
      </c>
      <c r="C140">
        <v>3</v>
      </c>
      <c r="D140">
        <v>400</v>
      </c>
      <c r="E140">
        <v>1</v>
      </c>
      <c r="F140">
        <v>4</v>
      </c>
      <c r="G140">
        <v>48</v>
      </c>
      <c r="H140">
        <v>2</v>
      </c>
      <c r="I140" s="8">
        <v>45320.585416666669</v>
      </c>
      <c r="J140" s="8">
        <v>45322.652777777781</v>
      </c>
      <c r="K140">
        <f t="shared" si="18"/>
        <v>49.616666666697711</v>
      </c>
      <c r="L140">
        <f t="shared" si="19"/>
        <v>2.0673611111124046</v>
      </c>
      <c r="M140">
        <v>0.47589999999999999</v>
      </c>
      <c r="N140">
        <v>7.8799999999999995E-2</v>
      </c>
      <c r="O140">
        <v>31.456306258605199</v>
      </c>
      <c r="P140">
        <v>45.415421966537302</v>
      </c>
      <c r="Q140">
        <f t="shared" si="14"/>
        <v>11.975751113682184</v>
      </c>
      <c r="R140">
        <f t="shared" si="15"/>
        <v>17.290135266448214</v>
      </c>
      <c r="S140">
        <f t="shared" si="16"/>
        <v>8.2836270453339669</v>
      </c>
      <c r="T140">
        <f t="shared" si="17"/>
        <v>5.3305487026459843</v>
      </c>
      <c r="U140">
        <v>1</v>
      </c>
    </row>
    <row r="141" spans="1:21" x14ac:dyDescent="0.35">
      <c r="A141" t="s">
        <v>560</v>
      </c>
      <c r="B141" t="s">
        <v>291</v>
      </c>
      <c r="C141">
        <v>3</v>
      </c>
      <c r="D141">
        <v>400</v>
      </c>
      <c r="E141">
        <v>1</v>
      </c>
      <c r="F141">
        <v>5</v>
      </c>
      <c r="G141">
        <v>48</v>
      </c>
      <c r="H141">
        <v>2</v>
      </c>
      <c r="I141" s="8">
        <v>45320.585416666669</v>
      </c>
      <c r="J141" s="8">
        <v>45322.652777777781</v>
      </c>
      <c r="K141">
        <f t="shared" si="18"/>
        <v>49.616666666697711</v>
      </c>
      <c r="L141">
        <f t="shared" si="19"/>
        <v>2.0673611111124046</v>
      </c>
      <c r="M141">
        <v>0.53639999999999999</v>
      </c>
      <c r="N141">
        <v>9.5500000000000002E-2</v>
      </c>
      <c r="O141">
        <v>51.813072343519103</v>
      </c>
      <c r="P141">
        <v>71.600090136536295</v>
      </c>
      <c r="Q141">
        <f t="shared" si="14"/>
        <v>16.276357804246839</v>
      </c>
      <c r="R141">
        <f t="shared" si="15"/>
        <v>22.49217491200093</v>
      </c>
      <c r="S141">
        <f t="shared" si="16"/>
        <v>11.258356693197538</v>
      </c>
      <c r="T141">
        <f t="shared" si="17"/>
        <v>6.9343375253698873</v>
      </c>
      <c r="U141">
        <v>1</v>
      </c>
    </row>
    <row r="142" spans="1:21" x14ac:dyDescent="0.35">
      <c r="A142" t="s">
        <v>560</v>
      </c>
      <c r="B142" t="s">
        <v>292</v>
      </c>
      <c r="C142">
        <v>3</v>
      </c>
      <c r="D142">
        <v>400</v>
      </c>
      <c r="E142">
        <v>2</v>
      </c>
      <c r="F142">
        <v>1</v>
      </c>
      <c r="G142">
        <v>48</v>
      </c>
      <c r="H142">
        <v>2</v>
      </c>
      <c r="I142" s="8">
        <v>45320.598611111112</v>
      </c>
      <c r="J142" s="8">
        <v>45322.640277777777</v>
      </c>
      <c r="K142">
        <f t="shared" si="18"/>
        <v>48.999999999941792</v>
      </c>
      <c r="L142">
        <f t="shared" si="19"/>
        <v>2.0416666666642413</v>
      </c>
      <c r="M142">
        <v>0.50019999999999998</v>
      </c>
      <c r="N142">
        <v>8.6699999999999999E-2</v>
      </c>
      <c r="O142">
        <v>40.435820639584698</v>
      </c>
      <c r="P142">
        <v>58.687993992197597</v>
      </c>
      <c r="Q142">
        <f t="shared" si="14"/>
        <v>13.991633439302664</v>
      </c>
      <c r="R142">
        <f t="shared" si="15"/>
        <v>20.307264357161799</v>
      </c>
      <c r="S142">
        <f t="shared" si="16"/>
        <v>9.6780128499656524</v>
      </c>
      <c r="T142">
        <f t="shared" si="17"/>
        <v>6.260729601312983</v>
      </c>
      <c r="U142">
        <v>1</v>
      </c>
    </row>
    <row r="143" spans="1:21" x14ac:dyDescent="0.35">
      <c r="A143" t="s">
        <v>560</v>
      </c>
      <c r="B143" t="s">
        <v>293</v>
      </c>
      <c r="C143">
        <v>3</v>
      </c>
      <c r="D143">
        <v>400</v>
      </c>
      <c r="E143">
        <v>2</v>
      </c>
      <c r="F143">
        <v>2</v>
      </c>
      <c r="G143">
        <v>48</v>
      </c>
      <c r="H143">
        <v>2</v>
      </c>
      <c r="I143" s="8">
        <v>45320.598611111112</v>
      </c>
      <c r="J143" s="8">
        <v>45322.640277777777</v>
      </c>
      <c r="K143">
        <f t="shared" si="18"/>
        <v>48.999999999941792</v>
      </c>
      <c r="L143">
        <f t="shared" si="19"/>
        <v>2.0416666666642413</v>
      </c>
      <c r="M143">
        <v>0.55269999999999997</v>
      </c>
      <c r="N143">
        <v>9.5100000000000004E-2</v>
      </c>
      <c r="O143">
        <v>34.923556307981897</v>
      </c>
      <c r="P143">
        <v>51.542241851969102</v>
      </c>
      <c r="Q143">
        <f t="shared" si="14"/>
        <v>11.016894734379147</v>
      </c>
      <c r="R143">
        <f t="shared" si="15"/>
        <v>16.259382287687412</v>
      </c>
      <c r="S143">
        <f t="shared" si="16"/>
        <v>7.6203860877700551</v>
      </c>
      <c r="T143">
        <f t="shared" si="17"/>
        <v>5.0127675592940291</v>
      </c>
      <c r="U143">
        <v>1</v>
      </c>
    </row>
    <row r="144" spans="1:21" x14ac:dyDescent="0.35">
      <c r="A144" t="s">
        <v>560</v>
      </c>
      <c r="B144" t="s">
        <v>294</v>
      </c>
      <c r="C144">
        <v>3</v>
      </c>
      <c r="D144">
        <v>400</v>
      </c>
      <c r="E144">
        <v>2</v>
      </c>
      <c r="F144">
        <v>3</v>
      </c>
      <c r="G144">
        <v>48</v>
      </c>
      <c r="H144">
        <v>2</v>
      </c>
      <c r="I144" s="8">
        <v>45320.598611111112</v>
      </c>
      <c r="J144" s="8">
        <v>45322.640277719911</v>
      </c>
      <c r="K144">
        <f t="shared" si="18"/>
        <v>48.999998611165211</v>
      </c>
      <c r="L144">
        <f t="shared" si="19"/>
        <v>2.0416666087985504</v>
      </c>
      <c r="M144">
        <v>0.37009999999999998</v>
      </c>
      <c r="N144">
        <v>6.3700000000000007E-2</v>
      </c>
      <c r="O144">
        <v>36.501648692435801</v>
      </c>
      <c r="P144">
        <v>45.632869228982102</v>
      </c>
      <c r="Q144">
        <f t="shared" si="14"/>
        <v>17.190729368494097</v>
      </c>
      <c r="R144">
        <f t="shared" si="15"/>
        <v>21.491147203602242</v>
      </c>
      <c r="S144">
        <f t="shared" si="16"/>
        <v>11.890827504187367</v>
      </c>
      <c r="T144">
        <f t="shared" si="17"/>
        <v>6.6257206828705719</v>
      </c>
      <c r="U144">
        <v>1</v>
      </c>
    </row>
    <row r="145" spans="1:21" x14ac:dyDescent="0.35">
      <c r="A145" t="s">
        <v>560</v>
      </c>
      <c r="B145" t="s">
        <v>295</v>
      </c>
      <c r="C145">
        <v>3</v>
      </c>
      <c r="D145">
        <v>400</v>
      </c>
      <c r="E145">
        <v>2</v>
      </c>
      <c r="F145">
        <v>4</v>
      </c>
      <c r="G145">
        <v>48</v>
      </c>
      <c r="H145">
        <v>2</v>
      </c>
      <c r="I145" s="8">
        <v>45320.598611111112</v>
      </c>
      <c r="J145" s="8">
        <v>45322.640277719911</v>
      </c>
      <c r="K145">
        <f t="shared" si="18"/>
        <v>48.999998611165211</v>
      </c>
      <c r="L145">
        <f t="shared" si="19"/>
        <v>2.0416666087985504</v>
      </c>
      <c r="M145">
        <v>0.55410000000000004</v>
      </c>
      <c r="N145">
        <v>9.2299999999999993E-2</v>
      </c>
      <c r="O145">
        <v>70.750684720714901</v>
      </c>
      <c r="P145">
        <v>107.03182415132</v>
      </c>
      <c r="Q145">
        <f t="shared" si="14"/>
        <v>22.995888858303868</v>
      </c>
      <c r="R145">
        <f t="shared" si="15"/>
        <v>34.788241869334783</v>
      </c>
      <c r="S145">
        <f t="shared" si="16"/>
        <v>15.906256323288785</v>
      </c>
      <c r="T145">
        <f t="shared" si="17"/>
        <v>10.725214968315914</v>
      </c>
      <c r="U145">
        <v>1</v>
      </c>
    </row>
    <row r="146" spans="1:21" x14ac:dyDescent="0.35">
      <c r="A146" t="s">
        <v>560</v>
      </c>
      <c r="B146" t="s">
        <v>296</v>
      </c>
      <c r="C146">
        <v>3</v>
      </c>
      <c r="D146">
        <v>400</v>
      </c>
      <c r="E146">
        <v>2</v>
      </c>
      <c r="F146">
        <v>5</v>
      </c>
      <c r="G146">
        <v>48</v>
      </c>
      <c r="H146">
        <v>2</v>
      </c>
      <c r="I146" s="8">
        <v>45320.598611111112</v>
      </c>
      <c r="J146" s="8">
        <v>45322.640277719911</v>
      </c>
      <c r="K146">
        <f t="shared" si="18"/>
        <v>48.999998611165211</v>
      </c>
      <c r="L146">
        <f t="shared" si="19"/>
        <v>2.0416666087985504</v>
      </c>
      <c r="M146">
        <v>0.60680000000000001</v>
      </c>
      <c r="N146" s="1">
        <v>0.1</v>
      </c>
      <c r="O146">
        <v>43.988379601806002</v>
      </c>
      <c r="P146">
        <v>61.328591183300901</v>
      </c>
      <c r="Q146">
        <f t="shared" si="14"/>
        <v>13.196513880541803</v>
      </c>
      <c r="R146">
        <f t="shared" si="15"/>
        <v>18.39857735499027</v>
      </c>
      <c r="S146">
        <f t="shared" si="16"/>
        <v>9.128028651170764</v>
      </c>
      <c r="T146">
        <f t="shared" si="17"/>
        <v>5.6722813985435003</v>
      </c>
      <c r="U146">
        <v>1</v>
      </c>
    </row>
    <row r="147" spans="1:21" x14ac:dyDescent="0.35">
      <c r="A147" t="s">
        <v>560</v>
      </c>
      <c r="B147" t="s">
        <v>297</v>
      </c>
      <c r="C147">
        <v>3</v>
      </c>
      <c r="D147">
        <v>400</v>
      </c>
      <c r="E147">
        <v>3</v>
      </c>
      <c r="F147">
        <v>1</v>
      </c>
      <c r="G147">
        <v>48</v>
      </c>
      <c r="H147">
        <v>2</v>
      </c>
      <c r="I147" s="8">
        <v>45320.602083333331</v>
      </c>
      <c r="J147" s="8">
        <v>45322.661805555559</v>
      </c>
      <c r="K147">
        <f t="shared" si="18"/>
        <v>49.433333333465271</v>
      </c>
      <c r="L147">
        <f t="shared" si="19"/>
        <v>2.0597222222277196</v>
      </c>
      <c r="M147">
        <v>0.53769999999999996</v>
      </c>
      <c r="N147">
        <v>9.2499999999999999E-2</v>
      </c>
      <c r="O147">
        <v>35.164819597807799</v>
      </c>
      <c r="P147">
        <v>50.262140924634302</v>
      </c>
      <c r="Q147">
        <f t="shared" si="14"/>
        <v>11.404806356045773</v>
      </c>
      <c r="R147">
        <f t="shared" si="15"/>
        <v>16.301234894475989</v>
      </c>
      <c r="S147">
        <f t="shared" si="16"/>
        <v>7.8887045564768608</v>
      </c>
      <c r="T147">
        <f t="shared" si="17"/>
        <v>5.025670717966948</v>
      </c>
      <c r="U147">
        <v>1</v>
      </c>
    </row>
    <row r="148" spans="1:21" x14ac:dyDescent="0.35">
      <c r="A148" t="s">
        <v>560</v>
      </c>
      <c r="B148" t="s">
        <v>298</v>
      </c>
      <c r="C148">
        <v>3</v>
      </c>
      <c r="D148">
        <v>400</v>
      </c>
      <c r="E148">
        <v>3</v>
      </c>
      <c r="F148">
        <v>2</v>
      </c>
      <c r="G148">
        <v>48</v>
      </c>
      <c r="H148">
        <v>2</v>
      </c>
      <c r="I148" s="8">
        <v>45320.602083333331</v>
      </c>
      <c r="J148" s="8">
        <v>45322.661805555559</v>
      </c>
      <c r="K148">
        <f t="shared" si="18"/>
        <v>49.433333333465271</v>
      </c>
      <c r="L148">
        <f t="shared" si="19"/>
        <v>2.0597222222277196</v>
      </c>
      <c r="M148">
        <v>0.40429999999999999</v>
      </c>
      <c r="N148">
        <v>6.9500000000000006E-2</v>
      </c>
      <c r="O148">
        <v>42.157154711020098</v>
      </c>
      <c r="P148">
        <v>59.152668609260701</v>
      </c>
      <c r="Q148">
        <f t="shared" ref="Q148:Q211" si="20">O148*30/1000/N148</f>
        <v>18.197332968785652</v>
      </c>
      <c r="R148">
        <f t="shared" ref="R148:R211" si="21">P148*30/1000/N148</f>
        <v>25.533526018385913</v>
      </c>
      <c r="S148">
        <f t="shared" si="16"/>
        <v>12.587095214509036</v>
      </c>
      <c r="T148">
        <f t="shared" si="17"/>
        <v>7.8719860714683776</v>
      </c>
      <c r="U148">
        <v>1</v>
      </c>
    </row>
    <row r="149" spans="1:21" x14ac:dyDescent="0.35">
      <c r="A149" t="s">
        <v>560</v>
      </c>
      <c r="B149" t="s">
        <v>299</v>
      </c>
      <c r="C149">
        <v>3</v>
      </c>
      <c r="D149">
        <v>400</v>
      </c>
      <c r="E149">
        <v>3</v>
      </c>
      <c r="F149">
        <v>3</v>
      </c>
      <c r="G149">
        <v>48</v>
      </c>
      <c r="H149">
        <v>2</v>
      </c>
      <c r="I149" s="8">
        <v>45320.602083275466</v>
      </c>
      <c r="J149" s="8">
        <v>45322.661805555559</v>
      </c>
      <c r="K149">
        <f t="shared" si="18"/>
        <v>49.433334722241852</v>
      </c>
      <c r="L149">
        <f t="shared" si="19"/>
        <v>2.0597222800934105</v>
      </c>
      <c r="M149">
        <v>0.36230000000000001</v>
      </c>
      <c r="N149">
        <v>6.2700000000000006E-2</v>
      </c>
      <c r="O149">
        <v>23.3057681159456</v>
      </c>
      <c r="P149">
        <v>34.314904367700997</v>
      </c>
      <c r="Q149">
        <f t="shared" si="20"/>
        <v>11.151085222940477</v>
      </c>
      <c r="R149">
        <f t="shared" si="21"/>
        <v>16.418614530000475</v>
      </c>
      <c r="S149">
        <f t="shared" ref="S149:S212" si="22">Q149*0.6917</f>
        <v>7.7132056487079277</v>
      </c>
      <c r="T149">
        <f t="shared" ref="T149:T212" si="23">R149*0.3083</f>
        <v>5.0618588595991465</v>
      </c>
      <c r="U149">
        <v>1</v>
      </c>
    </row>
    <row r="150" spans="1:21" x14ac:dyDescent="0.35">
      <c r="A150" t="s">
        <v>560</v>
      </c>
      <c r="B150" t="s">
        <v>300</v>
      </c>
      <c r="C150">
        <v>3</v>
      </c>
      <c r="D150">
        <v>400</v>
      </c>
      <c r="E150">
        <v>3</v>
      </c>
      <c r="F150">
        <v>4</v>
      </c>
      <c r="G150">
        <v>48</v>
      </c>
      <c r="H150">
        <v>2</v>
      </c>
      <c r="I150" s="8">
        <v>45320.602083275466</v>
      </c>
      <c r="J150" s="8">
        <v>45322.661805555559</v>
      </c>
      <c r="K150">
        <f t="shared" si="18"/>
        <v>49.433334722241852</v>
      </c>
      <c r="L150">
        <f t="shared" si="19"/>
        <v>2.0597222800934105</v>
      </c>
      <c r="M150">
        <v>0.31</v>
      </c>
      <c r="N150">
        <v>5.0700000000000002E-2</v>
      </c>
      <c r="O150">
        <v>15.585069401727299</v>
      </c>
      <c r="P150">
        <v>20.338494944479901</v>
      </c>
      <c r="Q150">
        <f t="shared" si="20"/>
        <v>9.2219345572350875</v>
      </c>
      <c r="R150">
        <f t="shared" si="21"/>
        <v>12.034612393183373</v>
      </c>
      <c r="S150">
        <f t="shared" si="22"/>
        <v>6.37881213323951</v>
      </c>
      <c r="T150">
        <f t="shared" si="23"/>
        <v>3.7102710008184343</v>
      </c>
      <c r="U150">
        <v>1</v>
      </c>
    </row>
    <row r="151" spans="1:21" x14ac:dyDescent="0.35">
      <c r="A151" t="s">
        <v>560</v>
      </c>
      <c r="B151" t="s">
        <v>301</v>
      </c>
      <c r="C151">
        <v>3</v>
      </c>
      <c r="D151">
        <v>400</v>
      </c>
      <c r="E151">
        <v>3</v>
      </c>
      <c r="F151">
        <v>5</v>
      </c>
      <c r="G151">
        <v>48</v>
      </c>
      <c r="H151">
        <v>2</v>
      </c>
      <c r="I151" s="8">
        <v>45320.602083275466</v>
      </c>
      <c r="J151" s="8">
        <v>45322.661805555559</v>
      </c>
      <c r="K151">
        <f t="shared" si="18"/>
        <v>49.433334722241852</v>
      </c>
      <c r="L151">
        <f t="shared" si="19"/>
        <v>2.0597222800934105</v>
      </c>
      <c r="M151">
        <v>0.51539999999999997</v>
      </c>
      <c r="N151">
        <v>8.9099999999999999E-2</v>
      </c>
      <c r="O151">
        <v>30.0512026950692</v>
      </c>
      <c r="P151">
        <v>43.724135064740899</v>
      </c>
      <c r="Q151">
        <f t="shared" si="20"/>
        <v>10.118250065679867</v>
      </c>
      <c r="R151">
        <f t="shared" si="21"/>
        <v>14.721930998229258</v>
      </c>
      <c r="S151">
        <f t="shared" si="22"/>
        <v>6.998793570430764</v>
      </c>
      <c r="T151">
        <f t="shared" si="23"/>
        <v>4.5387713267540803</v>
      </c>
      <c r="U151">
        <v>1</v>
      </c>
    </row>
    <row r="152" spans="1:21" x14ac:dyDescent="0.35">
      <c r="A152" t="s">
        <v>560</v>
      </c>
      <c r="B152" t="s">
        <v>302</v>
      </c>
      <c r="C152">
        <v>3</v>
      </c>
      <c r="D152">
        <v>800</v>
      </c>
      <c r="E152">
        <v>1</v>
      </c>
      <c r="F152">
        <v>1</v>
      </c>
      <c r="G152">
        <v>48</v>
      </c>
      <c r="H152">
        <v>2</v>
      </c>
      <c r="I152" s="8">
        <v>45320.604166666664</v>
      </c>
      <c r="J152" s="8">
        <v>45322.625</v>
      </c>
      <c r="K152">
        <f t="shared" si="18"/>
        <v>48.500000000058208</v>
      </c>
      <c r="L152">
        <f t="shared" si="19"/>
        <v>2.0208333333357587</v>
      </c>
      <c r="M152">
        <v>0.4385</v>
      </c>
      <c r="N152">
        <v>7.9100000000000004E-2</v>
      </c>
      <c r="O152">
        <v>54.449157024798502</v>
      </c>
      <c r="P152">
        <v>82.351722029033894</v>
      </c>
      <c r="Q152">
        <f t="shared" si="20"/>
        <v>20.650754876661885</v>
      </c>
      <c r="R152">
        <f t="shared" si="21"/>
        <v>31.233270048938266</v>
      </c>
      <c r="S152">
        <f t="shared" si="22"/>
        <v>14.284127148187025</v>
      </c>
      <c r="T152">
        <f t="shared" si="23"/>
        <v>9.6292171560876678</v>
      </c>
      <c r="U152">
        <v>1</v>
      </c>
    </row>
    <row r="153" spans="1:21" x14ac:dyDescent="0.35">
      <c r="A153" t="s">
        <v>560</v>
      </c>
      <c r="B153" t="s">
        <v>303</v>
      </c>
      <c r="C153">
        <v>3</v>
      </c>
      <c r="D153">
        <v>800</v>
      </c>
      <c r="E153">
        <v>1</v>
      </c>
      <c r="F153">
        <v>2</v>
      </c>
      <c r="G153">
        <v>48</v>
      </c>
      <c r="H153">
        <v>2</v>
      </c>
      <c r="I153" s="8">
        <v>45320.604166666664</v>
      </c>
      <c r="J153" s="8">
        <v>45322.625</v>
      </c>
      <c r="K153">
        <f t="shared" si="18"/>
        <v>48.500000000058208</v>
      </c>
      <c r="L153">
        <f t="shared" si="19"/>
        <v>2.0208333333357587</v>
      </c>
      <c r="M153">
        <v>0.46379999999999999</v>
      </c>
      <c r="N153">
        <v>8.5300000000000001E-2</v>
      </c>
      <c r="O153">
        <v>74.637699732278307</v>
      </c>
      <c r="P153">
        <v>96.843986674822204</v>
      </c>
      <c r="Q153">
        <f t="shared" si="20"/>
        <v>26.250070245818865</v>
      </c>
      <c r="R153">
        <f t="shared" si="21"/>
        <v>34.060018760195383</v>
      </c>
      <c r="S153">
        <f t="shared" si="22"/>
        <v>18.157173589032908</v>
      </c>
      <c r="T153">
        <f t="shared" si="23"/>
        <v>10.500703783768238</v>
      </c>
      <c r="U153">
        <v>1</v>
      </c>
    </row>
    <row r="154" spans="1:21" x14ac:dyDescent="0.35">
      <c r="A154" t="s">
        <v>560</v>
      </c>
      <c r="B154" t="s">
        <v>304</v>
      </c>
      <c r="C154">
        <v>3</v>
      </c>
      <c r="D154">
        <v>800</v>
      </c>
      <c r="E154">
        <v>1</v>
      </c>
      <c r="F154">
        <v>3</v>
      </c>
      <c r="G154">
        <v>48</v>
      </c>
      <c r="H154">
        <v>2</v>
      </c>
      <c r="I154" s="8">
        <v>45320.604166608799</v>
      </c>
      <c r="J154" s="8">
        <v>45322.625</v>
      </c>
      <c r="K154">
        <f t="shared" si="18"/>
        <v>48.500001388834789</v>
      </c>
      <c r="L154">
        <f t="shared" si="19"/>
        <v>2.0208333912014496</v>
      </c>
      <c r="M154">
        <v>0.2616</v>
      </c>
      <c r="N154">
        <v>4.53E-2</v>
      </c>
      <c r="O154">
        <v>22.930933558386702</v>
      </c>
      <c r="P154">
        <v>33.282579398337802</v>
      </c>
      <c r="Q154">
        <f t="shared" si="20"/>
        <v>15.186048714163379</v>
      </c>
      <c r="R154">
        <f t="shared" si="21"/>
        <v>22.041443310157483</v>
      </c>
      <c r="S154">
        <f t="shared" si="22"/>
        <v>10.504189895586808</v>
      </c>
      <c r="T154">
        <f t="shared" si="23"/>
        <v>6.7953769725215523</v>
      </c>
      <c r="U154">
        <v>1</v>
      </c>
    </row>
    <row r="155" spans="1:21" x14ac:dyDescent="0.35">
      <c r="A155" t="s">
        <v>560</v>
      </c>
      <c r="B155" t="s">
        <v>305</v>
      </c>
      <c r="C155">
        <v>3</v>
      </c>
      <c r="D155">
        <v>800</v>
      </c>
      <c r="E155">
        <v>1</v>
      </c>
      <c r="F155">
        <v>4</v>
      </c>
      <c r="G155">
        <v>48</v>
      </c>
      <c r="H155">
        <v>2</v>
      </c>
      <c r="I155" s="8">
        <v>45320.604166608799</v>
      </c>
      <c r="J155" s="8">
        <v>45322.625</v>
      </c>
      <c r="K155">
        <f t="shared" si="18"/>
        <v>48.500001388834789</v>
      </c>
      <c r="L155">
        <f t="shared" si="19"/>
        <v>2.0208333912014496</v>
      </c>
      <c r="M155">
        <v>0.3115</v>
      </c>
      <c r="N155">
        <v>5.6800000000000003E-2</v>
      </c>
      <c r="O155">
        <v>56.088407583464999</v>
      </c>
      <c r="P155">
        <v>72.417909748010501</v>
      </c>
      <c r="Q155">
        <f t="shared" si="20"/>
        <v>29.624158934928694</v>
      </c>
      <c r="R155">
        <f t="shared" si="21"/>
        <v>38.24889599366751</v>
      </c>
      <c r="S155">
        <f t="shared" si="22"/>
        <v>20.491030735290177</v>
      </c>
      <c r="T155">
        <f t="shared" si="23"/>
        <v>11.792134634847693</v>
      </c>
      <c r="U155">
        <v>1</v>
      </c>
    </row>
    <row r="156" spans="1:21" x14ac:dyDescent="0.35">
      <c r="A156" t="s">
        <v>560</v>
      </c>
      <c r="B156" t="s">
        <v>306</v>
      </c>
      <c r="C156">
        <v>3</v>
      </c>
      <c r="D156">
        <v>800</v>
      </c>
      <c r="E156">
        <v>1</v>
      </c>
      <c r="F156">
        <v>5</v>
      </c>
      <c r="G156">
        <v>48</v>
      </c>
      <c r="H156">
        <v>2</v>
      </c>
      <c r="I156" s="8">
        <v>45320.604166608799</v>
      </c>
      <c r="J156" s="8">
        <v>45322.625</v>
      </c>
      <c r="K156">
        <f t="shared" si="18"/>
        <v>48.500001388834789</v>
      </c>
      <c r="L156">
        <f t="shared" si="19"/>
        <v>2.0208333912014496</v>
      </c>
      <c r="M156">
        <v>0.39829999999999999</v>
      </c>
      <c r="N156" s="1">
        <v>7.0000000000000007E-2</v>
      </c>
      <c r="O156">
        <v>57.2219101928059</v>
      </c>
      <c r="P156">
        <v>84.145779073196607</v>
      </c>
      <c r="Q156">
        <f t="shared" si="20"/>
        <v>24.523675796916812</v>
      </c>
      <c r="R156">
        <f t="shared" si="21"/>
        <v>36.062476745655687</v>
      </c>
      <c r="S156">
        <f t="shared" si="22"/>
        <v>16.96302654872736</v>
      </c>
      <c r="T156">
        <f t="shared" si="23"/>
        <v>11.11806158068565</v>
      </c>
      <c r="U156">
        <v>1</v>
      </c>
    </row>
    <row r="157" spans="1:21" x14ac:dyDescent="0.35">
      <c r="A157" t="s">
        <v>560</v>
      </c>
      <c r="B157" t="s">
        <v>307</v>
      </c>
      <c r="C157">
        <v>3</v>
      </c>
      <c r="D157">
        <v>800</v>
      </c>
      <c r="E157">
        <v>2</v>
      </c>
      <c r="F157">
        <v>1</v>
      </c>
      <c r="G157">
        <v>48</v>
      </c>
      <c r="H157">
        <v>2</v>
      </c>
      <c r="I157" s="8">
        <v>45320.604861111111</v>
      </c>
      <c r="J157" s="8">
        <v>45322.626388888886</v>
      </c>
      <c r="K157">
        <f t="shared" si="18"/>
        <v>48.516666666604578</v>
      </c>
      <c r="L157">
        <f t="shared" si="19"/>
        <v>2.0215277777751908</v>
      </c>
      <c r="M157">
        <v>0.38719999999999999</v>
      </c>
      <c r="N157">
        <v>6.9500000000000006E-2</v>
      </c>
      <c r="O157">
        <v>47.096919034511401</v>
      </c>
      <c r="P157">
        <v>66.592842003541307</v>
      </c>
      <c r="Q157">
        <f t="shared" si="20"/>
        <v>20.329605338638014</v>
      </c>
      <c r="R157">
        <f t="shared" si="21"/>
        <v>28.745111656204877</v>
      </c>
      <c r="S157">
        <f t="shared" si="22"/>
        <v>14.061988012735915</v>
      </c>
      <c r="T157">
        <f t="shared" si="23"/>
        <v>8.8621179236079648</v>
      </c>
      <c r="U157">
        <v>1</v>
      </c>
    </row>
    <row r="158" spans="1:21" x14ac:dyDescent="0.35">
      <c r="A158" t="s">
        <v>560</v>
      </c>
      <c r="B158" t="s">
        <v>308</v>
      </c>
      <c r="C158">
        <v>3</v>
      </c>
      <c r="D158">
        <v>800</v>
      </c>
      <c r="E158">
        <v>2</v>
      </c>
      <c r="F158">
        <v>2</v>
      </c>
      <c r="G158">
        <v>48</v>
      </c>
      <c r="H158">
        <v>2</v>
      </c>
      <c r="I158" s="8">
        <v>45320.604861111111</v>
      </c>
      <c r="J158" s="8">
        <v>45322.626388888886</v>
      </c>
      <c r="K158">
        <f t="shared" si="18"/>
        <v>48.516666666604578</v>
      </c>
      <c r="L158">
        <f t="shared" si="19"/>
        <v>2.0215277777751908</v>
      </c>
      <c r="M158">
        <v>0.43780000000000002</v>
      </c>
      <c r="N158">
        <v>7.8399999999999997E-2</v>
      </c>
      <c r="O158">
        <v>46.118997560825697</v>
      </c>
      <c r="P158">
        <v>72.048410505618705</v>
      </c>
      <c r="Q158">
        <f t="shared" si="20"/>
        <v>17.647575597254729</v>
      </c>
      <c r="R158">
        <f t="shared" si="21"/>
        <v>27.569544836333691</v>
      </c>
      <c r="S158">
        <f t="shared" si="22"/>
        <v>12.206828040621096</v>
      </c>
      <c r="T158">
        <f t="shared" si="23"/>
        <v>8.4996906730416768</v>
      </c>
      <c r="U158">
        <v>1</v>
      </c>
    </row>
    <row r="159" spans="1:21" x14ac:dyDescent="0.35">
      <c r="A159" t="s">
        <v>560</v>
      </c>
      <c r="B159" t="s">
        <v>309</v>
      </c>
      <c r="C159">
        <v>3</v>
      </c>
      <c r="D159">
        <v>800</v>
      </c>
      <c r="E159">
        <v>2</v>
      </c>
      <c r="F159">
        <v>3</v>
      </c>
      <c r="G159">
        <v>48</v>
      </c>
      <c r="H159">
        <v>2</v>
      </c>
      <c r="I159" s="8">
        <v>45320.604861053238</v>
      </c>
      <c r="J159" s="8">
        <v>45322.62638883102</v>
      </c>
      <c r="K159">
        <f t="shared" si="18"/>
        <v>48.516666666779201</v>
      </c>
      <c r="L159">
        <f t="shared" si="19"/>
        <v>2.0215277777824667</v>
      </c>
      <c r="M159">
        <v>0.44729999999999998</v>
      </c>
      <c r="N159">
        <v>8.48E-2</v>
      </c>
      <c r="O159">
        <v>53.054163853055201</v>
      </c>
      <c r="P159">
        <v>71.4589245978637</v>
      </c>
      <c r="Q159">
        <f t="shared" si="20"/>
        <v>18.769161740467641</v>
      </c>
      <c r="R159">
        <f t="shared" si="21"/>
        <v>25.280279928489517</v>
      </c>
      <c r="S159">
        <f t="shared" si="22"/>
        <v>12.982629175881467</v>
      </c>
      <c r="T159">
        <f t="shared" si="23"/>
        <v>7.7939103019533187</v>
      </c>
      <c r="U159">
        <v>1</v>
      </c>
    </row>
    <row r="160" spans="1:21" x14ac:dyDescent="0.35">
      <c r="A160" t="s">
        <v>560</v>
      </c>
      <c r="B160" t="s">
        <v>310</v>
      </c>
      <c r="C160">
        <v>3</v>
      </c>
      <c r="D160">
        <v>800</v>
      </c>
      <c r="E160">
        <v>2</v>
      </c>
      <c r="F160">
        <v>4</v>
      </c>
      <c r="G160">
        <v>48</v>
      </c>
      <c r="H160">
        <v>2</v>
      </c>
      <c r="I160" s="8">
        <v>45320.604861053238</v>
      </c>
      <c r="J160" s="8">
        <v>45322.62638883102</v>
      </c>
      <c r="K160">
        <f t="shared" si="18"/>
        <v>48.516666666779201</v>
      </c>
      <c r="L160">
        <f t="shared" si="19"/>
        <v>2.0215277777824667</v>
      </c>
      <c r="M160">
        <v>0.31009999999999999</v>
      </c>
      <c r="N160">
        <v>5.2600000000000001E-2</v>
      </c>
      <c r="O160">
        <v>33.9700018851183</v>
      </c>
      <c r="P160">
        <v>43.063505399223097</v>
      </c>
      <c r="Q160">
        <f t="shared" si="20"/>
        <v>19.374525789991427</v>
      </c>
      <c r="R160">
        <f t="shared" si="21"/>
        <v>24.560934638340168</v>
      </c>
      <c r="S160">
        <f t="shared" si="22"/>
        <v>13.40135948893707</v>
      </c>
      <c r="T160">
        <f t="shared" si="23"/>
        <v>7.5721361490002739</v>
      </c>
      <c r="U160">
        <v>1</v>
      </c>
    </row>
    <row r="161" spans="1:21" x14ac:dyDescent="0.35">
      <c r="A161" t="s">
        <v>560</v>
      </c>
      <c r="B161" t="s">
        <v>311</v>
      </c>
      <c r="C161">
        <v>3</v>
      </c>
      <c r="D161">
        <v>800</v>
      </c>
      <c r="E161">
        <v>2</v>
      </c>
      <c r="F161">
        <v>5</v>
      </c>
      <c r="G161">
        <v>48</v>
      </c>
      <c r="H161">
        <v>2</v>
      </c>
      <c r="I161" s="8">
        <v>45320.604861053238</v>
      </c>
      <c r="J161" s="8">
        <v>45322.62638883102</v>
      </c>
      <c r="K161">
        <f t="shared" si="18"/>
        <v>48.516666666779201</v>
      </c>
      <c r="L161">
        <f t="shared" si="19"/>
        <v>2.0215277777824667</v>
      </c>
      <c r="M161">
        <v>0.432</v>
      </c>
      <c r="N161">
        <v>7.7299999999999994E-2</v>
      </c>
      <c r="O161">
        <v>69.696172259370996</v>
      </c>
      <c r="P161">
        <v>99.173773926590798</v>
      </c>
      <c r="Q161">
        <f t="shared" si="20"/>
        <v>27.048967241670507</v>
      </c>
      <c r="R161">
        <f t="shared" si="21"/>
        <v>38.489174874485428</v>
      </c>
      <c r="S161">
        <f t="shared" si="22"/>
        <v>18.709770641063489</v>
      </c>
      <c r="T161">
        <f t="shared" si="23"/>
        <v>11.866212613803858</v>
      </c>
      <c r="U161">
        <v>1</v>
      </c>
    </row>
    <row r="162" spans="1:21" x14ac:dyDescent="0.35">
      <c r="A162" t="s">
        <v>560</v>
      </c>
      <c r="B162" t="s">
        <v>312</v>
      </c>
      <c r="C162">
        <v>3</v>
      </c>
      <c r="D162">
        <v>800</v>
      </c>
      <c r="E162">
        <v>3</v>
      </c>
      <c r="F162">
        <v>1</v>
      </c>
      <c r="G162">
        <v>48</v>
      </c>
      <c r="H162">
        <v>2</v>
      </c>
      <c r="I162" s="8">
        <v>45320.607638888891</v>
      </c>
      <c r="J162" s="8">
        <v>45322.62777777778</v>
      </c>
      <c r="K162">
        <f t="shared" si="18"/>
        <v>48.483333333337214</v>
      </c>
      <c r="L162">
        <f t="shared" si="19"/>
        <v>2.0201388888890506</v>
      </c>
      <c r="M162">
        <v>0.67449999999999999</v>
      </c>
      <c r="N162" s="1">
        <v>0.122</v>
      </c>
      <c r="O162">
        <v>58.449125459054798</v>
      </c>
      <c r="P162">
        <v>95.503773750309193</v>
      </c>
      <c r="Q162">
        <f t="shared" si="20"/>
        <v>14.372735768620034</v>
      </c>
      <c r="R162">
        <f t="shared" si="21"/>
        <v>23.484534528764559</v>
      </c>
      <c r="S162">
        <f t="shared" si="22"/>
        <v>9.9416213311544777</v>
      </c>
      <c r="T162">
        <f t="shared" si="23"/>
        <v>7.2402819952181137</v>
      </c>
      <c r="U162">
        <v>1</v>
      </c>
    </row>
    <row r="163" spans="1:21" x14ac:dyDescent="0.35">
      <c r="A163" t="s">
        <v>560</v>
      </c>
      <c r="B163" t="s">
        <v>313</v>
      </c>
      <c r="C163">
        <v>3</v>
      </c>
      <c r="D163">
        <v>800</v>
      </c>
      <c r="E163">
        <v>3</v>
      </c>
      <c r="F163">
        <v>2</v>
      </c>
      <c r="G163">
        <v>48</v>
      </c>
      <c r="H163">
        <v>2</v>
      </c>
      <c r="I163" s="8">
        <v>45320.607638888891</v>
      </c>
      <c r="J163" s="8">
        <v>45322.62777777778</v>
      </c>
      <c r="K163">
        <f t="shared" si="18"/>
        <v>48.483333333337214</v>
      </c>
      <c r="L163">
        <f t="shared" si="19"/>
        <v>2.0201388888890506</v>
      </c>
      <c r="M163">
        <v>0.41199999999999998</v>
      </c>
      <c r="N163">
        <v>7.2800000000000004E-2</v>
      </c>
      <c r="O163">
        <v>72.496393286947296</v>
      </c>
      <c r="P163">
        <v>91.136897989055896</v>
      </c>
      <c r="Q163">
        <f t="shared" si="20"/>
        <v>29.874887343522239</v>
      </c>
      <c r="R163">
        <f t="shared" si="21"/>
        <v>37.556414006479081</v>
      </c>
      <c r="S163">
        <f t="shared" si="22"/>
        <v>20.664459575514332</v>
      </c>
      <c r="T163">
        <f t="shared" si="23"/>
        <v>11.578642438197502</v>
      </c>
      <c r="U163">
        <v>1</v>
      </c>
    </row>
    <row r="164" spans="1:21" x14ac:dyDescent="0.35">
      <c r="A164" t="s">
        <v>560</v>
      </c>
      <c r="B164" t="s">
        <v>314</v>
      </c>
      <c r="C164">
        <v>3</v>
      </c>
      <c r="D164">
        <v>800</v>
      </c>
      <c r="E164">
        <v>3</v>
      </c>
      <c r="F164">
        <v>3</v>
      </c>
      <c r="G164">
        <v>48</v>
      </c>
      <c r="H164">
        <v>2</v>
      </c>
      <c r="I164" s="8">
        <v>45320.607638888891</v>
      </c>
      <c r="J164" s="8">
        <v>45322.62777777778</v>
      </c>
      <c r="K164">
        <f t="shared" si="18"/>
        <v>48.483333333337214</v>
      </c>
      <c r="L164">
        <f t="shared" si="19"/>
        <v>2.0201388888890506</v>
      </c>
      <c r="M164">
        <v>0.34549999999999997</v>
      </c>
      <c r="N164">
        <v>6.0199999999999997E-2</v>
      </c>
      <c r="O164">
        <v>49.128104018765903</v>
      </c>
      <c r="P164">
        <v>68.755573535898293</v>
      </c>
      <c r="Q164">
        <f t="shared" si="20"/>
        <v>24.482443863172374</v>
      </c>
      <c r="R164">
        <f t="shared" si="21"/>
        <v>34.263574851776561</v>
      </c>
      <c r="S164">
        <f t="shared" si="22"/>
        <v>16.934506420156332</v>
      </c>
      <c r="T164">
        <f t="shared" si="23"/>
        <v>10.563460126802715</v>
      </c>
      <c r="U164">
        <v>1</v>
      </c>
    </row>
    <row r="165" spans="1:21" x14ac:dyDescent="0.35">
      <c r="A165" t="s">
        <v>560</v>
      </c>
      <c r="B165" t="s">
        <v>315</v>
      </c>
      <c r="C165">
        <v>3</v>
      </c>
      <c r="D165">
        <v>800</v>
      </c>
      <c r="E165">
        <v>3</v>
      </c>
      <c r="F165">
        <v>4</v>
      </c>
      <c r="G165">
        <v>48</v>
      </c>
      <c r="H165">
        <v>2</v>
      </c>
      <c r="I165" s="8">
        <v>45320.607638888891</v>
      </c>
      <c r="J165" s="8">
        <v>45322.62777777778</v>
      </c>
      <c r="K165">
        <f t="shared" si="18"/>
        <v>48.483333333337214</v>
      </c>
      <c r="L165">
        <f t="shared" si="19"/>
        <v>2.0201388888890506</v>
      </c>
      <c r="M165">
        <v>0.41520000000000001</v>
      </c>
      <c r="N165" s="1">
        <v>7.2999999999999995E-2</v>
      </c>
      <c r="O165">
        <v>36.2962002617273</v>
      </c>
      <c r="P165">
        <v>59.8522413353977</v>
      </c>
      <c r="Q165">
        <f t="shared" si="20"/>
        <v>14.916246682901631</v>
      </c>
      <c r="R165">
        <f t="shared" si="21"/>
        <v>24.596811507697684</v>
      </c>
      <c r="S165">
        <f t="shared" si="22"/>
        <v>10.317567830563059</v>
      </c>
      <c r="T165">
        <f t="shared" si="23"/>
        <v>7.5831969878231966</v>
      </c>
      <c r="U165">
        <v>1</v>
      </c>
    </row>
    <row r="166" spans="1:21" x14ac:dyDescent="0.35">
      <c r="A166" t="s">
        <v>560</v>
      </c>
      <c r="B166" t="s">
        <v>316</v>
      </c>
      <c r="C166">
        <v>3</v>
      </c>
      <c r="D166">
        <v>800</v>
      </c>
      <c r="E166">
        <v>3</v>
      </c>
      <c r="F166">
        <v>5</v>
      </c>
      <c r="G166">
        <v>48</v>
      </c>
      <c r="H166">
        <v>2</v>
      </c>
      <c r="I166" s="8">
        <v>45320.607638888891</v>
      </c>
      <c r="J166" s="8">
        <v>45322.62777777778</v>
      </c>
      <c r="K166">
        <f t="shared" si="18"/>
        <v>48.483333333337214</v>
      </c>
      <c r="L166">
        <f t="shared" si="19"/>
        <v>2.0201388888890506</v>
      </c>
      <c r="N166" s="6"/>
      <c r="U166">
        <v>0</v>
      </c>
    </row>
    <row r="167" spans="1:21" x14ac:dyDescent="0.35">
      <c r="A167" t="s">
        <v>560</v>
      </c>
      <c r="B167" t="s">
        <v>317</v>
      </c>
      <c r="C167">
        <v>3</v>
      </c>
      <c r="D167">
        <v>1200</v>
      </c>
      <c r="E167">
        <v>1</v>
      </c>
      <c r="F167">
        <v>1</v>
      </c>
      <c r="G167">
        <v>48</v>
      </c>
      <c r="H167">
        <v>2</v>
      </c>
      <c r="I167" s="8">
        <v>45320.609027777777</v>
      </c>
      <c r="J167" s="8">
        <v>45322.629166666666</v>
      </c>
      <c r="K167">
        <f t="shared" si="18"/>
        <v>48.483333333337214</v>
      </c>
      <c r="L167">
        <f t="shared" si="19"/>
        <v>2.0201388888890506</v>
      </c>
      <c r="M167">
        <v>0.28210000000000002</v>
      </c>
      <c r="N167">
        <v>4.8399999999999999E-2</v>
      </c>
      <c r="O167">
        <v>45.989260666131699</v>
      </c>
      <c r="P167">
        <v>57.562532287451397</v>
      </c>
      <c r="Q167">
        <f t="shared" si="20"/>
        <v>28.505740082313039</v>
      </c>
      <c r="R167">
        <f t="shared" si="21"/>
        <v>35.679255550073179</v>
      </c>
      <c r="S167">
        <f t="shared" si="22"/>
        <v>19.71742041493593</v>
      </c>
      <c r="T167">
        <f t="shared" si="23"/>
        <v>10.999914486087562</v>
      </c>
      <c r="U167">
        <v>1</v>
      </c>
    </row>
    <row r="168" spans="1:21" x14ac:dyDescent="0.35">
      <c r="A168" t="s">
        <v>560</v>
      </c>
      <c r="B168" t="s">
        <v>318</v>
      </c>
      <c r="C168">
        <v>3</v>
      </c>
      <c r="D168">
        <v>1200</v>
      </c>
      <c r="E168">
        <v>1</v>
      </c>
      <c r="F168">
        <v>2</v>
      </c>
      <c r="G168">
        <v>48</v>
      </c>
      <c r="H168">
        <v>2</v>
      </c>
      <c r="I168" s="8">
        <v>45320.609027777777</v>
      </c>
      <c r="J168" s="8">
        <v>45322.629166666666</v>
      </c>
      <c r="K168">
        <f t="shared" si="18"/>
        <v>48.483333333337214</v>
      </c>
      <c r="L168">
        <f t="shared" si="19"/>
        <v>2.0201388888890506</v>
      </c>
      <c r="M168">
        <v>0.48580000000000001</v>
      </c>
      <c r="N168">
        <v>8.8599999999999998E-2</v>
      </c>
      <c r="O168">
        <v>34.688721240034397</v>
      </c>
      <c r="P168">
        <v>57.330323930151998</v>
      </c>
      <c r="Q168">
        <f t="shared" si="20"/>
        <v>11.745616672697878</v>
      </c>
      <c r="R168">
        <f t="shared" si="21"/>
        <v>19.41207356551422</v>
      </c>
      <c r="S168">
        <f t="shared" si="22"/>
        <v>8.1244430525051214</v>
      </c>
      <c r="T168">
        <f t="shared" si="23"/>
        <v>5.9847422802480343</v>
      </c>
      <c r="U168">
        <v>1</v>
      </c>
    </row>
    <row r="169" spans="1:21" x14ac:dyDescent="0.35">
      <c r="A169" t="s">
        <v>560</v>
      </c>
      <c r="B169" t="s">
        <v>319</v>
      </c>
      <c r="C169">
        <v>3</v>
      </c>
      <c r="D169">
        <v>1200</v>
      </c>
      <c r="E169">
        <v>1</v>
      </c>
      <c r="F169">
        <v>3</v>
      </c>
      <c r="G169">
        <v>48</v>
      </c>
      <c r="H169">
        <v>2</v>
      </c>
      <c r="I169" s="8">
        <v>45320.609027719911</v>
      </c>
      <c r="J169" s="8">
        <v>45322.629166608793</v>
      </c>
      <c r="K169">
        <f t="shared" si="18"/>
        <v>48.483333333162591</v>
      </c>
      <c r="L169">
        <f t="shared" si="19"/>
        <v>2.0201388888817746</v>
      </c>
      <c r="M169">
        <v>0.57250000000000001</v>
      </c>
      <c r="N169">
        <v>0.10970000000000001</v>
      </c>
      <c r="O169">
        <v>50.044729083414303</v>
      </c>
      <c r="P169">
        <v>78.745987597910698</v>
      </c>
      <c r="Q169">
        <f t="shared" si="20"/>
        <v>13.685887625363986</v>
      </c>
      <c r="R169">
        <f t="shared" si="21"/>
        <v>21.534910008544401</v>
      </c>
      <c r="S169">
        <f t="shared" si="22"/>
        <v>9.4665284704642687</v>
      </c>
      <c r="T169">
        <f t="shared" si="23"/>
        <v>6.6392127556342393</v>
      </c>
      <c r="U169">
        <v>1</v>
      </c>
    </row>
    <row r="170" spans="1:21" x14ac:dyDescent="0.35">
      <c r="A170" t="s">
        <v>560</v>
      </c>
      <c r="B170" t="s">
        <v>320</v>
      </c>
      <c r="C170">
        <v>3</v>
      </c>
      <c r="D170">
        <v>1200</v>
      </c>
      <c r="E170">
        <v>1</v>
      </c>
      <c r="F170">
        <v>4</v>
      </c>
      <c r="G170">
        <v>48</v>
      </c>
      <c r="H170">
        <v>2</v>
      </c>
      <c r="I170" s="8">
        <v>45320.609027719911</v>
      </c>
      <c r="J170" s="8">
        <v>45322.629166608793</v>
      </c>
      <c r="K170">
        <f t="shared" si="18"/>
        <v>48.483333333162591</v>
      </c>
      <c r="L170">
        <f t="shared" si="19"/>
        <v>2.0201388888817746</v>
      </c>
      <c r="M170">
        <v>0.36809999999999998</v>
      </c>
      <c r="N170">
        <v>6.5100000000000005E-2</v>
      </c>
      <c r="O170">
        <v>44.999605664829403</v>
      </c>
      <c r="P170">
        <v>74.898310501444996</v>
      </c>
      <c r="Q170">
        <f t="shared" si="20"/>
        <v>20.737145467663314</v>
      </c>
      <c r="R170">
        <f t="shared" si="21"/>
        <v>34.515350461495387</v>
      </c>
      <c r="S170">
        <f t="shared" si="22"/>
        <v>14.343883519982715</v>
      </c>
      <c r="T170">
        <f t="shared" si="23"/>
        <v>10.641082547279028</v>
      </c>
      <c r="U170">
        <v>1</v>
      </c>
    </row>
    <row r="171" spans="1:21" x14ac:dyDescent="0.35">
      <c r="A171" t="s">
        <v>560</v>
      </c>
      <c r="B171" t="s">
        <v>321</v>
      </c>
      <c r="C171">
        <v>3</v>
      </c>
      <c r="D171">
        <v>1200</v>
      </c>
      <c r="E171">
        <v>1</v>
      </c>
      <c r="F171">
        <v>5</v>
      </c>
      <c r="G171">
        <v>48</v>
      </c>
      <c r="H171">
        <v>2</v>
      </c>
      <c r="I171" s="8">
        <v>45320.609027719911</v>
      </c>
      <c r="J171" s="8">
        <v>45322.629166608793</v>
      </c>
      <c r="K171">
        <f t="shared" si="18"/>
        <v>48.483333333162591</v>
      </c>
      <c r="L171">
        <f t="shared" si="19"/>
        <v>2.0201388888817746</v>
      </c>
      <c r="M171">
        <v>0.51670000000000005</v>
      </c>
      <c r="N171">
        <v>0.10050000000000001</v>
      </c>
      <c r="O171">
        <v>38.000563028101404</v>
      </c>
      <c r="P171">
        <v>55.185413086689202</v>
      </c>
      <c r="Q171">
        <f t="shared" si="20"/>
        <v>11.343451650179523</v>
      </c>
      <c r="R171">
        <f t="shared" si="21"/>
        <v>16.473257637817671</v>
      </c>
      <c r="S171">
        <f t="shared" si="22"/>
        <v>7.8462655064291758</v>
      </c>
      <c r="T171">
        <f t="shared" si="23"/>
        <v>5.0787053297391882</v>
      </c>
      <c r="U171">
        <v>1</v>
      </c>
    </row>
    <row r="172" spans="1:21" x14ac:dyDescent="0.35">
      <c r="A172" t="s">
        <v>560</v>
      </c>
      <c r="B172" t="s">
        <v>322</v>
      </c>
      <c r="C172">
        <v>3</v>
      </c>
      <c r="D172">
        <v>1200</v>
      </c>
      <c r="E172">
        <v>2</v>
      </c>
      <c r="F172">
        <v>1</v>
      </c>
      <c r="G172">
        <v>48</v>
      </c>
      <c r="H172">
        <v>2</v>
      </c>
      <c r="I172" s="8">
        <v>45320.61041666667</v>
      </c>
      <c r="J172" s="8">
        <v>45322.629861111112</v>
      </c>
      <c r="K172">
        <f t="shared" si="18"/>
        <v>48.46666666661622</v>
      </c>
      <c r="L172">
        <f t="shared" si="19"/>
        <v>2.0194444444423425</v>
      </c>
      <c r="M172">
        <v>0.47570000000000001</v>
      </c>
      <c r="N172">
        <v>8.6599999999999996E-2</v>
      </c>
      <c r="O172">
        <v>36.990175243571102</v>
      </c>
      <c r="P172">
        <v>54.153332650227803</v>
      </c>
      <c r="Q172">
        <f t="shared" si="20"/>
        <v>12.814148467749805</v>
      </c>
      <c r="R172">
        <f t="shared" si="21"/>
        <v>18.759815005852591</v>
      </c>
      <c r="S172">
        <f t="shared" si="22"/>
        <v>8.8635464951425398</v>
      </c>
      <c r="T172">
        <f t="shared" si="23"/>
        <v>5.7836509663043545</v>
      </c>
      <c r="U172">
        <v>1</v>
      </c>
    </row>
    <row r="173" spans="1:21" x14ac:dyDescent="0.35">
      <c r="A173" t="s">
        <v>560</v>
      </c>
      <c r="B173" t="s">
        <v>323</v>
      </c>
      <c r="C173">
        <v>3</v>
      </c>
      <c r="D173">
        <v>1200</v>
      </c>
      <c r="E173">
        <v>2</v>
      </c>
      <c r="F173">
        <v>2</v>
      </c>
      <c r="G173">
        <v>48</v>
      </c>
      <c r="H173">
        <v>2</v>
      </c>
      <c r="I173" s="8">
        <v>45320.61041666667</v>
      </c>
      <c r="J173" s="8">
        <v>45322.629861111112</v>
      </c>
      <c r="K173">
        <f t="shared" si="18"/>
        <v>48.46666666661622</v>
      </c>
      <c r="L173">
        <f t="shared" si="19"/>
        <v>2.0194444444423425</v>
      </c>
      <c r="M173">
        <v>0.35139999999999999</v>
      </c>
      <c r="N173">
        <v>6.3100000000000003E-2</v>
      </c>
      <c r="O173">
        <v>35.0945324200923</v>
      </c>
      <c r="P173">
        <v>59.326585920462101</v>
      </c>
      <c r="Q173">
        <f t="shared" si="20"/>
        <v>16.685197664069239</v>
      </c>
      <c r="R173">
        <f t="shared" si="21"/>
        <v>28.205983797367082</v>
      </c>
      <c r="S173">
        <f t="shared" si="22"/>
        <v>11.541151224236692</v>
      </c>
      <c r="T173">
        <f t="shared" si="23"/>
        <v>8.6959048047282721</v>
      </c>
      <c r="U173">
        <v>1</v>
      </c>
    </row>
    <row r="174" spans="1:21" x14ac:dyDescent="0.35">
      <c r="A174" t="s">
        <v>560</v>
      </c>
      <c r="B174" t="s">
        <v>324</v>
      </c>
      <c r="C174">
        <v>3</v>
      </c>
      <c r="D174">
        <v>1200</v>
      </c>
      <c r="E174">
        <v>2</v>
      </c>
      <c r="F174">
        <v>3</v>
      </c>
      <c r="G174">
        <v>48</v>
      </c>
      <c r="H174">
        <v>2</v>
      </c>
      <c r="I174" s="8">
        <v>45320.61041666667</v>
      </c>
      <c r="J174" s="8">
        <v>45322.629861111112</v>
      </c>
      <c r="K174">
        <f t="shared" si="18"/>
        <v>48.46666666661622</v>
      </c>
      <c r="L174">
        <f t="shared" si="19"/>
        <v>2.0194444444423425</v>
      </c>
      <c r="M174">
        <v>0.37919999999999998</v>
      </c>
      <c r="N174">
        <v>6.6100000000000006E-2</v>
      </c>
      <c r="O174">
        <v>88.838153073240207</v>
      </c>
      <c r="P174">
        <v>113.831944756122</v>
      </c>
      <c r="Q174">
        <f t="shared" si="20"/>
        <v>40.3198879303662</v>
      </c>
      <c r="R174">
        <f t="shared" si="21"/>
        <v>51.663515017907102</v>
      </c>
      <c r="S174">
        <f t="shared" si="22"/>
        <v>27.889266481434298</v>
      </c>
      <c r="T174">
        <f t="shared" si="23"/>
        <v>15.92786168002076</v>
      </c>
      <c r="U174">
        <v>1</v>
      </c>
    </row>
    <row r="175" spans="1:21" x14ac:dyDescent="0.35">
      <c r="A175" t="s">
        <v>560</v>
      </c>
      <c r="B175" t="s">
        <v>325</v>
      </c>
      <c r="C175">
        <v>3</v>
      </c>
      <c r="D175">
        <v>1200</v>
      </c>
      <c r="E175">
        <v>2</v>
      </c>
      <c r="F175">
        <v>4</v>
      </c>
      <c r="G175">
        <v>48</v>
      </c>
      <c r="H175">
        <v>2</v>
      </c>
      <c r="I175" s="8">
        <v>45320.61041666667</v>
      </c>
      <c r="J175" s="8">
        <v>45322.629861111112</v>
      </c>
      <c r="K175">
        <f t="shared" si="18"/>
        <v>48.46666666661622</v>
      </c>
      <c r="L175">
        <f t="shared" si="19"/>
        <v>2.0194444444423425</v>
      </c>
      <c r="M175">
        <v>0.50149999999999995</v>
      </c>
      <c r="N175">
        <v>8.9700000000000002E-2</v>
      </c>
      <c r="O175">
        <v>40.877046242000901</v>
      </c>
      <c r="P175">
        <v>62.547663317805799</v>
      </c>
      <c r="Q175">
        <f t="shared" si="20"/>
        <v>13.67125292374612</v>
      </c>
      <c r="R175">
        <f t="shared" si="21"/>
        <v>20.918950942409964</v>
      </c>
      <c r="S175">
        <f t="shared" si="22"/>
        <v>9.4564056473551918</v>
      </c>
      <c r="T175">
        <f t="shared" si="23"/>
        <v>6.449312575544992</v>
      </c>
      <c r="U175">
        <v>1</v>
      </c>
    </row>
    <row r="176" spans="1:21" x14ac:dyDescent="0.35">
      <c r="A176" t="s">
        <v>560</v>
      </c>
      <c r="B176" t="s">
        <v>326</v>
      </c>
      <c r="C176">
        <v>3</v>
      </c>
      <c r="D176">
        <v>1200</v>
      </c>
      <c r="E176">
        <v>2</v>
      </c>
      <c r="F176">
        <v>5</v>
      </c>
      <c r="G176">
        <v>48</v>
      </c>
      <c r="H176">
        <v>2</v>
      </c>
      <c r="I176" s="8">
        <v>45320.61041666667</v>
      </c>
      <c r="J176" s="8">
        <v>45322.629861111112</v>
      </c>
      <c r="K176">
        <f t="shared" si="18"/>
        <v>48.46666666661622</v>
      </c>
      <c r="L176">
        <f t="shared" si="19"/>
        <v>2.0194444444423425</v>
      </c>
      <c r="M176">
        <v>0.49819999999999998</v>
      </c>
      <c r="N176" s="1">
        <v>8.7999999999999995E-2</v>
      </c>
      <c r="O176">
        <v>37.849741920930903</v>
      </c>
      <c r="P176">
        <v>71.078318003927293</v>
      </c>
      <c r="Q176">
        <f t="shared" si="20"/>
        <v>12.903321109408264</v>
      </c>
      <c r="R176">
        <f t="shared" si="21"/>
        <v>24.231244774066127</v>
      </c>
      <c r="S176">
        <f t="shared" si="22"/>
        <v>8.9252272113776954</v>
      </c>
      <c r="T176">
        <f t="shared" si="23"/>
        <v>7.4704927638445877</v>
      </c>
      <c r="U176">
        <v>1</v>
      </c>
    </row>
    <row r="177" spans="1:21" x14ac:dyDescent="0.35">
      <c r="A177" t="s">
        <v>560</v>
      </c>
      <c r="B177" t="s">
        <v>327</v>
      </c>
      <c r="C177">
        <v>3</v>
      </c>
      <c r="D177">
        <v>1200</v>
      </c>
      <c r="E177">
        <v>3</v>
      </c>
      <c r="F177">
        <v>1</v>
      </c>
      <c r="G177">
        <v>48</v>
      </c>
      <c r="H177">
        <v>2</v>
      </c>
      <c r="I177" s="8">
        <v>45320.611111111109</v>
      </c>
      <c r="J177" s="8">
        <v>45322.630555555559</v>
      </c>
      <c r="K177">
        <f t="shared" si="18"/>
        <v>48.466666666790843</v>
      </c>
      <c r="L177">
        <f t="shared" si="19"/>
        <v>2.0194444444496185</v>
      </c>
      <c r="M177" s="2">
        <v>0.59530000000000005</v>
      </c>
      <c r="N177">
        <v>0.1008</v>
      </c>
      <c r="O177">
        <v>39.977531894259201</v>
      </c>
      <c r="P177">
        <v>69.176068438403306</v>
      </c>
      <c r="Q177">
        <f t="shared" si="20"/>
        <v>11.898074968529524</v>
      </c>
      <c r="R177">
        <f t="shared" si="21"/>
        <v>20.58811560666765</v>
      </c>
      <c r="S177">
        <f t="shared" si="22"/>
        <v>8.2298984557318722</v>
      </c>
      <c r="T177">
        <f t="shared" si="23"/>
        <v>6.3473160415356364</v>
      </c>
      <c r="U177">
        <v>1</v>
      </c>
    </row>
    <row r="178" spans="1:21" x14ac:dyDescent="0.35">
      <c r="A178" t="s">
        <v>560</v>
      </c>
      <c r="B178" t="s">
        <v>328</v>
      </c>
      <c r="C178">
        <v>3</v>
      </c>
      <c r="D178">
        <v>1200</v>
      </c>
      <c r="E178">
        <v>3</v>
      </c>
      <c r="F178">
        <v>2</v>
      </c>
      <c r="G178">
        <v>48</v>
      </c>
      <c r="H178">
        <v>2</v>
      </c>
      <c r="I178" s="8">
        <v>45320.611111111109</v>
      </c>
      <c r="J178" s="8">
        <v>45322.630555555559</v>
      </c>
      <c r="K178">
        <f t="shared" si="18"/>
        <v>48.466666666790843</v>
      </c>
      <c r="L178">
        <f t="shared" si="19"/>
        <v>2.0194444444496185</v>
      </c>
      <c r="M178">
        <v>0.34939999999999999</v>
      </c>
      <c r="N178" s="1">
        <v>5.8999999999999997E-2</v>
      </c>
      <c r="O178">
        <v>35.671327360578601</v>
      </c>
      <c r="P178">
        <v>52.715591110132799</v>
      </c>
      <c r="Q178">
        <f t="shared" si="20"/>
        <v>18.137963064700983</v>
      </c>
      <c r="R178">
        <f t="shared" si="21"/>
        <v>26.804537852609897</v>
      </c>
      <c r="S178">
        <f t="shared" si="22"/>
        <v>12.546029051853671</v>
      </c>
      <c r="T178">
        <f t="shared" si="23"/>
        <v>8.2638390199596312</v>
      </c>
      <c r="U178">
        <v>1</v>
      </c>
    </row>
    <row r="179" spans="1:21" x14ac:dyDescent="0.35">
      <c r="A179" t="s">
        <v>560</v>
      </c>
      <c r="B179" t="s">
        <v>329</v>
      </c>
      <c r="C179">
        <v>3</v>
      </c>
      <c r="D179">
        <v>1200</v>
      </c>
      <c r="E179">
        <v>3</v>
      </c>
      <c r="F179">
        <v>3</v>
      </c>
      <c r="G179">
        <v>48</v>
      </c>
      <c r="H179">
        <v>2</v>
      </c>
      <c r="I179" s="8">
        <v>45320.611111053244</v>
      </c>
      <c r="J179" s="8">
        <v>45322.630555555559</v>
      </c>
      <c r="K179">
        <f t="shared" si="18"/>
        <v>48.466668055567425</v>
      </c>
      <c r="L179">
        <f t="shared" si="19"/>
        <v>2.0194445023153094</v>
      </c>
      <c r="M179">
        <v>0.60429999999999995</v>
      </c>
      <c r="N179">
        <v>0.1038</v>
      </c>
      <c r="O179">
        <v>85.713444864337504</v>
      </c>
      <c r="P179">
        <v>120.27513743663999</v>
      </c>
      <c r="Q179">
        <f t="shared" si="20"/>
        <v>24.772671926109105</v>
      </c>
      <c r="R179">
        <f t="shared" si="21"/>
        <v>34.76160041521387</v>
      </c>
      <c r="S179">
        <f t="shared" si="22"/>
        <v>17.135257171289666</v>
      </c>
      <c r="T179">
        <f t="shared" si="23"/>
        <v>10.717001408010436</v>
      </c>
      <c r="U179">
        <v>1</v>
      </c>
    </row>
    <row r="180" spans="1:21" x14ac:dyDescent="0.35">
      <c r="A180" t="s">
        <v>560</v>
      </c>
      <c r="B180" t="s">
        <v>330</v>
      </c>
      <c r="C180">
        <v>3</v>
      </c>
      <c r="D180">
        <v>1200</v>
      </c>
      <c r="E180">
        <v>3</v>
      </c>
      <c r="F180">
        <v>4</v>
      </c>
      <c r="G180">
        <v>48</v>
      </c>
      <c r="H180">
        <v>2</v>
      </c>
      <c r="I180" s="8">
        <v>45320.611111053244</v>
      </c>
      <c r="J180" s="8">
        <v>45322.630555555559</v>
      </c>
      <c r="K180">
        <f t="shared" si="18"/>
        <v>48.466668055567425</v>
      </c>
      <c r="L180">
        <f t="shared" si="19"/>
        <v>2.0194445023153094</v>
      </c>
      <c r="M180">
        <v>0.41849999999999998</v>
      </c>
      <c r="N180" s="1">
        <v>6.9000000000000006E-2</v>
      </c>
      <c r="O180">
        <v>62.114048596143498</v>
      </c>
      <c r="P180">
        <v>90.306439691157294</v>
      </c>
      <c r="Q180">
        <f t="shared" si="20"/>
        <v>27.006108085279781</v>
      </c>
      <c r="R180">
        <f t="shared" si="21"/>
        <v>39.263669430937952</v>
      </c>
      <c r="S180">
        <f t="shared" si="22"/>
        <v>18.680124962588025</v>
      </c>
      <c r="T180">
        <f t="shared" si="23"/>
        <v>12.104989285558171</v>
      </c>
      <c r="U180">
        <v>1</v>
      </c>
    </row>
    <row r="181" spans="1:21" x14ac:dyDescent="0.35">
      <c r="A181" t="s">
        <v>560</v>
      </c>
      <c r="B181" t="s">
        <v>331</v>
      </c>
      <c r="C181">
        <v>3</v>
      </c>
      <c r="D181">
        <v>1200</v>
      </c>
      <c r="E181">
        <v>3</v>
      </c>
      <c r="F181">
        <v>5</v>
      </c>
      <c r="G181">
        <v>48</v>
      </c>
      <c r="H181">
        <v>2</v>
      </c>
      <c r="I181" s="8">
        <v>45320.611111053244</v>
      </c>
      <c r="J181" s="8">
        <v>45322.630555555559</v>
      </c>
      <c r="K181">
        <f t="shared" si="18"/>
        <v>48.466668055567425</v>
      </c>
      <c r="L181">
        <f t="shared" si="19"/>
        <v>2.0194445023153094</v>
      </c>
      <c r="M181">
        <v>0.51680000000000004</v>
      </c>
      <c r="N181">
        <v>8.9399999999999993E-2</v>
      </c>
      <c r="O181">
        <v>42.879661516902601</v>
      </c>
      <c r="P181">
        <v>62.9628203302779</v>
      </c>
      <c r="Q181">
        <f t="shared" si="20"/>
        <v>14.389148160034429</v>
      </c>
      <c r="R181">
        <f t="shared" si="21"/>
        <v>21.128463198079835</v>
      </c>
      <c r="S181">
        <f t="shared" si="22"/>
        <v>9.952973782295814</v>
      </c>
      <c r="T181">
        <f t="shared" si="23"/>
        <v>6.5139052039680134</v>
      </c>
      <c r="U181">
        <v>1</v>
      </c>
    </row>
    <row r="182" spans="1:21" x14ac:dyDescent="0.35">
      <c r="A182" t="s">
        <v>560</v>
      </c>
      <c r="B182" t="s">
        <v>332</v>
      </c>
      <c r="C182">
        <v>4</v>
      </c>
      <c r="D182">
        <v>0</v>
      </c>
      <c r="E182">
        <v>1</v>
      </c>
      <c r="F182">
        <v>1</v>
      </c>
      <c r="G182">
        <v>48</v>
      </c>
      <c r="H182">
        <v>2</v>
      </c>
      <c r="I182" s="8">
        <v>45322.609722222223</v>
      </c>
      <c r="J182" s="8">
        <v>45324.592361111114</v>
      </c>
      <c r="K182">
        <f t="shared" si="18"/>
        <v>47.583333333372138</v>
      </c>
      <c r="L182">
        <f t="shared" si="19"/>
        <v>1.9826388888905058</v>
      </c>
      <c r="M182">
        <v>0.50039999999999996</v>
      </c>
      <c r="N182">
        <v>9.1600000000000001E-2</v>
      </c>
      <c r="O182">
        <v>17.259978280165701</v>
      </c>
      <c r="P182">
        <v>33.562647898037802</v>
      </c>
      <c r="Q182">
        <f t="shared" si="20"/>
        <v>5.6528313144647502</v>
      </c>
      <c r="R182">
        <f t="shared" si="21"/>
        <v>10.992133591060416</v>
      </c>
      <c r="S182">
        <f t="shared" si="22"/>
        <v>3.9100634202152675</v>
      </c>
      <c r="T182">
        <f t="shared" si="23"/>
        <v>3.3888747861239263</v>
      </c>
      <c r="U182">
        <v>1</v>
      </c>
    </row>
    <row r="183" spans="1:21" x14ac:dyDescent="0.35">
      <c r="A183" t="s">
        <v>560</v>
      </c>
      <c r="B183" t="s">
        <v>333</v>
      </c>
      <c r="C183">
        <v>4</v>
      </c>
      <c r="D183">
        <v>0</v>
      </c>
      <c r="E183">
        <v>1</v>
      </c>
      <c r="F183">
        <v>2</v>
      </c>
      <c r="G183">
        <v>48</v>
      </c>
      <c r="H183">
        <v>2</v>
      </c>
      <c r="I183" s="8">
        <v>45322.609722222223</v>
      </c>
      <c r="J183" s="8">
        <v>45324.592361111114</v>
      </c>
      <c r="K183">
        <f t="shared" ref="K183:K228" si="24">(J183-I183)*24</f>
        <v>47.583333333372138</v>
      </c>
      <c r="L183">
        <f t="shared" ref="L183:L228" si="25">K183/24</f>
        <v>1.9826388888905058</v>
      </c>
      <c r="M183">
        <v>0.45550000000000002</v>
      </c>
      <c r="N183">
        <v>8.2199999999999995E-2</v>
      </c>
      <c r="O183">
        <v>13.7521311851569</v>
      </c>
      <c r="P183">
        <v>31.8467817166215</v>
      </c>
      <c r="Q183">
        <f t="shared" si="20"/>
        <v>5.0190259799842707</v>
      </c>
      <c r="R183">
        <f t="shared" si="21"/>
        <v>11.622913035263322</v>
      </c>
      <c r="S183">
        <f t="shared" si="22"/>
        <v>3.47166027035512</v>
      </c>
      <c r="T183">
        <f t="shared" si="23"/>
        <v>3.5833440887716823</v>
      </c>
      <c r="U183">
        <v>1</v>
      </c>
    </row>
    <row r="184" spans="1:21" x14ac:dyDescent="0.35">
      <c r="A184" t="s">
        <v>560</v>
      </c>
      <c r="B184" t="s">
        <v>334</v>
      </c>
      <c r="C184">
        <v>4</v>
      </c>
      <c r="D184">
        <v>0</v>
      </c>
      <c r="E184">
        <v>1</v>
      </c>
      <c r="F184">
        <v>3</v>
      </c>
      <c r="G184">
        <v>48</v>
      </c>
      <c r="H184">
        <v>2</v>
      </c>
      <c r="I184" s="8">
        <v>45322.609722222223</v>
      </c>
      <c r="J184" s="8">
        <v>45324.592361111114</v>
      </c>
      <c r="K184">
        <f t="shared" si="24"/>
        <v>47.583333333372138</v>
      </c>
      <c r="L184">
        <f t="shared" si="25"/>
        <v>1.9826388888905058</v>
      </c>
      <c r="M184">
        <v>0.4859</v>
      </c>
      <c r="N184">
        <v>8.5800000000000001E-2</v>
      </c>
      <c r="O184">
        <v>12.4635152299418</v>
      </c>
      <c r="P184">
        <v>38.194928710314898</v>
      </c>
      <c r="Q184">
        <f t="shared" si="20"/>
        <v>4.3578724580216086</v>
      </c>
      <c r="R184">
        <f t="shared" si="21"/>
        <v>13.354870178431783</v>
      </c>
      <c r="S184">
        <f t="shared" si="22"/>
        <v>3.0143403792135466</v>
      </c>
      <c r="T184">
        <f t="shared" si="23"/>
        <v>4.1173064760105191</v>
      </c>
      <c r="U184">
        <v>1</v>
      </c>
    </row>
    <row r="185" spans="1:21" x14ac:dyDescent="0.35">
      <c r="A185" t="s">
        <v>560</v>
      </c>
      <c r="B185" t="s">
        <v>335</v>
      </c>
      <c r="C185">
        <v>4</v>
      </c>
      <c r="D185">
        <v>0</v>
      </c>
      <c r="E185">
        <v>1</v>
      </c>
      <c r="F185">
        <v>4</v>
      </c>
      <c r="G185">
        <v>48</v>
      </c>
      <c r="H185">
        <v>2</v>
      </c>
      <c r="I185" s="8">
        <v>45322.609722222223</v>
      </c>
      <c r="J185" s="8">
        <v>45324.592361111114</v>
      </c>
      <c r="K185">
        <f t="shared" si="24"/>
        <v>47.583333333372138</v>
      </c>
      <c r="L185">
        <f t="shared" si="25"/>
        <v>1.9826388888905058</v>
      </c>
      <c r="M185">
        <v>0.5605</v>
      </c>
      <c r="N185">
        <v>9.4399999999999998E-2</v>
      </c>
      <c r="O185">
        <v>21.099404308741398</v>
      </c>
      <c r="P185">
        <v>42.566756961231803</v>
      </c>
      <c r="Q185">
        <f t="shared" si="20"/>
        <v>6.70531916591358</v>
      </c>
      <c r="R185">
        <f t="shared" si="21"/>
        <v>13.527571068188072</v>
      </c>
      <c r="S185">
        <f t="shared" si="22"/>
        <v>4.6380692670624235</v>
      </c>
      <c r="T185">
        <f t="shared" si="23"/>
        <v>4.1705501603223825</v>
      </c>
      <c r="U185">
        <v>1</v>
      </c>
    </row>
    <row r="186" spans="1:21" x14ac:dyDescent="0.35">
      <c r="A186" t="s">
        <v>560</v>
      </c>
      <c r="B186" t="s">
        <v>336</v>
      </c>
      <c r="C186">
        <v>4</v>
      </c>
      <c r="D186">
        <v>0</v>
      </c>
      <c r="E186">
        <v>1</v>
      </c>
      <c r="F186">
        <v>5</v>
      </c>
      <c r="G186">
        <v>48</v>
      </c>
      <c r="H186">
        <v>2</v>
      </c>
      <c r="I186" s="8">
        <v>45322.609722222223</v>
      </c>
      <c r="J186" s="8">
        <v>45324.592361111114</v>
      </c>
      <c r="K186">
        <f t="shared" si="24"/>
        <v>47.583333333372138</v>
      </c>
      <c r="L186">
        <f t="shared" si="25"/>
        <v>1.9826388888905058</v>
      </c>
      <c r="M186">
        <v>0.38529999999999998</v>
      </c>
      <c r="N186">
        <v>6.6699999999999995E-2</v>
      </c>
      <c r="O186">
        <v>10.4172112973536</v>
      </c>
      <c r="P186">
        <v>28.107478685173799</v>
      </c>
      <c r="Q186">
        <f t="shared" si="20"/>
        <v>4.6854023826178111</v>
      </c>
      <c r="R186">
        <f t="shared" si="21"/>
        <v>12.642044386135142</v>
      </c>
      <c r="S186">
        <f t="shared" si="22"/>
        <v>3.2408928280567397</v>
      </c>
      <c r="T186">
        <f t="shared" si="23"/>
        <v>3.8975422842454646</v>
      </c>
      <c r="U186">
        <v>1</v>
      </c>
    </row>
    <row r="187" spans="1:21" x14ac:dyDescent="0.35">
      <c r="A187" t="s">
        <v>560</v>
      </c>
      <c r="B187" t="s">
        <v>337</v>
      </c>
      <c r="C187">
        <v>4</v>
      </c>
      <c r="D187">
        <v>0</v>
      </c>
      <c r="E187">
        <v>2</v>
      </c>
      <c r="F187">
        <v>1</v>
      </c>
      <c r="G187">
        <v>48</v>
      </c>
      <c r="H187">
        <v>2</v>
      </c>
      <c r="I187" s="8">
        <v>45322.61041666667</v>
      </c>
      <c r="J187" s="8">
        <v>45324.640277777777</v>
      </c>
      <c r="K187">
        <f t="shared" si="24"/>
        <v>48.716666666558012</v>
      </c>
      <c r="L187">
        <f t="shared" si="25"/>
        <v>2.0298611111065838</v>
      </c>
      <c r="M187" s="2">
        <v>0.30449999999999999</v>
      </c>
      <c r="N187">
        <v>5.33E-2</v>
      </c>
      <c r="O187">
        <v>9.8749228892183805</v>
      </c>
      <c r="P187">
        <v>21.683847367812799</v>
      </c>
      <c r="Q187">
        <f t="shared" si="20"/>
        <v>5.558117948903404</v>
      </c>
      <c r="R187">
        <f t="shared" si="21"/>
        <v>12.204792139481876</v>
      </c>
      <c r="S187">
        <f t="shared" si="22"/>
        <v>3.8445501852564843</v>
      </c>
      <c r="T187">
        <f t="shared" si="23"/>
        <v>3.7627374166022625</v>
      </c>
      <c r="U187">
        <v>1</v>
      </c>
    </row>
    <row r="188" spans="1:21" x14ac:dyDescent="0.35">
      <c r="A188" t="s">
        <v>560</v>
      </c>
      <c r="B188" t="s">
        <v>338</v>
      </c>
      <c r="C188">
        <v>4</v>
      </c>
      <c r="D188">
        <v>0</v>
      </c>
      <c r="E188">
        <v>2</v>
      </c>
      <c r="F188">
        <v>2</v>
      </c>
      <c r="G188">
        <v>48</v>
      </c>
      <c r="H188">
        <v>2</v>
      </c>
      <c r="I188" s="8">
        <v>45322.61041666667</v>
      </c>
      <c r="J188" s="8">
        <v>45324.640277777777</v>
      </c>
      <c r="K188">
        <f t="shared" si="24"/>
        <v>48.716666666558012</v>
      </c>
      <c r="L188">
        <f t="shared" si="25"/>
        <v>2.0298611111065838</v>
      </c>
      <c r="M188" s="2">
        <v>0.44130000000000003</v>
      </c>
      <c r="N188">
        <v>7.6300000000000007E-2</v>
      </c>
      <c r="O188">
        <v>14.7115133950377</v>
      </c>
      <c r="P188">
        <v>34.819787950385802</v>
      </c>
      <c r="Q188">
        <f t="shared" si="20"/>
        <v>5.7843434056504712</v>
      </c>
      <c r="R188">
        <f t="shared" si="21"/>
        <v>13.690611251789958</v>
      </c>
      <c r="S188">
        <f t="shared" si="22"/>
        <v>4.0010303336884308</v>
      </c>
      <c r="T188">
        <f t="shared" si="23"/>
        <v>4.2208154489268441</v>
      </c>
      <c r="U188">
        <v>1</v>
      </c>
    </row>
    <row r="189" spans="1:21" x14ac:dyDescent="0.35">
      <c r="A189" t="s">
        <v>560</v>
      </c>
      <c r="B189" t="s">
        <v>339</v>
      </c>
      <c r="C189">
        <v>4</v>
      </c>
      <c r="D189">
        <v>0</v>
      </c>
      <c r="E189">
        <v>2</v>
      </c>
      <c r="F189">
        <v>3</v>
      </c>
      <c r="G189">
        <v>48</v>
      </c>
      <c r="H189">
        <v>2</v>
      </c>
      <c r="I189" s="8">
        <v>45322.61041666667</v>
      </c>
      <c r="J189" s="8">
        <v>45324.640277719911</v>
      </c>
      <c r="K189">
        <f t="shared" si="24"/>
        <v>48.716665277781431</v>
      </c>
      <c r="L189">
        <f t="shared" si="25"/>
        <v>2.0298610532408929</v>
      </c>
      <c r="M189" s="2">
        <v>0.60499999999999998</v>
      </c>
      <c r="N189">
        <v>0.1099</v>
      </c>
      <c r="O189">
        <v>15.7050683609682</v>
      </c>
      <c r="P189">
        <v>39.645123962485002</v>
      </c>
      <c r="Q189">
        <f t="shared" si="20"/>
        <v>4.287097823740182</v>
      </c>
      <c r="R189">
        <f t="shared" si="21"/>
        <v>10.82214484872202</v>
      </c>
      <c r="S189">
        <f t="shared" si="22"/>
        <v>2.9653855646810836</v>
      </c>
      <c r="T189">
        <f t="shared" si="23"/>
        <v>3.336467256860999</v>
      </c>
      <c r="U189">
        <v>1</v>
      </c>
    </row>
    <row r="190" spans="1:21" x14ac:dyDescent="0.35">
      <c r="A190" t="s">
        <v>560</v>
      </c>
      <c r="B190" t="s">
        <v>340</v>
      </c>
      <c r="C190">
        <v>4</v>
      </c>
      <c r="D190">
        <v>0</v>
      </c>
      <c r="E190">
        <v>2</v>
      </c>
      <c r="F190">
        <v>4</v>
      </c>
      <c r="G190">
        <v>48</v>
      </c>
      <c r="H190">
        <v>2</v>
      </c>
      <c r="I190" s="8">
        <v>45322.61041666667</v>
      </c>
      <c r="J190" s="8">
        <v>45324.640277719911</v>
      </c>
      <c r="K190">
        <f t="shared" si="24"/>
        <v>48.716665277781431</v>
      </c>
      <c r="L190">
        <f t="shared" si="25"/>
        <v>2.0298610532408929</v>
      </c>
      <c r="M190" s="2">
        <v>0.41489999999999999</v>
      </c>
      <c r="N190">
        <v>6.93E-2</v>
      </c>
      <c r="O190">
        <v>17.455495176873502</v>
      </c>
      <c r="P190">
        <v>19.368959509775699</v>
      </c>
      <c r="Q190">
        <f t="shared" si="20"/>
        <v>7.5564914185599568</v>
      </c>
      <c r="R190">
        <f t="shared" si="21"/>
        <v>8.3848309566128556</v>
      </c>
      <c r="S190">
        <f t="shared" si="22"/>
        <v>5.2268251142179221</v>
      </c>
      <c r="T190">
        <f t="shared" si="23"/>
        <v>2.5850433839237437</v>
      </c>
      <c r="U190">
        <v>0</v>
      </c>
    </row>
    <row r="191" spans="1:21" x14ac:dyDescent="0.35">
      <c r="A191" t="s">
        <v>560</v>
      </c>
      <c r="B191" t="s">
        <v>341</v>
      </c>
      <c r="C191">
        <v>4</v>
      </c>
      <c r="D191">
        <v>0</v>
      </c>
      <c r="E191">
        <v>2</v>
      </c>
      <c r="F191">
        <v>5</v>
      </c>
      <c r="G191">
        <v>48</v>
      </c>
      <c r="H191">
        <v>2</v>
      </c>
      <c r="I191" s="8">
        <v>45322.61041666667</v>
      </c>
      <c r="J191" s="8">
        <v>45324.640277719911</v>
      </c>
      <c r="K191">
        <f t="shared" si="24"/>
        <v>48.716665277781431</v>
      </c>
      <c r="L191">
        <f t="shared" si="25"/>
        <v>2.0298610532408929</v>
      </c>
      <c r="M191" s="2">
        <v>0.43469999999999998</v>
      </c>
      <c r="N191">
        <v>8.1900000000000001E-2</v>
      </c>
      <c r="O191">
        <v>10.0649707609488</v>
      </c>
      <c r="P191">
        <v>25.300737356319701</v>
      </c>
      <c r="Q191">
        <f t="shared" si="20"/>
        <v>3.6868024765380216</v>
      </c>
      <c r="R191">
        <f t="shared" si="21"/>
        <v>9.2676693612892684</v>
      </c>
      <c r="S191">
        <f t="shared" si="22"/>
        <v>2.5501612730213497</v>
      </c>
      <c r="T191">
        <f t="shared" si="23"/>
        <v>2.8572224640854818</v>
      </c>
      <c r="U191">
        <v>1</v>
      </c>
    </row>
    <row r="192" spans="1:21" x14ac:dyDescent="0.35">
      <c r="A192" t="s">
        <v>560</v>
      </c>
      <c r="B192" t="s">
        <v>342</v>
      </c>
      <c r="C192">
        <v>4</v>
      </c>
      <c r="D192">
        <v>0</v>
      </c>
      <c r="E192">
        <v>2</v>
      </c>
      <c r="F192">
        <v>6</v>
      </c>
      <c r="G192">
        <v>48</v>
      </c>
      <c r="H192">
        <v>2</v>
      </c>
      <c r="I192" s="8">
        <v>45322.61041666667</v>
      </c>
      <c r="J192" s="8">
        <v>45324.640277719911</v>
      </c>
      <c r="K192">
        <f t="shared" si="24"/>
        <v>48.716665277781431</v>
      </c>
      <c r="L192">
        <f t="shared" si="25"/>
        <v>2.0298610532408929</v>
      </c>
      <c r="M192" s="2">
        <v>0.45300000000000001</v>
      </c>
      <c r="N192">
        <v>8.1600000000000006E-2</v>
      </c>
      <c r="O192">
        <v>12.045142146403</v>
      </c>
      <c r="P192">
        <v>36.447930349663999</v>
      </c>
      <c r="Q192">
        <f t="shared" si="20"/>
        <v>4.4283610832363971</v>
      </c>
      <c r="R192">
        <f t="shared" si="21"/>
        <v>13.399974393258821</v>
      </c>
      <c r="S192">
        <f t="shared" si="22"/>
        <v>3.063097361274616</v>
      </c>
      <c r="T192">
        <f t="shared" si="23"/>
        <v>4.131212105441695</v>
      </c>
      <c r="U192">
        <v>1</v>
      </c>
    </row>
    <row r="193" spans="1:21" x14ac:dyDescent="0.35">
      <c r="A193" t="s">
        <v>560</v>
      </c>
      <c r="B193" t="s">
        <v>343</v>
      </c>
      <c r="C193">
        <v>4</v>
      </c>
      <c r="D193">
        <v>0</v>
      </c>
      <c r="E193">
        <v>3</v>
      </c>
      <c r="F193">
        <v>1</v>
      </c>
      <c r="G193">
        <v>48</v>
      </c>
      <c r="H193">
        <v>2</v>
      </c>
      <c r="I193" s="8">
        <v>45322.61041666667</v>
      </c>
      <c r="J193" s="8">
        <v>45324.611111111109</v>
      </c>
      <c r="K193">
        <f t="shared" si="24"/>
        <v>48.016666666546371</v>
      </c>
      <c r="L193">
        <f t="shared" si="25"/>
        <v>2.0006944444394321</v>
      </c>
      <c r="M193">
        <v>0.52339999999999998</v>
      </c>
      <c r="N193">
        <v>8.4400000000000003E-2</v>
      </c>
      <c r="O193">
        <v>14.0902908972172</v>
      </c>
      <c r="P193">
        <v>39.758354063702498</v>
      </c>
      <c r="Q193">
        <f t="shared" si="20"/>
        <v>5.0083972383473458</v>
      </c>
      <c r="R193">
        <f t="shared" si="21"/>
        <v>14.132116373353966</v>
      </c>
      <c r="S193">
        <f t="shared" si="22"/>
        <v>3.4643083697648591</v>
      </c>
      <c r="T193">
        <f t="shared" si="23"/>
        <v>4.3569314779050279</v>
      </c>
      <c r="U193">
        <v>1</v>
      </c>
    </row>
    <row r="194" spans="1:21" x14ac:dyDescent="0.35">
      <c r="A194" t="s">
        <v>560</v>
      </c>
      <c r="B194" t="s">
        <v>344</v>
      </c>
      <c r="C194">
        <v>4</v>
      </c>
      <c r="D194">
        <v>0</v>
      </c>
      <c r="E194">
        <v>3</v>
      </c>
      <c r="F194">
        <v>2</v>
      </c>
      <c r="G194">
        <v>48</v>
      </c>
      <c r="H194">
        <v>2</v>
      </c>
      <c r="I194" s="8">
        <v>45322.61041666667</v>
      </c>
      <c r="J194" s="8">
        <v>45324.611111111109</v>
      </c>
      <c r="K194">
        <f t="shared" si="24"/>
        <v>48.016666666546371</v>
      </c>
      <c r="L194">
        <f t="shared" si="25"/>
        <v>2.0006944444394321</v>
      </c>
      <c r="M194">
        <v>0.51700000000000002</v>
      </c>
      <c r="N194">
        <v>8.4599999999999995E-2</v>
      </c>
      <c r="O194">
        <v>11.852974465268201</v>
      </c>
      <c r="P194">
        <v>30.578664527096901</v>
      </c>
      <c r="Q194">
        <f t="shared" si="20"/>
        <v>4.2031824344922706</v>
      </c>
      <c r="R194">
        <f t="shared" si="21"/>
        <v>10.84349805925422</v>
      </c>
      <c r="S194">
        <f t="shared" si="22"/>
        <v>2.9073412899383033</v>
      </c>
      <c r="T194">
        <f t="shared" si="23"/>
        <v>3.3430504516680761</v>
      </c>
      <c r="U194">
        <v>1</v>
      </c>
    </row>
    <row r="195" spans="1:21" x14ac:dyDescent="0.35">
      <c r="A195" t="s">
        <v>560</v>
      </c>
      <c r="B195" t="s">
        <v>345</v>
      </c>
      <c r="C195">
        <v>4</v>
      </c>
      <c r="D195">
        <v>0</v>
      </c>
      <c r="E195">
        <v>3</v>
      </c>
      <c r="F195">
        <v>3</v>
      </c>
      <c r="G195">
        <v>48</v>
      </c>
      <c r="H195">
        <v>2</v>
      </c>
      <c r="I195" s="8">
        <v>45322.61041666667</v>
      </c>
      <c r="J195" s="8">
        <v>45324.611111053244</v>
      </c>
      <c r="K195">
        <f t="shared" si="24"/>
        <v>48.016665277769789</v>
      </c>
      <c r="L195">
        <f t="shared" si="25"/>
        <v>2.0006943865737412</v>
      </c>
      <c r="M195">
        <v>0.41949999999999998</v>
      </c>
      <c r="N195">
        <v>7.1300000000000002E-2</v>
      </c>
      <c r="O195">
        <v>12.202593189434401</v>
      </c>
      <c r="P195">
        <v>31.395620815486598</v>
      </c>
      <c r="Q195">
        <f t="shared" si="20"/>
        <v>5.1343309352458917</v>
      </c>
      <c r="R195">
        <f t="shared" si="21"/>
        <v>13.209938632042046</v>
      </c>
      <c r="S195">
        <f t="shared" si="22"/>
        <v>3.5514167079095831</v>
      </c>
      <c r="T195">
        <f t="shared" si="23"/>
        <v>4.0726240802585636</v>
      </c>
      <c r="U195">
        <v>1</v>
      </c>
    </row>
    <row r="196" spans="1:21" x14ac:dyDescent="0.35">
      <c r="A196" t="s">
        <v>560</v>
      </c>
      <c r="B196" t="s">
        <v>346</v>
      </c>
      <c r="C196">
        <v>4</v>
      </c>
      <c r="D196">
        <v>0</v>
      </c>
      <c r="E196">
        <v>3</v>
      </c>
      <c r="F196">
        <v>4</v>
      </c>
      <c r="G196">
        <v>48</v>
      </c>
      <c r="H196">
        <v>2</v>
      </c>
      <c r="I196" s="8">
        <v>45322.61041666667</v>
      </c>
      <c r="J196" s="8">
        <v>45324.611111053244</v>
      </c>
      <c r="K196">
        <f t="shared" si="24"/>
        <v>48.016665277769789</v>
      </c>
      <c r="L196">
        <f t="shared" si="25"/>
        <v>2.0006943865737412</v>
      </c>
      <c r="M196">
        <v>0.44919999999999999</v>
      </c>
      <c r="N196">
        <v>8.1100000000000005E-2</v>
      </c>
      <c r="O196">
        <v>14.5486578813665</v>
      </c>
      <c r="P196">
        <v>33.128233145501802</v>
      </c>
      <c r="Q196">
        <f t="shared" si="20"/>
        <v>5.3817476749814421</v>
      </c>
      <c r="R196">
        <f t="shared" si="21"/>
        <v>12.254586860234944</v>
      </c>
      <c r="S196">
        <f t="shared" si="22"/>
        <v>3.7225548667846633</v>
      </c>
      <c r="T196">
        <f t="shared" si="23"/>
        <v>3.7780891290104335</v>
      </c>
      <c r="U196">
        <v>1</v>
      </c>
    </row>
    <row r="197" spans="1:21" x14ac:dyDescent="0.35">
      <c r="A197" t="s">
        <v>560</v>
      </c>
      <c r="B197" t="s">
        <v>347</v>
      </c>
      <c r="C197">
        <v>4</v>
      </c>
      <c r="D197">
        <v>0</v>
      </c>
      <c r="E197">
        <v>3</v>
      </c>
      <c r="F197">
        <v>5</v>
      </c>
      <c r="G197">
        <v>48</v>
      </c>
      <c r="H197">
        <v>2</v>
      </c>
      <c r="I197" s="8">
        <v>45322.61041666667</v>
      </c>
      <c r="J197" s="8">
        <v>45324.611111053244</v>
      </c>
      <c r="K197">
        <f t="shared" si="24"/>
        <v>48.016665277769789</v>
      </c>
      <c r="L197">
        <f t="shared" si="25"/>
        <v>2.0006943865737412</v>
      </c>
      <c r="M197" s="2">
        <v>0.55230000000000001</v>
      </c>
      <c r="N197">
        <v>0.1128</v>
      </c>
      <c r="O197">
        <v>15.0409797516935</v>
      </c>
      <c r="P197">
        <v>32.415994298539701</v>
      </c>
      <c r="Q197">
        <f t="shared" si="20"/>
        <v>4.0002605722589095</v>
      </c>
      <c r="R197">
        <f t="shared" si="21"/>
        <v>8.6212750793988562</v>
      </c>
      <c r="S197">
        <f t="shared" si="22"/>
        <v>2.7669802378314876</v>
      </c>
      <c r="T197">
        <f t="shared" si="23"/>
        <v>2.6579391069786675</v>
      </c>
      <c r="U197">
        <v>1</v>
      </c>
    </row>
    <row r="198" spans="1:21" x14ac:dyDescent="0.35">
      <c r="A198" t="s">
        <v>560</v>
      </c>
      <c r="B198" t="s">
        <v>348</v>
      </c>
      <c r="C198">
        <v>4</v>
      </c>
      <c r="D198">
        <v>400</v>
      </c>
      <c r="E198">
        <v>1</v>
      </c>
      <c r="F198">
        <v>1</v>
      </c>
      <c r="G198">
        <v>48</v>
      </c>
      <c r="H198">
        <v>2</v>
      </c>
      <c r="I198" s="8">
        <v>45322.663194444445</v>
      </c>
      <c r="J198" s="8">
        <v>45324.619444444441</v>
      </c>
      <c r="K198">
        <f t="shared" si="24"/>
        <v>46.949999999895226</v>
      </c>
      <c r="L198">
        <f t="shared" si="25"/>
        <v>1.9562499999956344</v>
      </c>
      <c r="M198">
        <v>0.64539999999999997</v>
      </c>
      <c r="N198">
        <v>0.1079</v>
      </c>
      <c r="O198">
        <v>43.538118199368697</v>
      </c>
      <c r="P198">
        <v>62.916246150842703</v>
      </c>
      <c r="Q198">
        <f t="shared" si="20"/>
        <v>12.105130175913446</v>
      </c>
      <c r="R198">
        <f t="shared" si="21"/>
        <v>17.492932201346441</v>
      </c>
      <c r="S198">
        <f t="shared" si="22"/>
        <v>8.3731185426793306</v>
      </c>
      <c r="T198">
        <f t="shared" si="23"/>
        <v>5.3930709976751086</v>
      </c>
      <c r="U198">
        <v>1</v>
      </c>
    </row>
    <row r="199" spans="1:21" x14ac:dyDescent="0.35">
      <c r="A199" t="s">
        <v>560</v>
      </c>
      <c r="B199" t="s">
        <v>349</v>
      </c>
      <c r="C199">
        <v>4</v>
      </c>
      <c r="D199">
        <v>400</v>
      </c>
      <c r="E199">
        <v>1</v>
      </c>
      <c r="F199">
        <v>2</v>
      </c>
      <c r="G199">
        <v>48</v>
      </c>
      <c r="H199">
        <v>2</v>
      </c>
      <c r="I199" s="8">
        <v>45322.663194444445</v>
      </c>
      <c r="J199" s="8">
        <v>45324.619444444441</v>
      </c>
      <c r="K199">
        <f t="shared" si="24"/>
        <v>46.949999999895226</v>
      </c>
      <c r="L199">
        <f t="shared" si="25"/>
        <v>1.9562499999956344</v>
      </c>
      <c r="M199">
        <v>0.41909999999999997</v>
      </c>
      <c r="N199">
        <v>7.6300000000000007E-2</v>
      </c>
      <c r="O199">
        <v>26.2483572598798</v>
      </c>
      <c r="P199">
        <v>45.821193635042299</v>
      </c>
      <c r="Q199">
        <f t="shared" si="20"/>
        <v>10.320455016990746</v>
      </c>
      <c r="R199">
        <f t="shared" si="21"/>
        <v>18.016196711025803</v>
      </c>
      <c r="S199">
        <f t="shared" si="22"/>
        <v>7.1386587352524984</v>
      </c>
      <c r="T199">
        <f t="shared" si="23"/>
        <v>5.5543934460092554</v>
      </c>
      <c r="U199">
        <v>1</v>
      </c>
    </row>
    <row r="200" spans="1:21" x14ac:dyDescent="0.35">
      <c r="A200" t="s">
        <v>560</v>
      </c>
      <c r="B200" t="s">
        <v>350</v>
      </c>
      <c r="C200">
        <v>4</v>
      </c>
      <c r="D200">
        <v>400</v>
      </c>
      <c r="E200">
        <v>1</v>
      </c>
      <c r="F200">
        <v>3</v>
      </c>
      <c r="G200">
        <v>48</v>
      </c>
      <c r="H200">
        <v>2</v>
      </c>
      <c r="I200" s="8">
        <v>45322.663194444445</v>
      </c>
      <c r="J200" s="8">
        <v>45324.619444386575</v>
      </c>
      <c r="K200">
        <f t="shared" si="24"/>
        <v>46.949998611118644</v>
      </c>
      <c r="L200">
        <f t="shared" si="25"/>
        <v>1.9562499421299435</v>
      </c>
      <c r="M200">
        <v>0.44550000000000001</v>
      </c>
      <c r="N200">
        <v>7.4499999999999997E-2</v>
      </c>
      <c r="O200">
        <v>31.461219925337002</v>
      </c>
      <c r="P200">
        <v>46.6462605126152</v>
      </c>
      <c r="Q200">
        <f t="shared" si="20"/>
        <v>12.668947620941076</v>
      </c>
      <c r="R200">
        <f t="shared" si="21"/>
        <v>18.783729065482632</v>
      </c>
      <c r="S200">
        <f t="shared" si="22"/>
        <v>8.7631110694049426</v>
      </c>
      <c r="T200">
        <f t="shared" si="23"/>
        <v>5.7910236708882961</v>
      </c>
      <c r="U200">
        <v>1</v>
      </c>
    </row>
    <row r="201" spans="1:21" x14ac:dyDescent="0.35">
      <c r="A201" t="s">
        <v>560</v>
      </c>
      <c r="B201" t="s">
        <v>351</v>
      </c>
      <c r="C201">
        <v>4</v>
      </c>
      <c r="D201">
        <v>400</v>
      </c>
      <c r="E201">
        <v>1</v>
      </c>
      <c r="F201">
        <v>4</v>
      </c>
      <c r="G201">
        <v>48</v>
      </c>
      <c r="H201">
        <v>2</v>
      </c>
      <c r="I201" s="8">
        <v>45322.663194444445</v>
      </c>
      <c r="J201" s="8">
        <v>45324.619444386575</v>
      </c>
      <c r="K201">
        <f t="shared" si="24"/>
        <v>46.949998611118644</v>
      </c>
      <c r="L201">
        <f t="shared" si="25"/>
        <v>1.9562499421299435</v>
      </c>
      <c r="M201">
        <v>0.63560000000000005</v>
      </c>
      <c r="N201">
        <v>0.1139</v>
      </c>
      <c r="O201">
        <v>47.648546844279998</v>
      </c>
      <c r="P201">
        <v>63.712332217089802</v>
      </c>
      <c r="Q201">
        <f t="shared" si="20"/>
        <v>12.550100134577701</v>
      </c>
      <c r="R201">
        <f t="shared" si="21"/>
        <v>16.781123498794503</v>
      </c>
      <c r="S201">
        <f t="shared" si="22"/>
        <v>8.6809042630873954</v>
      </c>
      <c r="T201">
        <f t="shared" si="23"/>
        <v>5.1736203746783458</v>
      </c>
      <c r="U201">
        <v>1</v>
      </c>
    </row>
    <row r="202" spans="1:21" x14ac:dyDescent="0.35">
      <c r="A202" t="s">
        <v>560</v>
      </c>
      <c r="B202" t="s">
        <v>352</v>
      </c>
      <c r="C202">
        <v>4</v>
      </c>
      <c r="D202">
        <v>400</v>
      </c>
      <c r="E202">
        <v>1</v>
      </c>
      <c r="F202">
        <v>5</v>
      </c>
      <c r="G202">
        <v>48</v>
      </c>
      <c r="H202">
        <v>2</v>
      </c>
      <c r="I202" s="8">
        <v>45322.663194444445</v>
      </c>
      <c r="J202" s="8">
        <v>45324.619444386575</v>
      </c>
      <c r="K202">
        <f t="shared" si="24"/>
        <v>46.949998611118644</v>
      </c>
      <c r="L202">
        <f t="shared" si="25"/>
        <v>1.9562499421299435</v>
      </c>
      <c r="M202">
        <v>0.61360000000000003</v>
      </c>
      <c r="N202">
        <v>0.1095</v>
      </c>
      <c r="O202">
        <v>50.823578214024501</v>
      </c>
      <c r="P202">
        <v>70.805937930833593</v>
      </c>
      <c r="Q202">
        <f t="shared" si="20"/>
        <v>13.924268003842329</v>
      </c>
      <c r="R202">
        <f t="shared" si="21"/>
        <v>19.398887104337973</v>
      </c>
      <c r="S202">
        <f t="shared" si="22"/>
        <v>9.631416178257739</v>
      </c>
      <c r="T202">
        <f t="shared" si="23"/>
        <v>5.9806768942673978</v>
      </c>
      <c r="U202">
        <v>1</v>
      </c>
    </row>
    <row r="203" spans="1:21" x14ac:dyDescent="0.35">
      <c r="A203" t="s">
        <v>560</v>
      </c>
      <c r="B203" t="s">
        <v>353</v>
      </c>
      <c r="C203">
        <v>4</v>
      </c>
      <c r="D203">
        <v>400</v>
      </c>
      <c r="E203">
        <v>2</v>
      </c>
      <c r="F203">
        <v>1</v>
      </c>
      <c r="G203">
        <v>48</v>
      </c>
      <c r="H203">
        <v>2</v>
      </c>
      <c r="I203" s="8">
        <v>45322.663194444445</v>
      </c>
      <c r="J203" s="8">
        <v>45324.62222222222</v>
      </c>
      <c r="K203">
        <f t="shared" si="24"/>
        <v>47.016666666604578</v>
      </c>
      <c r="L203">
        <f t="shared" si="25"/>
        <v>1.9590277777751908</v>
      </c>
      <c r="M203">
        <v>0.42559999999999998</v>
      </c>
      <c r="N203">
        <v>7.0099999999999996E-2</v>
      </c>
      <c r="O203">
        <v>30.603993239223499</v>
      </c>
      <c r="P203">
        <v>42.715955304434502</v>
      </c>
      <c r="Q203">
        <f t="shared" si="20"/>
        <v>13.097286692962982</v>
      </c>
      <c r="R203">
        <f t="shared" si="21"/>
        <v>18.28072266951548</v>
      </c>
      <c r="S203">
        <f t="shared" si="22"/>
        <v>9.0593932055224933</v>
      </c>
      <c r="T203">
        <f t="shared" si="23"/>
        <v>5.6359467990116228</v>
      </c>
      <c r="U203">
        <v>1</v>
      </c>
    </row>
    <row r="204" spans="1:21" x14ac:dyDescent="0.35">
      <c r="A204" t="s">
        <v>560</v>
      </c>
      <c r="B204" t="s">
        <v>354</v>
      </c>
      <c r="C204">
        <v>4</v>
      </c>
      <c r="D204">
        <v>400</v>
      </c>
      <c r="E204">
        <v>2</v>
      </c>
      <c r="F204">
        <v>2</v>
      </c>
      <c r="G204">
        <v>48</v>
      </c>
      <c r="H204">
        <v>2</v>
      </c>
      <c r="I204" s="8">
        <v>45322.663194444445</v>
      </c>
      <c r="J204" s="8">
        <v>45324.62222222222</v>
      </c>
      <c r="K204">
        <f t="shared" si="24"/>
        <v>47.016666666604578</v>
      </c>
      <c r="L204">
        <f t="shared" si="25"/>
        <v>1.9590277777751908</v>
      </c>
      <c r="M204">
        <v>0.64229999999999998</v>
      </c>
      <c r="N204">
        <v>0.1026</v>
      </c>
      <c r="O204">
        <v>44.577074279839202</v>
      </c>
      <c r="P204">
        <v>61.276011076728501</v>
      </c>
      <c r="Q204">
        <f t="shared" si="20"/>
        <v>13.03423224556702</v>
      </c>
      <c r="R204">
        <f t="shared" si="21"/>
        <v>17.916962303136991</v>
      </c>
      <c r="S204">
        <f t="shared" si="22"/>
        <v>9.0157784442587072</v>
      </c>
      <c r="T204">
        <f t="shared" si="23"/>
        <v>5.5237994780571347</v>
      </c>
      <c r="U204">
        <v>1</v>
      </c>
    </row>
    <row r="205" spans="1:21" x14ac:dyDescent="0.35">
      <c r="A205" t="s">
        <v>560</v>
      </c>
      <c r="B205" t="s">
        <v>355</v>
      </c>
      <c r="C205">
        <v>4</v>
      </c>
      <c r="D205">
        <v>400</v>
      </c>
      <c r="E205">
        <v>2</v>
      </c>
      <c r="F205">
        <v>3</v>
      </c>
      <c r="G205">
        <v>48</v>
      </c>
      <c r="H205">
        <v>2</v>
      </c>
      <c r="I205" s="8">
        <v>45322.663194444445</v>
      </c>
      <c r="J205" s="8">
        <v>45324.622222164355</v>
      </c>
      <c r="K205">
        <f t="shared" si="24"/>
        <v>47.016665277827997</v>
      </c>
      <c r="L205">
        <f t="shared" si="25"/>
        <v>1.9590277199094999</v>
      </c>
      <c r="M205">
        <v>0.3967</v>
      </c>
      <c r="N205">
        <v>7.6300000000000007E-2</v>
      </c>
      <c r="O205">
        <v>30.9963083064718</v>
      </c>
      <c r="P205">
        <v>43.891085294643297</v>
      </c>
      <c r="Q205">
        <f t="shared" si="20"/>
        <v>12.187277184720234</v>
      </c>
      <c r="R205">
        <f t="shared" si="21"/>
        <v>17.257307455298804</v>
      </c>
      <c r="S205">
        <f t="shared" si="22"/>
        <v>8.4299396286709847</v>
      </c>
      <c r="T205">
        <f t="shared" si="23"/>
        <v>5.3204278884686218</v>
      </c>
      <c r="U205">
        <v>1</v>
      </c>
    </row>
    <row r="206" spans="1:21" x14ac:dyDescent="0.35">
      <c r="A206" t="s">
        <v>560</v>
      </c>
      <c r="B206" t="s">
        <v>356</v>
      </c>
      <c r="C206">
        <v>4</v>
      </c>
      <c r="D206">
        <v>400</v>
      </c>
      <c r="E206">
        <v>2</v>
      </c>
      <c r="F206">
        <v>4</v>
      </c>
      <c r="G206">
        <v>48</v>
      </c>
      <c r="H206">
        <v>2</v>
      </c>
      <c r="I206" s="8">
        <v>45322.663194444445</v>
      </c>
      <c r="J206" s="8">
        <v>45324.622222164355</v>
      </c>
      <c r="K206">
        <f t="shared" si="24"/>
        <v>47.016665277827997</v>
      </c>
      <c r="L206">
        <f t="shared" si="25"/>
        <v>1.9590277199094999</v>
      </c>
      <c r="M206">
        <v>0.46839999999999998</v>
      </c>
      <c r="N206">
        <v>7.8299999999999995E-2</v>
      </c>
      <c r="O206">
        <v>22.875884635727701</v>
      </c>
      <c r="P206">
        <v>34.702348216575899</v>
      </c>
      <c r="Q206">
        <f t="shared" si="20"/>
        <v>8.7647067569837951</v>
      </c>
      <c r="R206">
        <f t="shared" si="21"/>
        <v>13.295918856925631</v>
      </c>
      <c r="S206">
        <f t="shared" si="22"/>
        <v>6.0625476638056908</v>
      </c>
      <c r="T206">
        <f t="shared" si="23"/>
        <v>4.0991317835901722</v>
      </c>
      <c r="U206">
        <v>1</v>
      </c>
    </row>
    <row r="207" spans="1:21" x14ac:dyDescent="0.35">
      <c r="A207" t="s">
        <v>560</v>
      </c>
      <c r="B207" t="s">
        <v>357</v>
      </c>
      <c r="C207">
        <v>4</v>
      </c>
      <c r="D207">
        <v>400</v>
      </c>
      <c r="E207">
        <v>2</v>
      </c>
      <c r="F207">
        <v>5</v>
      </c>
      <c r="G207">
        <v>48</v>
      </c>
      <c r="H207">
        <v>2</v>
      </c>
      <c r="I207" s="8">
        <v>45322.663194444445</v>
      </c>
      <c r="J207" s="8">
        <v>45324.622222164355</v>
      </c>
      <c r="K207">
        <f t="shared" si="24"/>
        <v>47.016665277827997</v>
      </c>
      <c r="L207">
        <f t="shared" si="25"/>
        <v>1.9590277199094999</v>
      </c>
      <c r="M207">
        <v>0.32719999999999999</v>
      </c>
      <c r="N207">
        <v>5.5399999999999998E-2</v>
      </c>
      <c r="O207">
        <v>29.778158570655599</v>
      </c>
      <c r="P207">
        <v>37.883451754200202</v>
      </c>
      <c r="Q207">
        <f t="shared" si="20"/>
        <v>16.125356626708808</v>
      </c>
      <c r="R207">
        <f t="shared" si="21"/>
        <v>20.514504560036212</v>
      </c>
      <c r="S207">
        <f t="shared" si="22"/>
        <v>11.153909178694482</v>
      </c>
      <c r="T207">
        <f t="shared" si="23"/>
        <v>6.3246217558591642</v>
      </c>
      <c r="U207">
        <v>1</v>
      </c>
    </row>
    <row r="208" spans="1:21" x14ac:dyDescent="0.35">
      <c r="A208" t="s">
        <v>560</v>
      </c>
      <c r="B208" t="s">
        <v>358</v>
      </c>
      <c r="C208">
        <v>4</v>
      </c>
      <c r="D208">
        <v>400</v>
      </c>
      <c r="E208">
        <v>3</v>
      </c>
      <c r="F208">
        <v>1</v>
      </c>
      <c r="G208">
        <v>48</v>
      </c>
      <c r="H208">
        <v>2</v>
      </c>
      <c r="I208" s="8">
        <v>45322.663194444445</v>
      </c>
      <c r="J208" s="8">
        <v>45324.624305555553</v>
      </c>
      <c r="K208">
        <f t="shared" si="24"/>
        <v>47.066666666592937</v>
      </c>
      <c r="L208">
        <f t="shared" si="25"/>
        <v>1.961111111108039</v>
      </c>
      <c r="M208">
        <v>0.31690000000000002</v>
      </c>
      <c r="N208">
        <v>5.4399999999999997E-2</v>
      </c>
      <c r="O208">
        <v>22.4726392408602</v>
      </c>
      <c r="P208">
        <v>29.171761090861601</v>
      </c>
      <c r="Q208">
        <f t="shared" si="20"/>
        <v>12.39299958135673</v>
      </c>
      <c r="R208">
        <f t="shared" si="21"/>
        <v>16.087368248636913</v>
      </c>
      <c r="S208">
        <f t="shared" si="22"/>
        <v>8.5722378104244488</v>
      </c>
      <c r="T208">
        <f t="shared" si="23"/>
        <v>4.9597356310547607</v>
      </c>
      <c r="U208">
        <v>1</v>
      </c>
    </row>
    <row r="209" spans="1:21" x14ac:dyDescent="0.35">
      <c r="A209" t="s">
        <v>560</v>
      </c>
      <c r="B209" t="s">
        <v>359</v>
      </c>
      <c r="C209">
        <v>4</v>
      </c>
      <c r="D209">
        <v>400</v>
      </c>
      <c r="E209">
        <v>3</v>
      </c>
      <c r="F209">
        <v>2</v>
      </c>
      <c r="G209">
        <v>48</v>
      </c>
      <c r="H209">
        <v>2</v>
      </c>
      <c r="I209" s="8">
        <v>45322.663194444445</v>
      </c>
      <c r="J209" s="8">
        <v>45324.624305555553</v>
      </c>
      <c r="K209">
        <f t="shared" si="24"/>
        <v>47.066666666592937</v>
      </c>
      <c r="L209">
        <f t="shared" si="25"/>
        <v>1.961111111108039</v>
      </c>
      <c r="M209">
        <v>0.58720000000000006</v>
      </c>
      <c r="N209">
        <v>0.1069</v>
      </c>
      <c r="O209">
        <v>42.424178337774201</v>
      </c>
      <c r="P209">
        <v>63.669773056414698</v>
      </c>
      <c r="Q209">
        <f t="shared" si="20"/>
        <v>11.90575631555871</v>
      </c>
      <c r="R209">
        <f t="shared" si="21"/>
        <v>17.868037340434437</v>
      </c>
      <c r="S209">
        <f t="shared" si="22"/>
        <v>8.2352116434719598</v>
      </c>
      <c r="T209">
        <f t="shared" si="23"/>
        <v>5.508715912055937</v>
      </c>
      <c r="U209">
        <v>1</v>
      </c>
    </row>
    <row r="210" spans="1:21" x14ac:dyDescent="0.35">
      <c r="A210" t="s">
        <v>560</v>
      </c>
      <c r="B210" t="s">
        <v>360</v>
      </c>
      <c r="C210">
        <v>4</v>
      </c>
      <c r="D210">
        <v>400</v>
      </c>
      <c r="E210">
        <v>3</v>
      </c>
      <c r="F210">
        <v>3</v>
      </c>
      <c r="G210">
        <v>48</v>
      </c>
      <c r="H210">
        <v>2</v>
      </c>
      <c r="I210" s="8">
        <v>45322.663194444445</v>
      </c>
      <c r="J210" s="8">
        <v>45324.624305497688</v>
      </c>
      <c r="K210">
        <f t="shared" si="24"/>
        <v>47.066665277816355</v>
      </c>
      <c r="L210">
        <f t="shared" si="25"/>
        <v>1.9611110532423481</v>
      </c>
      <c r="M210">
        <v>0.3826</v>
      </c>
      <c r="N210">
        <v>6.7500000000000004E-2</v>
      </c>
      <c r="O210">
        <v>26.023580459090802</v>
      </c>
      <c r="P210">
        <v>36.946482957490304</v>
      </c>
      <c r="Q210">
        <f t="shared" si="20"/>
        <v>11.566035759595911</v>
      </c>
      <c r="R210">
        <f t="shared" si="21"/>
        <v>16.420659092217914</v>
      </c>
      <c r="S210">
        <f t="shared" si="22"/>
        <v>8.0002269349124919</v>
      </c>
      <c r="T210">
        <f t="shared" si="23"/>
        <v>5.0624891981307831</v>
      </c>
      <c r="U210">
        <v>1</v>
      </c>
    </row>
    <row r="211" spans="1:21" x14ac:dyDescent="0.35">
      <c r="A211" t="s">
        <v>560</v>
      </c>
      <c r="B211" t="s">
        <v>361</v>
      </c>
      <c r="C211">
        <v>4</v>
      </c>
      <c r="D211">
        <v>400</v>
      </c>
      <c r="E211">
        <v>3</v>
      </c>
      <c r="F211">
        <v>4</v>
      </c>
      <c r="G211">
        <v>48</v>
      </c>
      <c r="H211">
        <v>2</v>
      </c>
      <c r="I211" s="8">
        <v>45322.663194444445</v>
      </c>
      <c r="J211" s="8">
        <v>45324.624305497688</v>
      </c>
      <c r="K211">
        <f t="shared" si="24"/>
        <v>47.066665277816355</v>
      </c>
      <c r="L211">
        <f t="shared" si="25"/>
        <v>1.9611110532423481</v>
      </c>
      <c r="M211">
        <v>0.69530000000000003</v>
      </c>
      <c r="N211">
        <v>0.1163</v>
      </c>
      <c r="O211">
        <v>44.532363256955797</v>
      </c>
      <c r="P211">
        <v>64.842978333661407</v>
      </c>
      <c r="Q211">
        <f t="shared" si="20"/>
        <v>11.48728200953288</v>
      </c>
      <c r="R211">
        <f t="shared" si="21"/>
        <v>16.726477644108702</v>
      </c>
      <c r="S211">
        <f t="shared" si="22"/>
        <v>7.9457529659938926</v>
      </c>
      <c r="T211">
        <f t="shared" si="23"/>
        <v>5.1567730576787127</v>
      </c>
      <c r="U211">
        <v>1</v>
      </c>
    </row>
    <row r="212" spans="1:21" x14ac:dyDescent="0.35">
      <c r="A212" t="s">
        <v>560</v>
      </c>
      <c r="B212" t="s">
        <v>362</v>
      </c>
      <c r="C212">
        <v>4</v>
      </c>
      <c r="D212">
        <v>400</v>
      </c>
      <c r="E212">
        <v>3</v>
      </c>
      <c r="F212">
        <v>5</v>
      </c>
      <c r="G212">
        <v>48</v>
      </c>
      <c r="H212">
        <v>2</v>
      </c>
      <c r="I212" s="8">
        <v>45322.663194444445</v>
      </c>
      <c r="J212" s="8">
        <v>45324.624305497688</v>
      </c>
      <c r="K212">
        <f t="shared" si="24"/>
        <v>47.066665277816355</v>
      </c>
      <c r="L212">
        <f t="shared" si="25"/>
        <v>1.9611110532423481</v>
      </c>
      <c r="M212">
        <v>0.38080000000000003</v>
      </c>
      <c r="N212">
        <v>6.7500000000000004E-2</v>
      </c>
      <c r="O212">
        <v>34.565876142626202</v>
      </c>
      <c r="P212">
        <v>51.436039742435</v>
      </c>
      <c r="Q212">
        <f t="shared" ref="Q212:Q272" si="26">O212*30/1000/N212</f>
        <v>15.36261161894498</v>
      </c>
      <c r="R212">
        <f t="shared" ref="R212:R272" si="27">P212*30/1000/N212</f>
        <v>22.860462107748887</v>
      </c>
      <c r="S212">
        <f t="shared" si="22"/>
        <v>10.626318456824242</v>
      </c>
      <c r="T212">
        <f t="shared" si="23"/>
        <v>7.0478804678189819</v>
      </c>
      <c r="U212">
        <v>1</v>
      </c>
    </row>
    <row r="213" spans="1:21" x14ac:dyDescent="0.35">
      <c r="A213" t="s">
        <v>560</v>
      </c>
      <c r="B213" t="s">
        <v>363</v>
      </c>
      <c r="C213">
        <v>4</v>
      </c>
      <c r="D213">
        <v>800</v>
      </c>
      <c r="E213">
        <v>1</v>
      </c>
      <c r="F213">
        <v>1</v>
      </c>
      <c r="G213">
        <v>48</v>
      </c>
      <c r="H213">
        <v>2</v>
      </c>
      <c r="I213" s="8">
        <v>45322.628472222219</v>
      </c>
      <c r="J213" s="8">
        <v>45324.583333333336</v>
      </c>
      <c r="K213">
        <f t="shared" si="24"/>
        <v>46.916666666802485</v>
      </c>
      <c r="L213">
        <f t="shared" si="25"/>
        <v>1.9548611111167702</v>
      </c>
      <c r="M213">
        <v>0.49509999999999998</v>
      </c>
      <c r="N213">
        <v>7.4099999999999999E-2</v>
      </c>
      <c r="O213">
        <v>91.849467713623696</v>
      </c>
      <c r="P213">
        <v>114.80642878939599</v>
      </c>
      <c r="Q213">
        <f t="shared" si="26"/>
        <v>37.186019317256559</v>
      </c>
      <c r="R213">
        <f t="shared" si="27"/>
        <v>46.480335542265586</v>
      </c>
      <c r="S213">
        <f t="shared" ref="S213:S272" si="28">Q213*0.6917</f>
        <v>25.72156956174636</v>
      </c>
      <c r="T213">
        <f t="shared" ref="T213:T272" si="29">R213*0.3083</f>
        <v>14.329887447680481</v>
      </c>
      <c r="U213">
        <v>1</v>
      </c>
    </row>
    <row r="214" spans="1:21" x14ac:dyDescent="0.35">
      <c r="A214" t="s">
        <v>560</v>
      </c>
      <c r="B214" t="s">
        <v>364</v>
      </c>
      <c r="C214">
        <v>4</v>
      </c>
      <c r="D214">
        <v>800</v>
      </c>
      <c r="E214">
        <v>1</v>
      </c>
      <c r="F214">
        <v>2</v>
      </c>
      <c r="G214">
        <v>48</v>
      </c>
      <c r="H214">
        <v>2</v>
      </c>
      <c r="I214" s="8">
        <v>45322.628472222219</v>
      </c>
      <c r="J214" s="8">
        <v>45324.583333333336</v>
      </c>
      <c r="K214">
        <f t="shared" si="24"/>
        <v>46.916666666802485</v>
      </c>
      <c r="L214">
        <f t="shared" si="25"/>
        <v>1.9548611111167702</v>
      </c>
      <c r="M214">
        <v>0.38440000000000002</v>
      </c>
      <c r="N214" s="1">
        <v>6.7000000000000004E-2</v>
      </c>
      <c r="O214">
        <v>78.244496702470798</v>
      </c>
      <c r="P214">
        <v>95.315611613959902</v>
      </c>
      <c r="Q214">
        <f t="shared" si="26"/>
        <v>35.034849269763036</v>
      </c>
      <c r="R214">
        <f t="shared" si="27"/>
        <v>42.678632065952193</v>
      </c>
      <c r="S214">
        <f t="shared" si="28"/>
        <v>24.233605239895091</v>
      </c>
      <c r="T214">
        <f t="shared" si="29"/>
        <v>13.157822265933062</v>
      </c>
      <c r="U214">
        <v>1</v>
      </c>
    </row>
    <row r="215" spans="1:21" x14ac:dyDescent="0.35">
      <c r="A215" t="s">
        <v>560</v>
      </c>
      <c r="B215" t="s">
        <v>365</v>
      </c>
      <c r="C215">
        <v>4</v>
      </c>
      <c r="D215">
        <v>800</v>
      </c>
      <c r="E215">
        <v>1</v>
      </c>
      <c r="F215">
        <v>3</v>
      </c>
      <c r="G215">
        <v>48</v>
      </c>
      <c r="H215">
        <v>2</v>
      </c>
      <c r="I215" s="8">
        <v>45322.628472164353</v>
      </c>
      <c r="J215" s="8">
        <v>45324.583333333336</v>
      </c>
      <c r="K215">
        <f t="shared" si="24"/>
        <v>46.916668055579066</v>
      </c>
      <c r="L215">
        <f t="shared" si="25"/>
        <v>1.9548611689824611</v>
      </c>
      <c r="M215">
        <v>0.35570000000000002</v>
      </c>
      <c r="N215">
        <v>6.1199999999999997E-2</v>
      </c>
      <c r="O215">
        <v>50.323914923637403</v>
      </c>
      <c r="P215">
        <v>62.297379097464798</v>
      </c>
      <c r="Q215">
        <f t="shared" si="26"/>
        <v>24.668585746881082</v>
      </c>
      <c r="R215">
        <f t="shared" si="27"/>
        <v>30.5379309301298</v>
      </c>
      <c r="S215">
        <f t="shared" si="28"/>
        <v>17.063260761117643</v>
      </c>
      <c r="T215">
        <f t="shared" si="29"/>
        <v>9.414844105759018</v>
      </c>
      <c r="U215">
        <v>1</v>
      </c>
    </row>
    <row r="216" spans="1:21" x14ac:dyDescent="0.35">
      <c r="A216" t="s">
        <v>560</v>
      </c>
      <c r="B216" t="s">
        <v>366</v>
      </c>
      <c r="C216">
        <v>4</v>
      </c>
      <c r="D216">
        <v>800</v>
      </c>
      <c r="E216">
        <v>1</v>
      </c>
      <c r="F216">
        <v>4</v>
      </c>
      <c r="G216">
        <v>48</v>
      </c>
      <c r="H216">
        <v>2</v>
      </c>
      <c r="I216" s="8">
        <v>45322.628472164353</v>
      </c>
      <c r="J216" s="8">
        <v>45324.583333333336</v>
      </c>
      <c r="K216">
        <f t="shared" si="24"/>
        <v>46.916668055579066</v>
      </c>
      <c r="L216">
        <f t="shared" si="25"/>
        <v>1.9548611689824611</v>
      </c>
      <c r="M216">
        <v>0.52600000000000002</v>
      </c>
      <c r="N216">
        <v>8.2199999999999995E-2</v>
      </c>
      <c r="O216">
        <v>55.441725409801002</v>
      </c>
      <c r="P216">
        <v>76.8162746692703</v>
      </c>
      <c r="Q216">
        <f t="shared" si="26"/>
        <v>20.234206353941971</v>
      </c>
      <c r="R216">
        <f t="shared" si="27"/>
        <v>28.035136740609602</v>
      </c>
      <c r="S216">
        <f t="shared" si="28"/>
        <v>13.996000535021661</v>
      </c>
      <c r="T216">
        <f t="shared" si="29"/>
        <v>8.6432326571299409</v>
      </c>
      <c r="U216">
        <v>1</v>
      </c>
    </row>
    <row r="217" spans="1:21" x14ac:dyDescent="0.35">
      <c r="A217" t="s">
        <v>560</v>
      </c>
      <c r="B217" t="s">
        <v>367</v>
      </c>
      <c r="C217">
        <v>4</v>
      </c>
      <c r="D217">
        <v>800</v>
      </c>
      <c r="E217">
        <v>1</v>
      </c>
      <c r="F217">
        <v>5</v>
      </c>
      <c r="G217">
        <v>48</v>
      </c>
      <c r="H217">
        <v>2</v>
      </c>
      <c r="I217" s="8">
        <v>45322.628472164353</v>
      </c>
      <c r="J217" s="8">
        <v>45324.583333333336</v>
      </c>
      <c r="K217">
        <f t="shared" si="24"/>
        <v>46.916668055579066</v>
      </c>
      <c r="L217">
        <f t="shared" si="25"/>
        <v>1.9548611689824611</v>
      </c>
      <c r="M217">
        <v>0.439</v>
      </c>
      <c r="N217">
        <v>7.22E-2</v>
      </c>
      <c r="O217">
        <v>46.125227549000599</v>
      </c>
      <c r="P217">
        <v>58.312880755818</v>
      </c>
      <c r="Q217">
        <f t="shared" si="26"/>
        <v>19.165607014820193</v>
      </c>
      <c r="R217">
        <f t="shared" si="27"/>
        <v>24.229728845907754</v>
      </c>
      <c r="S217">
        <f t="shared" si="28"/>
        <v>13.256850372151128</v>
      </c>
      <c r="T217">
        <f t="shared" si="29"/>
        <v>7.4700254031933611</v>
      </c>
      <c r="U217">
        <v>1</v>
      </c>
    </row>
    <row r="218" spans="1:21" x14ac:dyDescent="0.35">
      <c r="A218" t="s">
        <v>560</v>
      </c>
      <c r="B218" t="s">
        <v>368</v>
      </c>
      <c r="C218">
        <v>4</v>
      </c>
      <c r="D218">
        <v>800</v>
      </c>
      <c r="E218">
        <v>2</v>
      </c>
      <c r="F218">
        <v>1</v>
      </c>
      <c r="G218">
        <v>48</v>
      </c>
      <c r="H218">
        <v>2</v>
      </c>
      <c r="I218" s="8">
        <v>45322.628472164353</v>
      </c>
      <c r="J218" s="8">
        <v>45324.584722222222</v>
      </c>
      <c r="K218">
        <f t="shared" si="24"/>
        <v>46.950001388846431</v>
      </c>
      <c r="L218">
        <f t="shared" si="25"/>
        <v>1.9562500578686013</v>
      </c>
      <c r="M218">
        <v>0.34849999999999998</v>
      </c>
      <c r="N218">
        <v>6.3899999999999998E-2</v>
      </c>
      <c r="O218">
        <v>67.760186994622103</v>
      </c>
      <c r="P218">
        <v>85.081706896727397</v>
      </c>
      <c r="Q218">
        <f t="shared" si="26"/>
        <v>31.812294363672347</v>
      </c>
      <c r="R218">
        <f t="shared" si="27"/>
        <v>39.944463331796904</v>
      </c>
      <c r="S218">
        <f t="shared" si="28"/>
        <v>22.004564011352162</v>
      </c>
      <c r="T218">
        <f t="shared" si="29"/>
        <v>12.314878045192986</v>
      </c>
      <c r="U218">
        <v>1</v>
      </c>
    </row>
    <row r="219" spans="1:21" x14ac:dyDescent="0.35">
      <c r="A219" t="s">
        <v>560</v>
      </c>
      <c r="B219" t="s">
        <v>369</v>
      </c>
      <c r="C219">
        <v>4</v>
      </c>
      <c r="D219">
        <v>800</v>
      </c>
      <c r="E219">
        <v>2</v>
      </c>
      <c r="F219">
        <v>2</v>
      </c>
      <c r="G219">
        <v>48</v>
      </c>
      <c r="H219">
        <v>2</v>
      </c>
      <c r="I219" s="8">
        <v>45322.628472164353</v>
      </c>
      <c r="J219" s="8">
        <v>45324.584722222222</v>
      </c>
      <c r="K219">
        <f t="shared" si="24"/>
        <v>46.950001388846431</v>
      </c>
      <c r="L219">
        <f t="shared" si="25"/>
        <v>1.9562500578686013</v>
      </c>
      <c r="M219">
        <v>0.44700000000000001</v>
      </c>
      <c r="N219">
        <v>7.6700000000000004E-2</v>
      </c>
      <c r="O219">
        <v>60.0463102859175</v>
      </c>
      <c r="P219">
        <v>72.886527433272704</v>
      </c>
      <c r="Q219">
        <f t="shared" si="26"/>
        <v>23.486170907138526</v>
      </c>
      <c r="R219">
        <f t="shared" si="27"/>
        <v>28.508420117316572</v>
      </c>
      <c r="S219">
        <f t="shared" si="28"/>
        <v>16.245384416467719</v>
      </c>
      <c r="T219">
        <f t="shared" si="29"/>
        <v>8.7891459221687001</v>
      </c>
      <c r="U219">
        <v>1</v>
      </c>
    </row>
    <row r="220" spans="1:21" x14ac:dyDescent="0.35">
      <c r="A220" t="s">
        <v>560</v>
      </c>
      <c r="B220" t="s">
        <v>370</v>
      </c>
      <c r="C220">
        <v>4</v>
      </c>
      <c r="D220">
        <v>800</v>
      </c>
      <c r="E220">
        <v>2</v>
      </c>
      <c r="F220">
        <v>3</v>
      </c>
      <c r="G220">
        <v>48</v>
      </c>
      <c r="H220">
        <v>2</v>
      </c>
      <c r="I220" s="8">
        <v>45322.628472164353</v>
      </c>
      <c r="J220" s="8">
        <v>45324.584722164349</v>
      </c>
      <c r="K220">
        <f t="shared" si="24"/>
        <v>46.949999999895226</v>
      </c>
      <c r="L220">
        <f t="shared" si="25"/>
        <v>1.9562499999956344</v>
      </c>
      <c r="M220">
        <v>0.2671</v>
      </c>
      <c r="N220">
        <v>4.5400000000000003E-2</v>
      </c>
      <c r="O220">
        <v>30.813481233704501</v>
      </c>
      <c r="P220">
        <v>40.752764970082097</v>
      </c>
      <c r="Q220">
        <f t="shared" si="26"/>
        <v>20.361331211699007</v>
      </c>
      <c r="R220">
        <f t="shared" si="27"/>
        <v>26.92913984807187</v>
      </c>
      <c r="S220">
        <f t="shared" si="28"/>
        <v>14.083932799132203</v>
      </c>
      <c r="T220">
        <f t="shared" si="29"/>
        <v>8.302253815160558</v>
      </c>
      <c r="U220">
        <v>1</v>
      </c>
    </row>
    <row r="221" spans="1:21" x14ac:dyDescent="0.35">
      <c r="A221" t="s">
        <v>560</v>
      </c>
      <c r="B221" t="s">
        <v>371</v>
      </c>
      <c r="C221">
        <v>4</v>
      </c>
      <c r="D221">
        <v>800</v>
      </c>
      <c r="E221">
        <v>2</v>
      </c>
      <c r="F221">
        <v>4</v>
      </c>
      <c r="G221">
        <v>48</v>
      </c>
      <c r="H221">
        <v>2</v>
      </c>
      <c r="I221" s="8">
        <v>45322.628472164353</v>
      </c>
      <c r="J221" s="8">
        <v>45324.584722164349</v>
      </c>
      <c r="K221">
        <f t="shared" si="24"/>
        <v>46.949999999895226</v>
      </c>
      <c r="L221">
        <f t="shared" si="25"/>
        <v>1.9562499999956344</v>
      </c>
      <c r="M221">
        <v>0.35239999999999999</v>
      </c>
      <c r="N221">
        <v>5.9499999999999997E-2</v>
      </c>
      <c r="O221">
        <v>49.215329906353901</v>
      </c>
      <c r="P221">
        <v>60.4639452243606</v>
      </c>
      <c r="Q221">
        <f t="shared" si="26"/>
        <v>24.814452053623818</v>
      </c>
      <c r="R221">
        <f t="shared" si="27"/>
        <v>30.486022802198622</v>
      </c>
      <c r="S221">
        <f t="shared" si="28"/>
        <v>17.164156485491596</v>
      </c>
      <c r="T221">
        <f t="shared" si="29"/>
        <v>9.3988408299178356</v>
      </c>
      <c r="U221">
        <v>1</v>
      </c>
    </row>
    <row r="222" spans="1:21" x14ac:dyDescent="0.35">
      <c r="A222" t="s">
        <v>560</v>
      </c>
      <c r="B222" t="s">
        <v>372</v>
      </c>
      <c r="C222">
        <v>4</v>
      </c>
      <c r="D222">
        <v>800</v>
      </c>
      <c r="E222">
        <v>2</v>
      </c>
      <c r="F222">
        <v>5</v>
      </c>
      <c r="G222">
        <v>48</v>
      </c>
      <c r="H222">
        <v>2</v>
      </c>
      <c r="I222" s="8">
        <v>45322.628472164353</v>
      </c>
      <c r="J222" s="8">
        <v>45324.584722164349</v>
      </c>
      <c r="K222">
        <f t="shared" si="24"/>
        <v>46.949999999895226</v>
      </c>
      <c r="L222">
        <f t="shared" si="25"/>
        <v>1.9562499999956344</v>
      </c>
      <c r="M222">
        <v>0.43080000000000002</v>
      </c>
      <c r="N222">
        <v>7.4099999999999999E-2</v>
      </c>
      <c r="O222">
        <v>59.7465118087338</v>
      </c>
      <c r="P222">
        <v>75.697954020722193</v>
      </c>
      <c r="Q222">
        <f t="shared" si="26"/>
        <v>24.188871177625021</v>
      </c>
      <c r="R222">
        <f t="shared" si="27"/>
        <v>30.646944947660806</v>
      </c>
      <c r="S222">
        <f t="shared" si="28"/>
        <v>16.731442193563225</v>
      </c>
      <c r="T222">
        <f t="shared" si="29"/>
        <v>9.4484531273638268</v>
      </c>
      <c r="U222">
        <v>1</v>
      </c>
    </row>
    <row r="223" spans="1:21" x14ac:dyDescent="0.35">
      <c r="A223" t="s">
        <v>560</v>
      </c>
      <c r="B223" t="s">
        <v>373</v>
      </c>
      <c r="C223">
        <v>4</v>
      </c>
      <c r="D223">
        <v>800</v>
      </c>
      <c r="E223">
        <v>3</v>
      </c>
      <c r="F223">
        <v>1</v>
      </c>
      <c r="G223">
        <v>48</v>
      </c>
      <c r="H223">
        <v>2</v>
      </c>
      <c r="I223" s="8">
        <v>45322.628472164353</v>
      </c>
      <c r="J223" s="8">
        <v>45324.587500000001</v>
      </c>
      <c r="K223">
        <f t="shared" si="24"/>
        <v>47.016668055555783</v>
      </c>
      <c r="L223">
        <f t="shared" si="25"/>
        <v>1.9590278356481576</v>
      </c>
      <c r="M223">
        <v>0.44679999999999997</v>
      </c>
      <c r="N223">
        <v>7.17E-2</v>
      </c>
      <c r="O223">
        <v>78.073209724023201</v>
      </c>
      <c r="P223">
        <v>92.005754065938305</v>
      </c>
      <c r="Q223">
        <f t="shared" si="26"/>
        <v>32.666614947290043</v>
      </c>
      <c r="R223">
        <f t="shared" si="27"/>
        <v>38.496131408342386</v>
      </c>
      <c r="S223">
        <f t="shared" si="28"/>
        <v>22.59549755904052</v>
      </c>
      <c r="T223">
        <f t="shared" si="29"/>
        <v>11.868357313191959</v>
      </c>
      <c r="U223">
        <v>1</v>
      </c>
    </row>
    <row r="224" spans="1:21" x14ac:dyDescent="0.35">
      <c r="A224" t="s">
        <v>560</v>
      </c>
      <c r="B224" t="s">
        <v>374</v>
      </c>
      <c r="C224">
        <v>4</v>
      </c>
      <c r="D224">
        <v>800</v>
      </c>
      <c r="E224">
        <v>3</v>
      </c>
      <c r="F224">
        <v>2</v>
      </c>
      <c r="G224">
        <v>48</v>
      </c>
      <c r="H224">
        <v>2</v>
      </c>
      <c r="I224" s="8">
        <v>45322.628472164353</v>
      </c>
      <c r="J224" s="8">
        <v>45324.587500000001</v>
      </c>
      <c r="K224">
        <f t="shared" si="24"/>
        <v>47.016668055555783</v>
      </c>
      <c r="L224">
        <f t="shared" si="25"/>
        <v>1.9590278356481576</v>
      </c>
      <c r="M224">
        <v>0.49049999999999999</v>
      </c>
      <c r="N224">
        <v>8.3500000000000005E-2</v>
      </c>
      <c r="O224">
        <v>71.461219457404596</v>
      </c>
      <c r="P224">
        <v>92.154846332852799</v>
      </c>
      <c r="Q224">
        <f t="shared" si="26"/>
        <v>25.674689625414821</v>
      </c>
      <c r="R224">
        <f t="shared" si="27"/>
        <v>33.10952562856987</v>
      </c>
      <c r="S224">
        <f t="shared" si="28"/>
        <v>17.759182813899432</v>
      </c>
      <c r="T224">
        <f t="shared" si="29"/>
        <v>10.207666751288091</v>
      </c>
      <c r="U224">
        <v>1</v>
      </c>
    </row>
    <row r="225" spans="1:21" x14ac:dyDescent="0.35">
      <c r="A225" t="s">
        <v>560</v>
      </c>
      <c r="B225" t="s">
        <v>375</v>
      </c>
      <c r="C225">
        <v>4</v>
      </c>
      <c r="D225">
        <v>800</v>
      </c>
      <c r="E225">
        <v>3</v>
      </c>
      <c r="F225">
        <v>3</v>
      </c>
      <c r="G225">
        <v>48</v>
      </c>
      <c r="H225">
        <v>2</v>
      </c>
      <c r="I225" s="8">
        <v>45322.628472164353</v>
      </c>
      <c r="J225" s="8">
        <v>45324.587500000001</v>
      </c>
      <c r="K225">
        <f t="shared" si="24"/>
        <v>47.016668055555783</v>
      </c>
      <c r="L225">
        <f t="shared" si="25"/>
        <v>1.9590278356481576</v>
      </c>
      <c r="M225">
        <v>0.3342</v>
      </c>
      <c r="N225" s="1">
        <v>5.6000000000000001E-2</v>
      </c>
      <c r="O225">
        <v>49.2583326476434</v>
      </c>
      <c r="P225">
        <v>58.765297752912403</v>
      </c>
      <c r="Q225">
        <f t="shared" si="26"/>
        <v>26.388392489808961</v>
      </c>
      <c r="R225">
        <f t="shared" si="27"/>
        <v>31.481409510488788</v>
      </c>
      <c r="S225">
        <f t="shared" si="28"/>
        <v>18.252851085200859</v>
      </c>
      <c r="T225">
        <f t="shared" si="29"/>
        <v>9.7057185520836935</v>
      </c>
      <c r="U225">
        <v>1</v>
      </c>
    </row>
    <row r="226" spans="1:21" x14ac:dyDescent="0.35">
      <c r="A226" t="s">
        <v>560</v>
      </c>
      <c r="B226" t="s">
        <v>376</v>
      </c>
      <c r="C226">
        <v>4</v>
      </c>
      <c r="D226">
        <v>800</v>
      </c>
      <c r="E226">
        <v>3</v>
      </c>
      <c r="F226">
        <v>4</v>
      </c>
      <c r="G226">
        <v>48</v>
      </c>
      <c r="H226">
        <v>2</v>
      </c>
      <c r="I226" s="8">
        <v>45322.628472164353</v>
      </c>
      <c r="J226" s="8">
        <v>45324.587500000001</v>
      </c>
      <c r="K226">
        <f t="shared" si="24"/>
        <v>47.016668055555783</v>
      </c>
      <c r="L226">
        <f t="shared" si="25"/>
        <v>1.9590278356481576</v>
      </c>
      <c r="M226">
        <v>0.33189999999999997</v>
      </c>
      <c r="N226">
        <v>5.4399999999999997E-2</v>
      </c>
      <c r="O226">
        <v>65.815766034846902</v>
      </c>
      <c r="P226">
        <v>79.722753704797199</v>
      </c>
      <c r="Q226">
        <f t="shared" si="26"/>
        <v>36.295459210393517</v>
      </c>
      <c r="R226">
        <f t="shared" si="27"/>
        <v>43.964753881321982</v>
      </c>
      <c r="S226">
        <f t="shared" si="28"/>
        <v>25.105569135829196</v>
      </c>
      <c r="T226">
        <f t="shared" si="29"/>
        <v>13.554333621611567</v>
      </c>
      <c r="U226">
        <v>1</v>
      </c>
    </row>
    <row r="227" spans="1:21" x14ac:dyDescent="0.35">
      <c r="A227" t="s">
        <v>560</v>
      </c>
      <c r="B227" t="s">
        <v>377</v>
      </c>
      <c r="C227">
        <v>4</v>
      </c>
      <c r="D227">
        <v>800</v>
      </c>
      <c r="E227">
        <v>3</v>
      </c>
      <c r="F227">
        <v>5</v>
      </c>
      <c r="G227">
        <v>48</v>
      </c>
      <c r="H227">
        <v>2</v>
      </c>
      <c r="I227" s="8">
        <v>45322.628472164353</v>
      </c>
      <c r="J227" s="8">
        <v>45324.587500000001</v>
      </c>
      <c r="K227">
        <f t="shared" si="24"/>
        <v>47.016668055555783</v>
      </c>
      <c r="L227">
        <f t="shared" si="25"/>
        <v>1.9590278356481576</v>
      </c>
      <c r="M227">
        <v>0.36849999999999999</v>
      </c>
      <c r="N227">
        <v>6.1600000000000002E-2</v>
      </c>
      <c r="O227">
        <v>65.909842251824301</v>
      </c>
      <c r="P227">
        <v>77.150455809202896</v>
      </c>
      <c r="Q227">
        <f t="shared" si="26"/>
        <v>32.098949148615731</v>
      </c>
      <c r="R227">
        <f t="shared" si="27"/>
        <v>37.573273933053358</v>
      </c>
      <c r="S227">
        <f t="shared" si="28"/>
        <v>22.202843126097502</v>
      </c>
      <c r="T227">
        <f t="shared" si="29"/>
        <v>11.583840353560351</v>
      </c>
      <c r="U227">
        <v>1</v>
      </c>
    </row>
    <row r="228" spans="1:21" x14ac:dyDescent="0.35">
      <c r="A228" t="s">
        <v>560</v>
      </c>
      <c r="B228" t="s">
        <v>378</v>
      </c>
      <c r="C228">
        <v>5</v>
      </c>
      <c r="D228">
        <v>0</v>
      </c>
      <c r="E228">
        <v>1</v>
      </c>
      <c r="F228">
        <v>1</v>
      </c>
      <c r="G228">
        <v>48</v>
      </c>
      <c r="H228">
        <v>2</v>
      </c>
      <c r="I228" s="8">
        <v>45324.642361111109</v>
      </c>
      <c r="J228" s="8">
        <v>45326.549305555556</v>
      </c>
      <c r="K228">
        <f t="shared" si="24"/>
        <v>45.766666666720994</v>
      </c>
      <c r="L228">
        <f t="shared" si="25"/>
        <v>1.9069444444467081</v>
      </c>
      <c r="M228">
        <v>0.46829999999999999</v>
      </c>
      <c r="N228">
        <v>8.3799999999999999E-2</v>
      </c>
      <c r="O228">
        <v>14.4806669397821</v>
      </c>
      <c r="P228">
        <v>32.707307527578003</v>
      </c>
      <c r="Q228">
        <f t="shared" si="26"/>
        <v>5.1840096443134005</v>
      </c>
      <c r="R228">
        <f t="shared" si="27"/>
        <v>11.709059974073272</v>
      </c>
      <c r="S228">
        <f t="shared" si="28"/>
        <v>3.5857794709715791</v>
      </c>
      <c r="T228">
        <f t="shared" si="29"/>
        <v>3.6099031900067899</v>
      </c>
      <c r="U228">
        <v>1</v>
      </c>
    </row>
    <row r="229" spans="1:21" x14ac:dyDescent="0.35">
      <c r="A229" t="s">
        <v>560</v>
      </c>
      <c r="B229" t="s">
        <v>379</v>
      </c>
      <c r="C229">
        <v>5</v>
      </c>
      <c r="D229">
        <v>0</v>
      </c>
      <c r="E229">
        <v>1</v>
      </c>
      <c r="F229">
        <v>2</v>
      </c>
      <c r="G229">
        <v>48</v>
      </c>
      <c r="H229">
        <v>2</v>
      </c>
      <c r="I229" s="8">
        <v>45324.642361111109</v>
      </c>
      <c r="J229" s="8">
        <v>45326.549305555556</v>
      </c>
      <c r="K229">
        <f t="shared" ref="K229:K272" si="30">(J229-I229)*24</f>
        <v>45.766666666720994</v>
      </c>
      <c r="L229">
        <f t="shared" ref="L229:L272" si="31">K229/24</f>
        <v>1.9069444444467081</v>
      </c>
      <c r="M229">
        <v>0.33339999999999997</v>
      </c>
      <c r="N229">
        <v>5.8500000000000003E-2</v>
      </c>
      <c r="O229">
        <v>8.6963137401393897</v>
      </c>
      <c r="P229">
        <v>27.087675224572099</v>
      </c>
      <c r="Q229">
        <f t="shared" si="26"/>
        <v>4.4596480718663525</v>
      </c>
      <c r="R229">
        <f t="shared" si="27"/>
        <v>13.891115499780565</v>
      </c>
      <c r="S229">
        <f t="shared" si="28"/>
        <v>3.084738571309956</v>
      </c>
      <c r="T229">
        <f t="shared" si="29"/>
        <v>4.2826309085823482</v>
      </c>
      <c r="U229">
        <v>1</v>
      </c>
    </row>
    <row r="230" spans="1:21" x14ac:dyDescent="0.35">
      <c r="A230" t="s">
        <v>560</v>
      </c>
      <c r="B230" t="s">
        <v>380</v>
      </c>
      <c r="C230">
        <v>5</v>
      </c>
      <c r="D230">
        <v>0</v>
      </c>
      <c r="E230">
        <v>1</v>
      </c>
      <c r="F230">
        <v>3</v>
      </c>
      <c r="G230">
        <v>48</v>
      </c>
      <c r="H230">
        <v>2</v>
      </c>
      <c r="I230" s="8">
        <v>45324.642361053244</v>
      </c>
      <c r="J230" s="8">
        <v>45326.549305555556</v>
      </c>
      <c r="K230">
        <f t="shared" si="30"/>
        <v>45.766668055497576</v>
      </c>
      <c r="L230">
        <f t="shared" si="31"/>
        <v>1.906944502312399</v>
      </c>
      <c r="M230">
        <v>0.26840000000000003</v>
      </c>
      <c r="N230">
        <v>5.0799999999999998E-2</v>
      </c>
      <c r="O230">
        <v>8.3686597304373702</v>
      </c>
      <c r="P230">
        <v>19.2815475589586</v>
      </c>
      <c r="Q230">
        <f t="shared" si="26"/>
        <v>4.9421218880535651</v>
      </c>
      <c r="R230">
        <f t="shared" si="27"/>
        <v>11.386740684424371</v>
      </c>
      <c r="S230">
        <f t="shared" si="28"/>
        <v>3.4184657099666511</v>
      </c>
      <c r="T230">
        <f t="shared" si="29"/>
        <v>3.5105321530080338</v>
      </c>
      <c r="U230">
        <v>1</v>
      </c>
    </row>
    <row r="231" spans="1:21" x14ac:dyDescent="0.35">
      <c r="A231" t="s">
        <v>560</v>
      </c>
      <c r="B231" t="s">
        <v>381</v>
      </c>
      <c r="C231">
        <v>5</v>
      </c>
      <c r="D231">
        <v>0</v>
      </c>
      <c r="E231">
        <v>1</v>
      </c>
      <c r="F231">
        <v>4</v>
      </c>
      <c r="G231">
        <v>48</v>
      </c>
      <c r="H231">
        <v>2</v>
      </c>
      <c r="I231" s="8">
        <v>45324.642361053244</v>
      </c>
      <c r="J231" s="8">
        <v>45326.549305555556</v>
      </c>
      <c r="K231">
        <f t="shared" si="30"/>
        <v>45.766668055497576</v>
      </c>
      <c r="L231">
        <f t="shared" si="31"/>
        <v>1.906944502312399</v>
      </c>
      <c r="M231">
        <v>0.30649999999999999</v>
      </c>
      <c r="N231">
        <v>5.9299999999999999E-2</v>
      </c>
      <c r="O231">
        <v>9.6849160295446808</v>
      </c>
      <c r="P231">
        <v>25.299580467829198</v>
      </c>
      <c r="Q231">
        <f t="shared" si="26"/>
        <v>4.8996202510344089</v>
      </c>
      <c r="R231">
        <f t="shared" si="27"/>
        <v>12.799113221498752</v>
      </c>
      <c r="S231">
        <f t="shared" si="28"/>
        <v>3.3890673276405003</v>
      </c>
      <c r="T231">
        <f t="shared" si="29"/>
        <v>3.9459666061880654</v>
      </c>
      <c r="U231">
        <v>1</v>
      </c>
    </row>
    <row r="232" spans="1:21" x14ac:dyDescent="0.35">
      <c r="A232" t="s">
        <v>560</v>
      </c>
      <c r="B232" t="s">
        <v>382</v>
      </c>
      <c r="C232">
        <v>5</v>
      </c>
      <c r="D232">
        <v>0</v>
      </c>
      <c r="E232">
        <v>1</v>
      </c>
      <c r="F232">
        <v>5</v>
      </c>
      <c r="G232">
        <v>48</v>
      </c>
      <c r="H232">
        <v>2</v>
      </c>
      <c r="I232" s="8">
        <v>45324.642361053244</v>
      </c>
      <c r="J232" s="8">
        <v>45326.549305555556</v>
      </c>
      <c r="K232">
        <f t="shared" si="30"/>
        <v>45.766668055497576</v>
      </c>
      <c r="L232">
        <f t="shared" si="31"/>
        <v>1.906944502312399</v>
      </c>
      <c r="M232">
        <v>0.2177</v>
      </c>
      <c r="N232">
        <v>4.0099999999999997E-2</v>
      </c>
      <c r="O232">
        <v>6.5639447144824903</v>
      </c>
      <c r="P232">
        <v>22.837907624882199</v>
      </c>
      <c r="Q232">
        <f t="shared" si="26"/>
        <v>4.9106818312836591</v>
      </c>
      <c r="R232">
        <f t="shared" si="27"/>
        <v>17.085716427592669</v>
      </c>
      <c r="S232">
        <f t="shared" si="28"/>
        <v>3.396718622698907</v>
      </c>
      <c r="T232">
        <f t="shared" si="29"/>
        <v>5.2675263746268204</v>
      </c>
      <c r="U232">
        <v>1</v>
      </c>
    </row>
    <row r="233" spans="1:21" x14ac:dyDescent="0.35">
      <c r="A233" t="s">
        <v>560</v>
      </c>
      <c r="B233" t="s">
        <v>383</v>
      </c>
      <c r="C233">
        <v>5</v>
      </c>
      <c r="D233">
        <v>0</v>
      </c>
      <c r="E233">
        <v>2</v>
      </c>
      <c r="F233">
        <v>1</v>
      </c>
      <c r="G233">
        <v>48</v>
      </c>
      <c r="H233">
        <v>2</v>
      </c>
      <c r="I233" s="8">
        <v>45324.642361053244</v>
      </c>
      <c r="J233" s="8">
        <v>45326.551388888889</v>
      </c>
      <c r="K233">
        <f t="shared" si="30"/>
        <v>45.816668055485934</v>
      </c>
      <c r="L233">
        <f t="shared" si="31"/>
        <v>1.9090278356452473</v>
      </c>
      <c r="M233">
        <v>0.62119999999999997</v>
      </c>
      <c r="N233">
        <v>0.10639999999999999</v>
      </c>
      <c r="O233">
        <v>16.534730779002</v>
      </c>
      <c r="P233">
        <v>45.058181525168798</v>
      </c>
      <c r="Q233">
        <f t="shared" si="26"/>
        <v>4.6620481519742487</v>
      </c>
      <c r="R233">
        <f t="shared" si="27"/>
        <v>12.704374490179173</v>
      </c>
      <c r="S233">
        <f t="shared" si="28"/>
        <v>3.2247387067205877</v>
      </c>
      <c r="T233">
        <f t="shared" si="29"/>
        <v>3.9167586553222393</v>
      </c>
      <c r="U233">
        <v>1</v>
      </c>
    </row>
    <row r="234" spans="1:21" x14ac:dyDescent="0.35">
      <c r="A234" t="s">
        <v>560</v>
      </c>
      <c r="B234" t="s">
        <v>384</v>
      </c>
      <c r="C234">
        <v>5</v>
      </c>
      <c r="D234">
        <v>0</v>
      </c>
      <c r="E234">
        <v>2</v>
      </c>
      <c r="F234">
        <v>2</v>
      </c>
      <c r="G234">
        <v>48</v>
      </c>
      <c r="H234">
        <v>2</v>
      </c>
      <c r="I234" s="8">
        <v>45324.642361053244</v>
      </c>
      <c r="J234" s="8">
        <v>45326.551388888889</v>
      </c>
      <c r="K234">
        <f t="shared" si="30"/>
        <v>45.816668055485934</v>
      </c>
      <c r="L234">
        <f t="shared" si="31"/>
        <v>1.9090278356452473</v>
      </c>
      <c r="M234">
        <v>0.25090000000000001</v>
      </c>
      <c r="N234">
        <v>4.3499999999999997E-2</v>
      </c>
      <c r="O234">
        <v>7.20698248460765</v>
      </c>
      <c r="P234">
        <v>21.297532026765801</v>
      </c>
      <c r="Q234">
        <f t="shared" si="26"/>
        <v>4.9703327480052764</v>
      </c>
      <c r="R234">
        <f t="shared" si="27"/>
        <v>14.68795312190745</v>
      </c>
      <c r="S234">
        <f t="shared" si="28"/>
        <v>3.4379791617952495</v>
      </c>
      <c r="T234">
        <f t="shared" si="29"/>
        <v>4.5282959474840672</v>
      </c>
      <c r="U234">
        <v>1</v>
      </c>
    </row>
    <row r="235" spans="1:21" x14ac:dyDescent="0.35">
      <c r="A235" t="s">
        <v>560</v>
      </c>
      <c r="B235" t="s">
        <v>385</v>
      </c>
      <c r="C235">
        <v>5</v>
      </c>
      <c r="D235">
        <v>0</v>
      </c>
      <c r="E235">
        <v>2</v>
      </c>
      <c r="F235">
        <v>3</v>
      </c>
      <c r="G235">
        <v>48</v>
      </c>
      <c r="H235">
        <v>2</v>
      </c>
      <c r="I235" s="8">
        <v>45324.642361053244</v>
      </c>
      <c r="J235" s="8">
        <v>45326.551388888889</v>
      </c>
      <c r="K235">
        <f t="shared" si="30"/>
        <v>45.816668055485934</v>
      </c>
      <c r="L235">
        <f t="shared" si="31"/>
        <v>1.9090278356452473</v>
      </c>
      <c r="M235">
        <v>0.31790000000000002</v>
      </c>
      <c r="N235">
        <v>5.96E-2</v>
      </c>
      <c r="O235">
        <v>9.0545764443561705</v>
      </c>
      <c r="P235">
        <v>21.162872586058501</v>
      </c>
      <c r="Q235">
        <f t="shared" si="26"/>
        <v>4.5576727068906893</v>
      </c>
      <c r="R235">
        <f t="shared" si="27"/>
        <v>10.652452643989179</v>
      </c>
      <c r="S235">
        <f t="shared" si="28"/>
        <v>3.1525422113562898</v>
      </c>
      <c r="T235">
        <f t="shared" si="29"/>
        <v>3.2841511501418639</v>
      </c>
      <c r="U235">
        <v>1</v>
      </c>
    </row>
    <row r="236" spans="1:21" x14ac:dyDescent="0.35">
      <c r="A236" t="s">
        <v>560</v>
      </c>
      <c r="B236" t="s">
        <v>386</v>
      </c>
      <c r="C236">
        <v>5</v>
      </c>
      <c r="D236">
        <v>0</v>
      </c>
      <c r="E236">
        <v>2</v>
      </c>
      <c r="F236">
        <v>4</v>
      </c>
      <c r="G236">
        <v>48</v>
      </c>
      <c r="H236">
        <v>2</v>
      </c>
      <c r="I236" s="8">
        <v>45324.642361053244</v>
      </c>
      <c r="J236" s="8">
        <v>45326.551388888889</v>
      </c>
      <c r="K236">
        <f t="shared" si="30"/>
        <v>45.816668055485934</v>
      </c>
      <c r="L236">
        <f t="shared" si="31"/>
        <v>1.9090278356452473</v>
      </c>
      <c r="M236">
        <v>0.29609999999999997</v>
      </c>
      <c r="N236">
        <v>5.6800000000000003E-2</v>
      </c>
      <c r="O236">
        <v>10.0206258399635</v>
      </c>
      <c r="P236">
        <v>25.489591092015701</v>
      </c>
      <c r="Q236">
        <f t="shared" si="26"/>
        <v>5.2925840704032581</v>
      </c>
      <c r="R236">
        <f t="shared" si="27"/>
        <v>13.462812196487164</v>
      </c>
      <c r="S236">
        <f t="shared" si="28"/>
        <v>3.6608804014979337</v>
      </c>
      <c r="T236">
        <f t="shared" si="29"/>
        <v>4.1505850001769931</v>
      </c>
      <c r="U236">
        <v>1</v>
      </c>
    </row>
    <row r="237" spans="1:21" x14ac:dyDescent="0.35">
      <c r="A237" t="s">
        <v>560</v>
      </c>
      <c r="B237" t="s">
        <v>387</v>
      </c>
      <c r="C237">
        <v>5</v>
      </c>
      <c r="D237">
        <v>0</v>
      </c>
      <c r="E237">
        <v>2</v>
      </c>
      <c r="F237">
        <v>5</v>
      </c>
      <c r="G237">
        <v>48</v>
      </c>
      <c r="H237">
        <v>2</v>
      </c>
      <c r="I237" s="8">
        <v>45324.642361053244</v>
      </c>
      <c r="J237" s="8">
        <v>45326.551388888889</v>
      </c>
      <c r="K237">
        <f t="shared" si="30"/>
        <v>45.816668055485934</v>
      </c>
      <c r="L237">
        <f t="shared" si="31"/>
        <v>1.9090278356452473</v>
      </c>
      <c r="M237">
        <v>0.32700000000000001</v>
      </c>
      <c r="N237">
        <v>6.1499999999999999E-2</v>
      </c>
      <c r="O237">
        <v>10.952692026714301</v>
      </c>
      <c r="P237">
        <v>26.486553466255401</v>
      </c>
      <c r="Q237">
        <f t="shared" si="26"/>
        <v>5.3427765983972204</v>
      </c>
      <c r="R237">
        <f t="shared" si="27"/>
        <v>12.920269983539221</v>
      </c>
      <c r="S237">
        <f t="shared" si="28"/>
        <v>3.6955985731113574</v>
      </c>
      <c r="T237">
        <f t="shared" si="29"/>
        <v>3.9833192359251419</v>
      </c>
      <c r="U237">
        <v>1</v>
      </c>
    </row>
    <row r="238" spans="1:21" x14ac:dyDescent="0.35">
      <c r="A238" t="s">
        <v>560</v>
      </c>
      <c r="B238" t="s">
        <v>388</v>
      </c>
      <c r="C238">
        <v>5</v>
      </c>
      <c r="D238">
        <v>0</v>
      </c>
      <c r="E238">
        <v>3</v>
      </c>
      <c r="F238">
        <v>1</v>
      </c>
      <c r="G238">
        <v>48</v>
      </c>
      <c r="H238">
        <v>2</v>
      </c>
      <c r="I238" s="8">
        <v>45324.642361053244</v>
      </c>
      <c r="J238" s="8">
        <v>45326.552777777775</v>
      </c>
      <c r="K238">
        <f t="shared" si="30"/>
        <v>45.850001388753299</v>
      </c>
      <c r="L238">
        <f t="shared" si="31"/>
        <v>1.9104167245313874</v>
      </c>
      <c r="M238">
        <v>0.5444</v>
      </c>
      <c r="N238" s="1">
        <v>9.4E-2</v>
      </c>
      <c r="O238">
        <v>16.580533592924301</v>
      </c>
      <c r="P238">
        <v>33.440938635934501</v>
      </c>
      <c r="Q238">
        <f t="shared" si="26"/>
        <v>5.2916596573162664</v>
      </c>
      <c r="R238">
        <f t="shared" si="27"/>
        <v>10.672639990191861</v>
      </c>
      <c r="S238">
        <f t="shared" si="28"/>
        <v>3.6602409849656614</v>
      </c>
      <c r="T238">
        <f t="shared" si="29"/>
        <v>3.2903749089761511</v>
      </c>
      <c r="U238">
        <v>1</v>
      </c>
    </row>
    <row r="239" spans="1:21" x14ac:dyDescent="0.35">
      <c r="A239" t="s">
        <v>560</v>
      </c>
      <c r="B239" t="s">
        <v>389</v>
      </c>
      <c r="C239">
        <v>5</v>
      </c>
      <c r="D239">
        <v>0</v>
      </c>
      <c r="E239">
        <v>3</v>
      </c>
      <c r="F239">
        <v>2</v>
      </c>
      <c r="G239">
        <v>48</v>
      </c>
      <c r="H239">
        <v>2</v>
      </c>
      <c r="I239" s="8">
        <v>45324.642361053244</v>
      </c>
      <c r="J239" s="8">
        <v>45326.552777777775</v>
      </c>
      <c r="K239">
        <f t="shared" si="30"/>
        <v>45.850001388753299</v>
      </c>
      <c r="L239">
        <f t="shared" si="31"/>
        <v>1.9104167245313874</v>
      </c>
      <c r="M239">
        <v>0.3206</v>
      </c>
      <c r="N239">
        <v>5.5300000000000002E-2</v>
      </c>
      <c r="O239">
        <v>12.376447227961</v>
      </c>
      <c r="P239">
        <v>22.770137706843801</v>
      </c>
      <c r="Q239">
        <f t="shared" si="26"/>
        <v>6.7141666697799272</v>
      </c>
      <c r="R239">
        <f t="shared" si="27"/>
        <v>12.352696766823039</v>
      </c>
      <c r="S239">
        <f t="shared" si="28"/>
        <v>4.6441890854867758</v>
      </c>
      <c r="T239">
        <f t="shared" si="29"/>
        <v>3.8083364132115429</v>
      </c>
      <c r="U239">
        <v>1</v>
      </c>
    </row>
    <row r="240" spans="1:21" x14ac:dyDescent="0.35">
      <c r="A240" t="s">
        <v>560</v>
      </c>
      <c r="B240" t="s">
        <v>390</v>
      </c>
      <c r="C240">
        <v>5</v>
      </c>
      <c r="D240">
        <v>0</v>
      </c>
      <c r="E240">
        <v>3</v>
      </c>
      <c r="F240">
        <v>3</v>
      </c>
      <c r="G240">
        <v>48</v>
      </c>
      <c r="H240">
        <v>2</v>
      </c>
      <c r="I240" s="8">
        <v>45324.642361053244</v>
      </c>
      <c r="J240" s="8">
        <v>45326.552777719909</v>
      </c>
      <c r="K240">
        <f t="shared" si="30"/>
        <v>45.849999999976717</v>
      </c>
      <c r="L240">
        <f t="shared" si="31"/>
        <v>1.9104166666656965</v>
      </c>
      <c r="M240">
        <v>0.34560000000000002</v>
      </c>
      <c r="N240">
        <v>6.5199999999999994E-2</v>
      </c>
      <c r="O240">
        <v>18.880984790303799</v>
      </c>
      <c r="P240">
        <v>39.288949692763197</v>
      </c>
      <c r="Q240">
        <f t="shared" si="26"/>
        <v>8.6875696887900933</v>
      </c>
      <c r="R240">
        <f t="shared" si="27"/>
        <v>18.07773758869472</v>
      </c>
      <c r="S240">
        <f t="shared" si="28"/>
        <v>6.0091919537361074</v>
      </c>
      <c r="T240">
        <f t="shared" si="29"/>
        <v>5.5733664985945826</v>
      </c>
      <c r="U240">
        <v>1</v>
      </c>
    </row>
    <row r="241" spans="1:21" x14ac:dyDescent="0.35">
      <c r="A241" t="s">
        <v>560</v>
      </c>
      <c r="B241" t="s">
        <v>391</v>
      </c>
      <c r="C241">
        <v>5</v>
      </c>
      <c r="D241">
        <v>0</v>
      </c>
      <c r="E241">
        <v>3</v>
      </c>
      <c r="F241">
        <v>4</v>
      </c>
      <c r="G241">
        <v>48</v>
      </c>
      <c r="H241">
        <v>2</v>
      </c>
      <c r="I241" s="8">
        <v>45324.642361053244</v>
      </c>
      <c r="J241" s="8">
        <v>45326.552777719909</v>
      </c>
      <c r="K241">
        <f t="shared" si="30"/>
        <v>45.849999999976717</v>
      </c>
      <c r="L241">
        <f t="shared" si="31"/>
        <v>1.9104166666656965</v>
      </c>
      <c r="M241">
        <v>0.66220000000000001</v>
      </c>
      <c r="N241">
        <v>0.1246</v>
      </c>
      <c r="O241">
        <v>17.174431271309899</v>
      </c>
      <c r="P241">
        <v>44.416529131927199</v>
      </c>
      <c r="Q241">
        <f t="shared" si="26"/>
        <v>4.135095811711853</v>
      </c>
      <c r="R241">
        <f t="shared" si="27"/>
        <v>10.694188394525009</v>
      </c>
      <c r="S241">
        <f t="shared" si="28"/>
        <v>2.8602457729610888</v>
      </c>
      <c r="T241">
        <f t="shared" si="29"/>
        <v>3.2970182820320604</v>
      </c>
      <c r="U241">
        <v>1</v>
      </c>
    </row>
    <row r="242" spans="1:21" x14ac:dyDescent="0.35">
      <c r="A242" t="s">
        <v>560</v>
      </c>
      <c r="B242" t="s">
        <v>392</v>
      </c>
      <c r="C242">
        <v>5</v>
      </c>
      <c r="D242">
        <v>0</v>
      </c>
      <c r="E242">
        <v>3</v>
      </c>
      <c r="F242">
        <v>5</v>
      </c>
      <c r="G242">
        <v>48</v>
      </c>
      <c r="H242">
        <v>2</v>
      </c>
      <c r="I242" s="8">
        <v>45324.642361053244</v>
      </c>
      <c r="J242" s="8">
        <v>45326.552777719909</v>
      </c>
      <c r="K242">
        <f t="shared" si="30"/>
        <v>45.849999999976717</v>
      </c>
      <c r="L242">
        <f t="shared" si="31"/>
        <v>1.9104166666656965</v>
      </c>
      <c r="M242">
        <v>0.3553</v>
      </c>
      <c r="N242">
        <v>6.3700000000000007E-2</v>
      </c>
      <c r="O242">
        <v>8.7788597879097896</v>
      </c>
      <c r="P242">
        <v>22.137679510133399</v>
      </c>
      <c r="Q242">
        <f t="shared" si="26"/>
        <v>4.1344708577283145</v>
      </c>
      <c r="R242">
        <f t="shared" si="27"/>
        <v>10.425908717488255</v>
      </c>
      <c r="S242">
        <f t="shared" si="28"/>
        <v>2.8598134922906748</v>
      </c>
      <c r="T242">
        <f t="shared" si="29"/>
        <v>3.2143076576016294</v>
      </c>
      <c r="U242">
        <v>1</v>
      </c>
    </row>
    <row r="243" spans="1:21" x14ac:dyDescent="0.35">
      <c r="A243" t="s">
        <v>560</v>
      </c>
      <c r="B243" t="s">
        <v>393</v>
      </c>
      <c r="C243">
        <v>5</v>
      </c>
      <c r="D243">
        <v>400</v>
      </c>
      <c r="E243">
        <v>1</v>
      </c>
      <c r="F243">
        <v>1</v>
      </c>
      <c r="G243">
        <v>48</v>
      </c>
      <c r="H243">
        <v>2</v>
      </c>
      <c r="I243" s="8">
        <v>45324.625</v>
      </c>
      <c r="J243" s="8">
        <v>45326.586805555555</v>
      </c>
      <c r="K243">
        <f t="shared" si="30"/>
        <v>47.083333333313931</v>
      </c>
      <c r="L243">
        <f t="shared" si="31"/>
        <v>1.9618055555547471</v>
      </c>
      <c r="M243">
        <v>0.54210000000000003</v>
      </c>
      <c r="N243">
        <v>9.6699999999999994E-2</v>
      </c>
      <c r="O243">
        <v>27.773571291697699</v>
      </c>
      <c r="P243">
        <v>40.544878417873299</v>
      </c>
      <c r="Q243">
        <f t="shared" si="26"/>
        <v>8.6164130170727091</v>
      </c>
      <c r="R243">
        <f t="shared" si="27"/>
        <v>12.578555869040322</v>
      </c>
      <c r="S243">
        <f t="shared" si="28"/>
        <v>5.9599728839091926</v>
      </c>
      <c r="T243">
        <f t="shared" si="29"/>
        <v>3.8779687744251317</v>
      </c>
      <c r="U243">
        <v>1</v>
      </c>
    </row>
    <row r="244" spans="1:21" x14ac:dyDescent="0.35">
      <c r="A244" t="s">
        <v>560</v>
      </c>
      <c r="B244" t="s">
        <v>394</v>
      </c>
      <c r="C244">
        <v>5</v>
      </c>
      <c r="D244">
        <v>400</v>
      </c>
      <c r="E244">
        <v>1</v>
      </c>
      <c r="F244">
        <v>2</v>
      </c>
      <c r="G244">
        <v>48</v>
      </c>
      <c r="H244">
        <v>2</v>
      </c>
      <c r="I244" s="8">
        <v>45324.625</v>
      </c>
      <c r="J244" s="8">
        <v>45326.586805555555</v>
      </c>
      <c r="K244">
        <f t="shared" si="30"/>
        <v>47.083333333313931</v>
      </c>
      <c r="L244">
        <f t="shared" si="31"/>
        <v>1.9618055555547471</v>
      </c>
      <c r="M244">
        <v>0.24529999999999999</v>
      </c>
      <c r="N244">
        <v>4.9200000000000001E-2</v>
      </c>
      <c r="O244">
        <v>19.844198437449201</v>
      </c>
      <c r="P244">
        <v>27.941207316402</v>
      </c>
      <c r="Q244">
        <f t="shared" si="26"/>
        <v>12.100120998444634</v>
      </c>
      <c r="R244">
        <f t="shared" si="27"/>
        <v>17.037321534391463</v>
      </c>
      <c r="S244">
        <f t="shared" si="28"/>
        <v>8.3696536946241533</v>
      </c>
      <c r="T244">
        <f t="shared" si="29"/>
        <v>5.2526062290528888</v>
      </c>
      <c r="U244">
        <v>1</v>
      </c>
    </row>
    <row r="245" spans="1:21" x14ac:dyDescent="0.35">
      <c r="A245" t="s">
        <v>560</v>
      </c>
      <c r="B245" t="s">
        <v>395</v>
      </c>
      <c r="C245">
        <v>5</v>
      </c>
      <c r="D245">
        <v>400</v>
      </c>
      <c r="E245">
        <v>1</v>
      </c>
      <c r="F245">
        <v>3</v>
      </c>
      <c r="G245">
        <v>48</v>
      </c>
      <c r="H245">
        <v>2</v>
      </c>
      <c r="I245" s="8">
        <v>45324.625</v>
      </c>
      <c r="J245" s="8">
        <v>45326.586805497682</v>
      </c>
      <c r="K245">
        <f t="shared" si="30"/>
        <v>47.083331944362726</v>
      </c>
      <c r="L245">
        <f t="shared" si="31"/>
        <v>1.9618054976817803</v>
      </c>
      <c r="M245">
        <v>0.26040000000000002</v>
      </c>
      <c r="N245">
        <v>4.6199999999999998E-2</v>
      </c>
      <c r="O245">
        <v>19.598891959578101</v>
      </c>
      <c r="P245">
        <v>25.316093672701701</v>
      </c>
      <c r="Q245">
        <f t="shared" si="26"/>
        <v>12.726553220505259</v>
      </c>
      <c r="R245">
        <f t="shared" si="27"/>
        <v>16.439021865390714</v>
      </c>
      <c r="S245">
        <f t="shared" si="28"/>
        <v>8.8029568626234873</v>
      </c>
      <c r="T245">
        <f t="shared" si="29"/>
        <v>5.0681504410999576</v>
      </c>
      <c r="U245">
        <v>1</v>
      </c>
    </row>
    <row r="246" spans="1:21" x14ac:dyDescent="0.35">
      <c r="A246" t="s">
        <v>560</v>
      </c>
      <c r="B246" t="s">
        <v>396</v>
      </c>
      <c r="C246">
        <v>5</v>
      </c>
      <c r="D246">
        <v>400</v>
      </c>
      <c r="E246">
        <v>1</v>
      </c>
      <c r="F246">
        <v>4</v>
      </c>
      <c r="G246">
        <v>48</v>
      </c>
      <c r="H246">
        <v>2</v>
      </c>
      <c r="I246" s="8">
        <v>45324.625</v>
      </c>
      <c r="J246" s="8">
        <v>45326.586805497682</v>
      </c>
      <c r="K246">
        <f t="shared" si="30"/>
        <v>47.083331944362726</v>
      </c>
      <c r="L246">
        <f t="shared" si="31"/>
        <v>1.9618054976817803</v>
      </c>
      <c r="M246">
        <v>0.41589999999999999</v>
      </c>
      <c r="N246">
        <v>7.8899999999999998E-2</v>
      </c>
      <c r="O246">
        <v>30.167959711002801</v>
      </c>
      <c r="P246">
        <v>49.7415652348934</v>
      </c>
      <c r="Q246">
        <f t="shared" si="26"/>
        <v>11.470707114449734</v>
      </c>
      <c r="R246">
        <f t="shared" si="27"/>
        <v>18.91314267486441</v>
      </c>
      <c r="S246">
        <f t="shared" si="28"/>
        <v>7.9342881110648813</v>
      </c>
      <c r="T246">
        <f t="shared" si="29"/>
        <v>5.8309218866606978</v>
      </c>
      <c r="U246">
        <v>1</v>
      </c>
    </row>
    <row r="247" spans="1:21" x14ac:dyDescent="0.35">
      <c r="A247" t="s">
        <v>560</v>
      </c>
      <c r="B247" t="s">
        <v>397</v>
      </c>
      <c r="C247">
        <v>5</v>
      </c>
      <c r="D247">
        <v>400</v>
      </c>
      <c r="E247">
        <v>1</v>
      </c>
      <c r="F247">
        <v>5</v>
      </c>
      <c r="G247">
        <v>48</v>
      </c>
      <c r="H247">
        <v>2</v>
      </c>
      <c r="I247" s="8">
        <v>45324.625</v>
      </c>
      <c r="J247" s="8">
        <v>45326.586805497682</v>
      </c>
      <c r="K247">
        <f t="shared" si="30"/>
        <v>47.083331944362726</v>
      </c>
      <c r="L247">
        <f t="shared" si="31"/>
        <v>1.9618054976817803</v>
      </c>
      <c r="N247" s="6"/>
      <c r="U247">
        <v>0</v>
      </c>
    </row>
    <row r="248" spans="1:21" x14ac:dyDescent="0.35">
      <c r="A248" t="s">
        <v>560</v>
      </c>
      <c r="B248" t="s">
        <v>398</v>
      </c>
      <c r="C248">
        <v>5</v>
      </c>
      <c r="D248">
        <v>400</v>
      </c>
      <c r="E248">
        <v>2</v>
      </c>
      <c r="F248">
        <v>1</v>
      </c>
      <c r="G248">
        <v>48</v>
      </c>
      <c r="H248">
        <v>2</v>
      </c>
      <c r="I248" s="8">
        <v>45324.625694444447</v>
      </c>
      <c r="J248" s="8">
        <v>45326.591666666667</v>
      </c>
      <c r="K248">
        <f t="shared" si="30"/>
        <v>47.183333333290648</v>
      </c>
      <c r="L248">
        <f t="shared" si="31"/>
        <v>1.9659722222204437</v>
      </c>
      <c r="M248">
        <v>0.27500000000000002</v>
      </c>
      <c r="N248">
        <v>5.28E-2</v>
      </c>
      <c r="O248">
        <v>36.605540402688</v>
      </c>
      <c r="P248">
        <v>50.019442313807602</v>
      </c>
      <c r="Q248">
        <f t="shared" si="26"/>
        <v>20.79860250152727</v>
      </c>
      <c r="R248">
        <f t="shared" si="27"/>
        <v>28.420137678299774</v>
      </c>
      <c r="S248">
        <f t="shared" si="28"/>
        <v>14.386393350306413</v>
      </c>
      <c r="T248">
        <f t="shared" si="29"/>
        <v>8.7619284462198213</v>
      </c>
      <c r="U248">
        <v>1</v>
      </c>
    </row>
    <row r="249" spans="1:21" x14ac:dyDescent="0.35">
      <c r="A249" t="s">
        <v>560</v>
      </c>
      <c r="B249" t="s">
        <v>399</v>
      </c>
      <c r="C249">
        <v>5</v>
      </c>
      <c r="D249">
        <v>400</v>
      </c>
      <c r="E249">
        <v>2</v>
      </c>
      <c r="F249">
        <v>2</v>
      </c>
      <c r="G249">
        <v>48</v>
      </c>
      <c r="H249">
        <v>2</v>
      </c>
      <c r="I249" s="8">
        <v>45324.625694444447</v>
      </c>
      <c r="J249" s="8">
        <v>45326.591666666667</v>
      </c>
      <c r="K249">
        <f t="shared" si="30"/>
        <v>47.183333333290648</v>
      </c>
      <c r="L249">
        <f t="shared" si="31"/>
        <v>1.9659722222204437</v>
      </c>
      <c r="M249">
        <v>0.32250000000000001</v>
      </c>
      <c r="N249">
        <v>5.91E-2</v>
      </c>
      <c r="O249">
        <v>26.605606730796602</v>
      </c>
      <c r="P249">
        <v>40.118011783446697</v>
      </c>
      <c r="Q249">
        <f t="shared" si="26"/>
        <v>13.505384127307922</v>
      </c>
      <c r="R249">
        <f t="shared" si="27"/>
        <v>20.364472986521164</v>
      </c>
      <c r="S249">
        <f t="shared" si="28"/>
        <v>9.3416742008588898</v>
      </c>
      <c r="T249">
        <f t="shared" si="29"/>
        <v>6.2783670217444758</v>
      </c>
      <c r="U249">
        <v>1</v>
      </c>
    </row>
    <row r="250" spans="1:21" x14ac:dyDescent="0.35">
      <c r="A250" t="s">
        <v>560</v>
      </c>
      <c r="B250" t="s">
        <v>400</v>
      </c>
      <c r="C250">
        <v>5</v>
      </c>
      <c r="D250">
        <v>400</v>
      </c>
      <c r="E250">
        <v>2</v>
      </c>
      <c r="F250">
        <v>3</v>
      </c>
      <c r="G250">
        <v>48</v>
      </c>
      <c r="H250">
        <v>2</v>
      </c>
      <c r="I250" s="8">
        <v>45324.625694444447</v>
      </c>
      <c r="J250" s="8">
        <v>45326.591666666667</v>
      </c>
      <c r="K250">
        <f t="shared" si="30"/>
        <v>47.183333333290648</v>
      </c>
      <c r="L250">
        <f t="shared" si="31"/>
        <v>1.9659722222204437</v>
      </c>
      <c r="M250">
        <v>0.37159999999999999</v>
      </c>
      <c r="N250">
        <v>4.7E-2</v>
      </c>
      <c r="O250">
        <v>23.786961479098501</v>
      </c>
      <c r="P250">
        <v>35.179006090085601</v>
      </c>
      <c r="Q250">
        <f t="shared" si="26"/>
        <v>15.183166901552234</v>
      </c>
      <c r="R250">
        <f t="shared" si="27"/>
        <v>22.454684738352508</v>
      </c>
      <c r="S250">
        <f t="shared" si="28"/>
        <v>10.502196545803679</v>
      </c>
      <c r="T250">
        <f t="shared" si="29"/>
        <v>6.9227793048340791</v>
      </c>
      <c r="U250">
        <v>1</v>
      </c>
    </row>
    <row r="251" spans="1:21" x14ac:dyDescent="0.35">
      <c r="A251" t="s">
        <v>560</v>
      </c>
      <c r="B251" t="s">
        <v>401</v>
      </c>
      <c r="C251">
        <v>5</v>
      </c>
      <c r="D251">
        <v>400</v>
      </c>
      <c r="E251">
        <v>2</v>
      </c>
      <c r="F251">
        <v>4</v>
      </c>
      <c r="G251">
        <v>48</v>
      </c>
      <c r="H251">
        <v>2</v>
      </c>
      <c r="I251" s="8">
        <v>45324.625694444447</v>
      </c>
      <c r="J251" s="8">
        <v>45326.591666666667</v>
      </c>
      <c r="K251">
        <f t="shared" si="30"/>
        <v>47.183333333290648</v>
      </c>
      <c r="L251">
        <f t="shared" si="31"/>
        <v>1.9659722222204437</v>
      </c>
      <c r="M251">
        <v>0.30599999999999999</v>
      </c>
      <c r="N251">
        <v>5.96E-2</v>
      </c>
      <c r="O251">
        <v>30.255078467633901</v>
      </c>
      <c r="P251">
        <v>39.844931152150103</v>
      </c>
      <c r="Q251">
        <f t="shared" si="26"/>
        <v>15.229066342768741</v>
      </c>
      <c r="R251">
        <f t="shared" si="27"/>
        <v>20.056173398733272</v>
      </c>
      <c r="S251">
        <f t="shared" si="28"/>
        <v>10.533945189293139</v>
      </c>
      <c r="T251">
        <f t="shared" si="29"/>
        <v>6.183318258829468</v>
      </c>
      <c r="U251">
        <v>1</v>
      </c>
    </row>
    <row r="252" spans="1:21" x14ac:dyDescent="0.35">
      <c r="A252" t="s">
        <v>560</v>
      </c>
      <c r="B252" t="s">
        <v>402</v>
      </c>
      <c r="C252">
        <v>5</v>
      </c>
      <c r="D252">
        <v>400</v>
      </c>
      <c r="E252">
        <v>2</v>
      </c>
      <c r="F252">
        <v>5</v>
      </c>
      <c r="G252">
        <v>48</v>
      </c>
      <c r="H252">
        <v>2</v>
      </c>
      <c r="I252" s="8">
        <v>45324.625694444447</v>
      </c>
      <c r="J252" s="8">
        <v>45326.591666666667</v>
      </c>
      <c r="K252">
        <f t="shared" si="30"/>
        <v>47.183333333290648</v>
      </c>
      <c r="L252">
        <f t="shared" si="31"/>
        <v>1.9659722222204437</v>
      </c>
      <c r="N252" s="6"/>
      <c r="U252">
        <v>0</v>
      </c>
    </row>
    <row r="253" spans="1:21" x14ac:dyDescent="0.35">
      <c r="A253" t="s">
        <v>560</v>
      </c>
      <c r="B253" t="s">
        <v>403</v>
      </c>
      <c r="C253">
        <v>5</v>
      </c>
      <c r="D253">
        <v>400</v>
      </c>
      <c r="E253">
        <v>3</v>
      </c>
      <c r="F253">
        <v>1</v>
      </c>
      <c r="G253">
        <v>48</v>
      </c>
      <c r="H253">
        <v>2</v>
      </c>
      <c r="I253" s="8">
        <v>45324.625694444447</v>
      </c>
      <c r="J253" s="8">
        <v>45326.595833333333</v>
      </c>
      <c r="K253">
        <f t="shared" si="30"/>
        <v>47.283333333267365</v>
      </c>
      <c r="L253">
        <f t="shared" si="31"/>
        <v>1.9701388888861402</v>
      </c>
      <c r="M253">
        <v>0.46229999999999999</v>
      </c>
      <c r="N253">
        <v>9.0300000000000005E-2</v>
      </c>
      <c r="O253">
        <v>47.699282025125598</v>
      </c>
      <c r="P253">
        <v>69.453952051710701</v>
      </c>
      <c r="Q253">
        <f t="shared" si="26"/>
        <v>15.846937549875612</v>
      </c>
      <c r="R253">
        <f t="shared" si="27"/>
        <v>23.074402674986942</v>
      </c>
      <c r="S253">
        <f t="shared" si="28"/>
        <v>10.961326703248961</v>
      </c>
      <c r="T253">
        <f t="shared" si="29"/>
        <v>7.1138383446984745</v>
      </c>
      <c r="U253">
        <v>1</v>
      </c>
    </row>
    <row r="254" spans="1:21" x14ac:dyDescent="0.35">
      <c r="A254" t="s">
        <v>560</v>
      </c>
      <c r="B254" t="s">
        <v>404</v>
      </c>
      <c r="C254">
        <v>5</v>
      </c>
      <c r="D254">
        <v>400</v>
      </c>
      <c r="E254">
        <v>3</v>
      </c>
      <c r="F254">
        <v>2</v>
      </c>
      <c r="G254">
        <v>48</v>
      </c>
      <c r="H254">
        <v>2</v>
      </c>
      <c r="I254" s="8">
        <v>45324.625694444447</v>
      </c>
      <c r="J254" s="8">
        <v>45326.595833333333</v>
      </c>
      <c r="K254">
        <f t="shared" si="30"/>
        <v>47.283333333267365</v>
      </c>
      <c r="L254">
        <f t="shared" si="31"/>
        <v>1.9701388888861402</v>
      </c>
      <c r="M254">
        <v>0.5</v>
      </c>
      <c r="N254">
        <v>9.3200000000000005E-2</v>
      </c>
      <c r="O254">
        <v>40.536994943285698</v>
      </c>
      <c r="P254">
        <v>57.995005321195002</v>
      </c>
      <c r="Q254">
        <f t="shared" si="26"/>
        <v>13.048388930242178</v>
      </c>
      <c r="R254">
        <f t="shared" si="27"/>
        <v>18.667920167766631</v>
      </c>
      <c r="S254">
        <f t="shared" si="28"/>
        <v>9.0255706230485142</v>
      </c>
      <c r="T254">
        <f t="shared" si="29"/>
        <v>5.7553197877224527</v>
      </c>
      <c r="U254">
        <v>1</v>
      </c>
    </row>
    <row r="255" spans="1:21" x14ac:dyDescent="0.35">
      <c r="A255" t="s">
        <v>560</v>
      </c>
      <c r="B255" t="s">
        <v>405</v>
      </c>
      <c r="C255">
        <v>5</v>
      </c>
      <c r="D255">
        <v>400</v>
      </c>
      <c r="E255">
        <v>3</v>
      </c>
      <c r="F255">
        <v>3</v>
      </c>
      <c r="G255">
        <v>48</v>
      </c>
      <c r="H255">
        <v>2</v>
      </c>
      <c r="I255" s="8">
        <v>45324.625694444447</v>
      </c>
      <c r="J255" s="8">
        <v>45326.59583327546</v>
      </c>
      <c r="K255">
        <f t="shared" si="30"/>
        <v>47.28333194431616</v>
      </c>
      <c r="L255">
        <f t="shared" si="31"/>
        <v>1.9701388310131733</v>
      </c>
      <c r="M255">
        <v>0.45250000000000001</v>
      </c>
      <c r="N255">
        <v>8.5599999999999996E-2</v>
      </c>
      <c r="O255">
        <v>29.753802069377802</v>
      </c>
      <c r="P255">
        <v>40.078823954391602</v>
      </c>
      <c r="Q255">
        <f t="shared" si="26"/>
        <v>10.427734370109043</v>
      </c>
      <c r="R255">
        <f t="shared" si="27"/>
        <v>14.046316806445656</v>
      </c>
      <c r="S255">
        <f t="shared" si="28"/>
        <v>7.2128638638044249</v>
      </c>
      <c r="T255">
        <f t="shared" si="29"/>
        <v>4.3304794714271964</v>
      </c>
      <c r="U255">
        <v>1</v>
      </c>
    </row>
    <row r="256" spans="1:21" x14ac:dyDescent="0.35">
      <c r="A256" t="s">
        <v>560</v>
      </c>
      <c r="B256" t="s">
        <v>406</v>
      </c>
      <c r="C256">
        <v>5</v>
      </c>
      <c r="D256">
        <v>400</v>
      </c>
      <c r="E256">
        <v>3</v>
      </c>
      <c r="F256">
        <v>4</v>
      </c>
      <c r="G256">
        <v>48</v>
      </c>
      <c r="H256">
        <v>2</v>
      </c>
      <c r="I256" s="8">
        <v>45324.625694444447</v>
      </c>
      <c r="J256" s="8">
        <v>45326.59583327546</v>
      </c>
      <c r="K256">
        <f t="shared" si="30"/>
        <v>47.28333194431616</v>
      </c>
      <c r="L256">
        <f t="shared" si="31"/>
        <v>1.9701388310131733</v>
      </c>
      <c r="M256">
        <v>0.29680000000000001</v>
      </c>
      <c r="N256">
        <v>5.5800000000000002E-2</v>
      </c>
      <c r="O256">
        <v>21.012098927521802</v>
      </c>
      <c r="P256">
        <v>30.0754804519724</v>
      </c>
      <c r="Q256">
        <f t="shared" si="26"/>
        <v>11.296827380388065</v>
      </c>
      <c r="R256">
        <f t="shared" si="27"/>
        <v>16.169613146221721</v>
      </c>
      <c r="S256">
        <f t="shared" si="28"/>
        <v>7.8140154990144239</v>
      </c>
      <c r="T256">
        <f t="shared" si="29"/>
        <v>4.9850917329801572</v>
      </c>
      <c r="U256">
        <v>1</v>
      </c>
    </row>
    <row r="257" spans="1:21" x14ac:dyDescent="0.35">
      <c r="A257" t="s">
        <v>560</v>
      </c>
      <c r="B257" t="s">
        <v>407</v>
      </c>
      <c r="C257">
        <v>5</v>
      </c>
      <c r="D257">
        <v>400</v>
      </c>
      <c r="E257">
        <v>3</v>
      </c>
      <c r="F257">
        <v>5</v>
      </c>
      <c r="G257">
        <v>48</v>
      </c>
      <c r="H257">
        <v>2</v>
      </c>
      <c r="I257" s="8">
        <v>45324.625694444447</v>
      </c>
      <c r="J257" s="8">
        <v>45326.59583327546</v>
      </c>
      <c r="K257">
        <f t="shared" si="30"/>
        <v>47.28333194431616</v>
      </c>
      <c r="L257">
        <f t="shared" si="31"/>
        <v>1.9701388310131733</v>
      </c>
      <c r="M257">
        <v>0.32240000000000002</v>
      </c>
      <c r="N257">
        <v>5.7799999999999997E-2</v>
      </c>
      <c r="O257">
        <v>30.526904636613601</v>
      </c>
      <c r="P257">
        <v>38.5944655916256</v>
      </c>
      <c r="Q257">
        <f t="shared" si="26"/>
        <v>15.844414171252735</v>
      </c>
      <c r="R257">
        <f t="shared" si="27"/>
        <v>20.031729545826437</v>
      </c>
      <c r="S257">
        <f t="shared" si="28"/>
        <v>10.959581282255517</v>
      </c>
      <c r="T257">
        <f t="shared" si="29"/>
        <v>6.1757822189782905</v>
      </c>
      <c r="U257">
        <v>1</v>
      </c>
    </row>
    <row r="258" spans="1:21" x14ac:dyDescent="0.35">
      <c r="A258" t="s">
        <v>560</v>
      </c>
      <c r="B258" t="s">
        <v>408</v>
      </c>
      <c r="C258">
        <v>5</v>
      </c>
      <c r="D258">
        <v>800</v>
      </c>
      <c r="E258">
        <v>1</v>
      </c>
      <c r="F258">
        <v>1</v>
      </c>
      <c r="G258">
        <v>48</v>
      </c>
      <c r="H258">
        <v>2</v>
      </c>
      <c r="I258" s="8">
        <v>45324.587500000001</v>
      </c>
      <c r="J258" s="8">
        <v>45326.570138888892</v>
      </c>
      <c r="K258">
        <f t="shared" si="30"/>
        <v>47.583333333372138</v>
      </c>
      <c r="L258">
        <f t="shared" si="31"/>
        <v>1.9826388888905058</v>
      </c>
      <c r="M258" s="2">
        <v>0.30420000000000003</v>
      </c>
      <c r="N258">
        <v>5.6800000000000003E-2</v>
      </c>
      <c r="O258">
        <v>30.156937320722299</v>
      </c>
      <c r="P258">
        <v>36.231443744731699</v>
      </c>
      <c r="Q258">
        <f t="shared" si="26"/>
        <v>15.927959852494171</v>
      </c>
      <c r="R258">
        <f t="shared" si="27"/>
        <v>19.136325921513219</v>
      </c>
      <c r="S258">
        <f t="shared" si="28"/>
        <v>11.017369829970217</v>
      </c>
      <c r="T258">
        <f t="shared" si="29"/>
        <v>5.899729281602526</v>
      </c>
      <c r="U258">
        <v>1</v>
      </c>
    </row>
    <row r="259" spans="1:21" x14ac:dyDescent="0.35">
      <c r="A259" t="s">
        <v>560</v>
      </c>
      <c r="B259" t="s">
        <v>409</v>
      </c>
      <c r="C259">
        <v>5</v>
      </c>
      <c r="D259">
        <v>800</v>
      </c>
      <c r="E259">
        <v>1</v>
      </c>
      <c r="F259">
        <v>2</v>
      </c>
      <c r="G259">
        <v>48</v>
      </c>
      <c r="H259">
        <v>2</v>
      </c>
      <c r="I259" s="8">
        <v>45324.587500000001</v>
      </c>
      <c r="J259" s="8">
        <v>45326.570138888892</v>
      </c>
      <c r="K259">
        <f t="shared" si="30"/>
        <v>47.583333333372138</v>
      </c>
      <c r="L259">
        <f t="shared" si="31"/>
        <v>1.9826388888905058</v>
      </c>
      <c r="M259">
        <v>0.48480000000000001</v>
      </c>
      <c r="N259">
        <v>8.9700000000000002E-2</v>
      </c>
      <c r="O259">
        <v>56.040078376764598</v>
      </c>
      <c r="P259">
        <v>70.557608964222794</v>
      </c>
      <c r="Q259">
        <f t="shared" si="26"/>
        <v>18.742501129352707</v>
      </c>
      <c r="R259">
        <f t="shared" si="27"/>
        <v>23.597862529840402</v>
      </c>
      <c r="S259">
        <f t="shared" si="28"/>
        <v>12.964188031173267</v>
      </c>
      <c r="T259">
        <f t="shared" si="29"/>
        <v>7.2752210179497965</v>
      </c>
      <c r="U259">
        <v>1</v>
      </c>
    </row>
    <row r="260" spans="1:21" x14ac:dyDescent="0.35">
      <c r="A260" t="s">
        <v>560</v>
      </c>
      <c r="B260" t="s">
        <v>410</v>
      </c>
      <c r="C260">
        <v>5</v>
      </c>
      <c r="D260">
        <v>800</v>
      </c>
      <c r="E260">
        <v>1</v>
      </c>
      <c r="F260">
        <v>3</v>
      </c>
      <c r="G260">
        <v>48</v>
      </c>
      <c r="H260">
        <v>2</v>
      </c>
      <c r="I260" s="8">
        <v>45324.587500000001</v>
      </c>
      <c r="J260" s="8">
        <v>45326.570138888892</v>
      </c>
      <c r="K260">
        <f t="shared" si="30"/>
        <v>47.583333333372138</v>
      </c>
      <c r="L260">
        <f t="shared" si="31"/>
        <v>1.9826388888905058</v>
      </c>
      <c r="M260">
        <v>0.55800000000000005</v>
      </c>
      <c r="N260">
        <v>0.1047</v>
      </c>
      <c r="O260">
        <v>49.363869562628302</v>
      </c>
      <c r="P260">
        <v>75.017563223552898</v>
      </c>
      <c r="Q260">
        <f t="shared" si="26"/>
        <v>14.144375232844784</v>
      </c>
      <c r="R260">
        <f t="shared" si="27"/>
        <v>21.495003788983635</v>
      </c>
      <c r="S260">
        <f t="shared" si="28"/>
        <v>9.7836643485587373</v>
      </c>
      <c r="T260">
        <f t="shared" si="29"/>
        <v>6.6269096681436546</v>
      </c>
      <c r="U260">
        <v>1</v>
      </c>
    </row>
    <row r="261" spans="1:21" x14ac:dyDescent="0.35">
      <c r="A261" t="s">
        <v>560</v>
      </c>
      <c r="B261" t="s">
        <v>411</v>
      </c>
      <c r="C261">
        <v>5</v>
      </c>
      <c r="D261">
        <v>800</v>
      </c>
      <c r="E261">
        <v>1</v>
      </c>
      <c r="F261">
        <v>4</v>
      </c>
      <c r="G261">
        <v>48</v>
      </c>
      <c r="H261">
        <v>2</v>
      </c>
      <c r="I261" s="8">
        <v>45324.587500000001</v>
      </c>
      <c r="J261" s="8">
        <v>45326.570138888892</v>
      </c>
      <c r="K261">
        <f t="shared" si="30"/>
        <v>47.583333333372138</v>
      </c>
      <c r="L261">
        <f t="shared" si="31"/>
        <v>1.9826388888905058</v>
      </c>
      <c r="M261">
        <v>0.34710000000000002</v>
      </c>
      <c r="N261">
        <v>6.7199999999999996E-2</v>
      </c>
      <c r="O261">
        <v>51.5226750725461</v>
      </c>
      <c r="P261">
        <v>66.860752520497499</v>
      </c>
      <c r="Q261">
        <f t="shared" si="26"/>
        <v>23.001194228815226</v>
      </c>
      <c r="R261">
        <f t="shared" si="27"/>
        <v>29.848550232364953</v>
      </c>
      <c r="S261">
        <f t="shared" si="28"/>
        <v>15.909926048071492</v>
      </c>
      <c r="T261">
        <f t="shared" si="29"/>
        <v>9.2023080366381151</v>
      </c>
      <c r="U261">
        <v>1</v>
      </c>
    </row>
    <row r="262" spans="1:21" x14ac:dyDescent="0.35">
      <c r="A262" t="s">
        <v>560</v>
      </c>
      <c r="B262" t="s">
        <v>412</v>
      </c>
      <c r="C262">
        <v>5</v>
      </c>
      <c r="D262">
        <v>800</v>
      </c>
      <c r="E262">
        <v>1</v>
      </c>
      <c r="F262">
        <v>5</v>
      </c>
      <c r="G262">
        <v>48</v>
      </c>
      <c r="H262">
        <v>2</v>
      </c>
      <c r="I262" s="8">
        <v>45324.587500000001</v>
      </c>
      <c r="J262" s="8">
        <v>45326.570138888892</v>
      </c>
      <c r="K262">
        <f t="shared" si="30"/>
        <v>47.583333333372138</v>
      </c>
      <c r="L262">
        <f t="shared" si="31"/>
        <v>1.9826388888905058</v>
      </c>
      <c r="M262">
        <v>0.41249999999999998</v>
      </c>
      <c r="N262">
        <v>7.7299999999999994E-2</v>
      </c>
      <c r="O262">
        <v>44.202241464766999</v>
      </c>
      <c r="P262">
        <v>59.371376110113196</v>
      </c>
      <c r="Q262">
        <f t="shared" si="26"/>
        <v>17.154815574941914</v>
      </c>
      <c r="R262">
        <f t="shared" si="27"/>
        <v>23.041931219966315</v>
      </c>
      <c r="S262">
        <f t="shared" si="28"/>
        <v>11.865985933187321</v>
      </c>
      <c r="T262">
        <f t="shared" si="29"/>
        <v>7.1038273951156157</v>
      </c>
      <c r="U262">
        <v>1</v>
      </c>
    </row>
    <row r="263" spans="1:21" x14ac:dyDescent="0.35">
      <c r="A263" t="s">
        <v>560</v>
      </c>
      <c r="B263" t="s">
        <v>413</v>
      </c>
      <c r="C263">
        <v>5</v>
      </c>
      <c r="D263">
        <v>800</v>
      </c>
      <c r="E263">
        <v>2</v>
      </c>
      <c r="F263">
        <v>1</v>
      </c>
      <c r="G263">
        <v>48</v>
      </c>
      <c r="H263">
        <v>2</v>
      </c>
      <c r="I263" s="8">
        <v>45324.587500000001</v>
      </c>
      <c r="J263" s="8">
        <v>45326.571527777778</v>
      </c>
      <c r="K263">
        <f t="shared" si="30"/>
        <v>47.616666666639503</v>
      </c>
      <c r="L263">
        <f t="shared" si="31"/>
        <v>1.984027777776646</v>
      </c>
      <c r="M263">
        <v>0.57050000000000001</v>
      </c>
      <c r="N263">
        <v>0.10290000000000001</v>
      </c>
      <c r="O263">
        <v>64.003970352157097</v>
      </c>
      <c r="P263">
        <v>84.925822185748302</v>
      </c>
      <c r="Q263">
        <f t="shared" si="26"/>
        <v>18.66004966535192</v>
      </c>
      <c r="R263">
        <f t="shared" si="27"/>
        <v>24.75971492295869</v>
      </c>
      <c r="S263">
        <f t="shared" si="28"/>
        <v>12.907156353523924</v>
      </c>
      <c r="T263">
        <f t="shared" si="29"/>
        <v>7.6334201107481645</v>
      </c>
      <c r="U263">
        <v>1</v>
      </c>
    </row>
    <row r="264" spans="1:21" x14ac:dyDescent="0.35">
      <c r="A264" t="s">
        <v>560</v>
      </c>
      <c r="B264" t="s">
        <v>414</v>
      </c>
      <c r="C264">
        <v>5</v>
      </c>
      <c r="D264">
        <v>800</v>
      </c>
      <c r="E264">
        <v>2</v>
      </c>
      <c r="F264">
        <v>2</v>
      </c>
      <c r="G264">
        <v>48</v>
      </c>
      <c r="H264">
        <v>2</v>
      </c>
      <c r="I264" s="8">
        <v>45324.587500000001</v>
      </c>
      <c r="J264" s="8">
        <v>45326.571527777778</v>
      </c>
      <c r="K264">
        <f t="shared" si="30"/>
        <v>47.616666666639503</v>
      </c>
      <c r="L264">
        <f t="shared" si="31"/>
        <v>1.984027777776646</v>
      </c>
      <c r="M264">
        <v>0.52229999999999999</v>
      </c>
      <c r="N264">
        <v>9.6699999999999994E-2</v>
      </c>
      <c r="O264">
        <v>59.769910755576298</v>
      </c>
      <c r="P264">
        <v>76.201500281598499</v>
      </c>
      <c r="Q264">
        <f t="shared" si="26"/>
        <v>18.54288854878272</v>
      </c>
      <c r="R264">
        <f t="shared" si="27"/>
        <v>23.640589539275645</v>
      </c>
      <c r="S264">
        <f t="shared" si="28"/>
        <v>12.826116009193008</v>
      </c>
      <c r="T264">
        <f t="shared" si="29"/>
        <v>7.2883937549586815</v>
      </c>
      <c r="U264">
        <v>1</v>
      </c>
    </row>
    <row r="265" spans="1:21" x14ac:dyDescent="0.35">
      <c r="A265" t="s">
        <v>560</v>
      </c>
      <c r="B265" t="s">
        <v>415</v>
      </c>
      <c r="C265">
        <v>5</v>
      </c>
      <c r="D265">
        <v>800</v>
      </c>
      <c r="E265">
        <v>2</v>
      </c>
      <c r="F265">
        <v>3</v>
      </c>
      <c r="G265">
        <v>48</v>
      </c>
      <c r="H265">
        <v>2</v>
      </c>
      <c r="I265" s="8">
        <v>45324.587500000001</v>
      </c>
      <c r="J265" s="8">
        <v>45326.571527777778</v>
      </c>
      <c r="K265">
        <f t="shared" si="30"/>
        <v>47.616666666639503</v>
      </c>
      <c r="L265">
        <f t="shared" si="31"/>
        <v>1.984027777776646</v>
      </c>
      <c r="M265">
        <v>0.60560000000000003</v>
      </c>
      <c r="N265">
        <v>0.1062</v>
      </c>
      <c r="O265">
        <v>73.227062243996698</v>
      </c>
      <c r="P265">
        <v>98.565202905735006</v>
      </c>
      <c r="Q265">
        <f t="shared" si="26"/>
        <v>20.685610803388897</v>
      </c>
      <c r="R265">
        <f t="shared" si="27"/>
        <v>27.843277656987286</v>
      </c>
      <c r="S265">
        <f t="shared" si="28"/>
        <v>14.308236992704099</v>
      </c>
      <c r="T265">
        <f t="shared" si="29"/>
        <v>8.5840825016491813</v>
      </c>
      <c r="U265">
        <v>1</v>
      </c>
    </row>
    <row r="266" spans="1:21" x14ac:dyDescent="0.35">
      <c r="A266" t="s">
        <v>560</v>
      </c>
      <c r="B266" t="s">
        <v>416</v>
      </c>
      <c r="C266">
        <v>5</v>
      </c>
      <c r="D266">
        <v>800</v>
      </c>
      <c r="E266">
        <v>2</v>
      </c>
      <c r="F266">
        <v>4</v>
      </c>
      <c r="G266">
        <v>48</v>
      </c>
      <c r="H266">
        <v>2</v>
      </c>
      <c r="I266" s="8">
        <v>45324.587500000001</v>
      </c>
      <c r="J266" s="8">
        <v>45326.571527777778</v>
      </c>
      <c r="K266">
        <f t="shared" si="30"/>
        <v>47.616666666639503</v>
      </c>
      <c r="L266">
        <f t="shared" si="31"/>
        <v>1.984027777776646</v>
      </c>
      <c r="M266">
        <v>0.65800000000000003</v>
      </c>
      <c r="N266">
        <v>0.12540000000000001</v>
      </c>
      <c r="O266">
        <v>105.896598206275</v>
      </c>
      <c r="P266">
        <v>131.07826185632501</v>
      </c>
      <c r="Q266">
        <f t="shared" si="26"/>
        <v>25.334114403415068</v>
      </c>
      <c r="R266">
        <f t="shared" si="27"/>
        <v>31.358435850795452</v>
      </c>
      <c r="S266">
        <f t="shared" si="28"/>
        <v>17.523606932842203</v>
      </c>
      <c r="T266">
        <f t="shared" si="29"/>
        <v>9.6678057728002376</v>
      </c>
      <c r="U266">
        <v>1</v>
      </c>
    </row>
    <row r="267" spans="1:21" x14ac:dyDescent="0.35">
      <c r="A267" t="s">
        <v>560</v>
      </c>
      <c r="B267" t="s">
        <v>417</v>
      </c>
      <c r="C267">
        <v>5</v>
      </c>
      <c r="D267">
        <v>800</v>
      </c>
      <c r="E267">
        <v>2</v>
      </c>
      <c r="F267">
        <v>5</v>
      </c>
      <c r="G267">
        <v>48</v>
      </c>
      <c r="H267">
        <v>2</v>
      </c>
      <c r="I267" s="8">
        <v>45324.587500000001</v>
      </c>
      <c r="J267" s="8">
        <v>45326.571527777778</v>
      </c>
      <c r="K267">
        <f t="shared" si="30"/>
        <v>47.616666666639503</v>
      </c>
      <c r="L267">
        <f t="shared" si="31"/>
        <v>1.984027777776646</v>
      </c>
      <c r="M267">
        <v>0.26369999999999999</v>
      </c>
      <c r="N267">
        <v>5.0599999999999999E-2</v>
      </c>
      <c r="O267">
        <v>35.008863344202098</v>
      </c>
      <c r="P267">
        <v>50.614729240122799</v>
      </c>
      <c r="Q267">
        <f t="shared" si="26"/>
        <v>20.756243089447882</v>
      </c>
      <c r="R267">
        <f t="shared" si="27"/>
        <v>30.008732751060951</v>
      </c>
      <c r="S267">
        <f t="shared" si="28"/>
        <v>14.3570933449711</v>
      </c>
      <c r="T267">
        <f t="shared" si="29"/>
        <v>9.2516923071520925</v>
      </c>
      <c r="U267">
        <v>1</v>
      </c>
    </row>
    <row r="268" spans="1:21" x14ac:dyDescent="0.35">
      <c r="A268" t="s">
        <v>560</v>
      </c>
      <c r="B268" t="s">
        <v>418</v>
      </c>
      <c r="C268">
        <v>5</v>
      </c>
      <c r="D268">
        <v>800</v>
      </c>
      <c r="E268">
        <v>3</v>
      </c>
      <c r="F268">
        <v>1</v>
      </c>
      <c r="G268">
        <v>48</v>
      </c>
      <c r="H268">
        <v>2</v>
      </c>
      <c r="I268" s="8">
        <v>45324.587500000001</v>
      </c>
      <c r="J268" s="8">
        <v>45326.573611111111</v>
      </c>
      <c r="K268">
        <f t="shared" si="30"/>
        <v>47.666666666627862</v>
      </c>
      <c r="L268">
        <f t="shared" si="31"/>
        <v>1.9861111111094942</v>
      </c>
      <c r="M268">
        <v>0.42299999999999999</v>
      </c>
      <c r="N268">
        <v>7.9799999999999996E-2</v>
      </c>
      <c r="O268">
        <v>61.888441447113301</v>
      </c>
      <c r="P268">
        <v>80.499793990154899</v>
      </c>
      <c r="Q268">
        <f t="shared" si="26"/>
        <v>23.266331371095227</v>
      </c>
      <c r="R268">
        <f t="shared" si="27"/>
        <v>30.263080447426653</v>
      </c>
      <c r="S268">
        <f t="shared" si="28"/>
        <v>16.093321409386569</v>
      </c>
      <c r="T268">
        <f t="shared" si="29"/>
        <v>9.3301077019416372</v>
      </c>
      <c r="U268">
        <v>1</v>
      </c>
    </row>
    <row r="269" spans="1:21" x14ac:dyDescent="0.35">
      <c r="A269" t="s">
        <v>560</v>
      </c>
      <c r="B269" t="s">
        <v>419</v>
      </c>
      <c r="C269">
        <v>5</v>
      </c>
      <c r="D269">
        <v>800</v>
      </c>
      <c r="E269">
        <v>3</v>
      </c>
      <c r="F269">
        <v>2</v>
      </c>
      <c r="G269">
        <v>48</v>
      </c>
      <c r="H269">
        <v>2</v>
      </c>
      <c r="I269" s="8">
        <v>45324.587500000001</v>
      </c>
      <c r="J269" s="8">
        <v>45326.573611111111</v>
      </c>
      <c r="K269">
        <f t="shared" si="30"/>
        <v>47.666666666627862</v>
      </c>
      <c r="L269">
        <f t="shared" si="31"/>
        <v>1.9861111111094942</v>
      </c>
      <c r="M269">
        <v>0.48849999999999999</v>
      </c>
      <c r="N269" s="1">
        <v>0.09</v>
      </c>
      <c r="O269">
        <v>95.6256666414601</v>
      </c>
      <c r="P269">
        <v>115.01054901796</v>
      </c>
      <c r="Q269">
        <f t="shared" si="26"/>
        <v>31.875222213820031</v>
      </c>
      <c r="R269">
        <f t="shared" si="27"/>
        <v>38.336849672653337</v>
      </c>
      <c r="S269">
        <f t="shared" si="28"/>
        <v>22.048091205299315</v>
      </c>
      <c r="T269">
        <f t="shared" si="29"/>
        <v>11.819250754079023</v>
      </c>
      <c r="U269">
        <v>1</v>
      </c>
    </row>
    <row r="270" spans="1:21" x14ac:dyDescent="0.35">
      <c r="A270" t="s">
        <v>560</v>
      </c>
      <c r="B270" t="s">
        <v>420</v>
      </c>
      <c r="C270">
        <v>5</v>
      </c>
      <c r="D270">
        <v>800</v>
      </c>
      <c r="E270">
        <v>3</v>
      </c>
      <c r="F270">
        <v>3</v>
      </c>
      <c r="G270">
        <v>48</v>
      </c>
      <c r="H270">
        <v>2</v>
      </c>
      <c r="I270" s="8">
        <v>45324.587500000001</v>
      </c>
      <c r="J270" s="8">
        <v>45326.573611053238</v>
      </c>
      <c r="K270">
        <f t="shared" si="30"/>
        <v>47.666665277676657</v>
      </c>
      <c r="L270">
        <f t="shared" si="31"/>
        <v>1.9861110532365274</v>
      </c>
      <c r="M270">
        <v>0.27239999999999998</v>
      </c>
      <c r="N270">
        <v>5.2499999999999998E-2</v>
      </c>
      <c r="O270">
        <v>30.756142583132501</v>
      </c>
      <c r="P270">
        <v>46.616948570759398</v>
      </c>
      <c r="Q270">
        <f t="shared" si="26"/>
        <v>17.574938618932858</v>
      </c>
      <c r="R270">
        <f t="shared" si="27"/>
        <v>26.638256326148227</v>
      </c>
      <c r="S270">
        <f t="shared" si="28"/>
        <v>12.156585042715857</v>
      </c>
      <c r="T270">
        <f t="shared" si="29"/>
        <v>8.2125744253514981</v>
      </c>
      <c r="U270">
        <v>1</v>
      </c>
    </row>
    <row r="271" spans="1:21" x14ac:dyDescent="0.35">
      <c r="A271" t="s">
        <v>560</v>
      </c>
      <c r="B271" t="s">
        <v>421</v>
      </c>
      <c r="C271">
        <v>5</v>
      </c>
      <c r="D271">
        <v>800</v>
      </c>
      <c r="E271">
        <v>3</v>
      </c>
      <c r="F271">
        <v>4</v>
      </c>
      <c r="G271">
        <v>48</v>
      </c>
      <c r="H271">
        <v>2</v>
      </c>
      <c r="I271" s="8">
        <v>45324.587500000001</v>
      </c>
      <c r="J271" s="8">
        <v>45326.573611053238</v>
      </c>
      <c r="K271">
        <f t="shared" si="30"/>
        <v>47.666665277676657</v>
      </c>
      <c r="L271">
        <f t="shared" si="31"/>
        <v>1.9861110532365274</v>
      </c>
      <c r="M271">
        <v>0.38229999999999997</v>
      </c>
      <c r="N271">
        <v>7.0499999999999993E-2</v>
      </c>
      <c r="O271">
        <v>50.279856923769401</v>
      </c>
      <c r="P271">
        <v>71.156050223045099</v>
      </c>
      <c r="Q271">
        <f t="shared" si="26"/>
        <v>21.395683797348681</v>
      </c>
      <c r="R271">
        <f t="shared" si="27"/>
        <v>30.279170307678775</v>
      </c>
      <c r="S271">
        <f t="shared" si="28"/>
        <v>14.799394482626083</v>
      </c>
      <c r="T271">
        <f t="shared" si="29"/>
        <v>9.3350682058573664</v>
      </c>
      <c r="U271">
        <v>1</v>
      </c>
    </row>
    <row r="272" spans="1:21" x14ac:dyDescent="0.35">
      <c r="A272" t="s">
        <v>560</v>
      </c>
      <c r="B272" t="s">
        <v>422</v>
      </c>
      <c r="C272">
        <v>5</v>
      </c>
      <c r="D272">
        <v>800</v>
      </c>
      <c r="E272">
        <v>3</v>
      </c>
      <c r="F272">
        <v>5</v>
      </c>
      <c r="G272">
        <v>48</v>
      </c>
      <c r="H272">
        <v>2</v>
      </c>
      <c r="I272" s="8">
        <v>45324.587500000001</v>
      </c>
      <c r="J272" s="8">
        <v>45326.573611053238</v>
      </c>
      <c r="K272">
        <f t="shared" si="30"/>
        <v>47.666665277676657</v>
      </c>
      <c r="L272">
        <f t="shared" si="31"/>
        <v>1.9861110532365274</v>
      </c>
      <c r="M272">
        <v>0.36880000000000002</v>
      </c>
      <c r="N272" s="1">
        <v>7.6999999999999999E-2</v>
      </c>
      <c r="O272">
        <v>36.161342526560603</v>
      </c>
      <c r="P272">
        <v>51.762411409858402</v>
      </c>
      <c r="Q272">
        <f t="shared" si="26"/>
        <v>14.088834750608028</v>
      </c>
      <c r="R272">
        <f t="shared" si="27"/>
        <v>20.167173276568207</v>
      </c>
      <c r="S272">
        <f t="shared" si="28"/>
        <v>9.7452469969955722</v>
      </c>
      <c r="T272">
        <f t="shared" si="29"/>
        <v>6.2175395211659783</v>
      </c>
      <c r="U272">
        <v>1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1739D-4919-41C2-B549-B17714D821F5}">
  <sheetPr>
    <tabColor rgb="FF00B050"/>
  </sheetPr>
  <dimension ref="A1"/>
  <sheetViews>
    <sheetView workbookViewId="0">
      <selection activeCell="I14" sqref="I14"/>
    </sheetView>
  </sheetViews>
  <sheetFormatPr defaultColWidth="8.85546875" defaultRowHeight="14.15" x14ac:dyDescent="0.35"/>
  <sheetData/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U272"/>
  <sheetViews>
    <sheetView topLeftCell="H40" workbookViewId="0">
      <selection activeCell="O51" sqref="O51"/>
    </sheetView>
  </sheetViews>
  <sheetFormatPr defaultColWidth="9" defaultRowHeight="14.15" x14ac:dyDescent="0.35"/>
  <cols>
    <col min="2" max="2" width="21.5" customWidth="1"/>
    <col min="7" max="7" width="10.85546875" customWidth="1"/>
    <col min="8" max="8" width="14" customWidth="1"/>
    <col min="9" max="9" width="15.140625" customWidth="1"/>
    <col min="10" max="11" width="11.640625" customWidth="1"/>
  </cols>
  <sheetData>
    <row r="1" spans="1:21" x14ac:dyDescent="0.35">
      <c r="A1" t="s">
        <v>0</v>
      </c>
      <c r="B1" t="s">
        <v>1</v>
      </c>
      <c r="C1" t="s">
        <v>555</v>
      </c>
      <c r="D1" t="s">
        <v>541</v>
      </c>
      <c r="E1" t="s">
        <v>2</v>
      </c>
      <c r="F1" t="s">
        <v>542</v>
      </c>
      <c r="G1" t="s">
        <v>543</v>
      </c>
      <c r="H1" t="s">
        <v>544</v>
      </c>
      <c r="I1" t="s">
        <v>545</v>
      </c>
      <c r="J1" t="s">
        <v>546</v>
      </c>
      <c r="K1" t="s">
        <v>547</v>
      </c>
      <c r="L1" s="6" t="s">
        <v>591</v>
      </c>
      <c r="M1" s="6" t="s">
        <v>592</v>
      </c>
      <c r="N1" s="6" t="s">
        <v>589</v>
      </c>
      <c r="O1" s="6" t="s">
        <v>590</v>
      </c>
      <c r="P1" s="6" t="s">
        <v>596</v>
      </c>
      <c r="Q1" s="6" t="s">
        <v>597</v>
      </c>
      <c r="R1" s="6" t="s">
        <v>608</v>
      </c>
      <c r="S1" s="6" t="s">
        <v>609</v>
      </c>
      <c r="T1" s="6" t="s">
        <v>613</v>
      </c>
      <c r="U1" s="6" t="s">
        <v>595</v>
      </c>
    </row>
    <row r="2" spans="1:21" x14ac:dyDescent="0.35">
      <c r="A2" t="s">
        <v>561</v>
      </c>
      <c r="B2" t="s">
        <v>423</v>
      </c>
      <c r="C2">
        <v>0</v>
      </c>
      <c r="D2">
        <v>1</v>
      </c>
      <c r="E2">
        <v>1</v>
      </c>
      <c r="F2">
        <v>240</v>
      </c>
      <c r="G2">
        <v>10</v>
      </c>
      <c r="H2" s="3">
        <v>45316.479166666664</v>
      </c>
      <c r="I2" s="3">
        <v>45326.566666666666</v>
      </c>
      <c r="J2">
        <f t="shared" ref="J2:J65" si="0">(I2-H2)*24</f>
        <v>242.10000000003492</v>
      </c>
      <c r="K2">
        <f t="shared" ref="K2:K65" si="1">J2/24</f>
        <v>10.087500000001455</v>
      </c>
      <c r="L2">
        <v>0.28810000000000002</v>
      </c>
      <c r="M2">
        <v>5.16E-2</v>
      </c>
      <c r="N2">
        <v>12.3976283059616</v>
      </c>
      <c r="O2">
        <v>13.298954184278299</v>
      </c>
      <c r="P2">
        <f>N2*30/1000/M2</f>
        <v>7.2079234336986042</v>
      </c>
      <c r="Q2">
        <f>O2*30/1000/M2</f>
        <v>7.7319501071385464</v>
      </c>
      <c r="R2">
        <f>P2*0.6917</f>
        <v>4.9857206390893243</v>
      </c>
      <c r="S2">
        <f>Q2*0.3083</f>
        <v>2.3837602180308139</v>
      </c>
      <c r="T2">
        <f>R2+S2</f>
        <v>7.3694808571201378</v>
      </c>
      <c r="U2">
        <v>1</v>
      </c>
    </row>
    <row r="3" spans="1:21" x14ac:dyDescent="0.35">
      <c r="A3" t="s">
        <v>561</v>
      </c>
      <c r="B3" t="s">
        <v>424</v>
      </c>
      <c r="C3">
        <v>0</v>
      </c>
      <c r="D3">
        <v>1</v>
      </c>
      <c r="E3">
        <v>2</v>
      </c>
      <c r="F3">
        <v>240</v>
      </c>
      <c r="G3">
        <v>10</v>
      </c>
      <c r="H3" s="3">
        <v>45316.479166666664</v>
      </c>
      <c r="I3" s="3">
        <v>45326.566666666666</v>
      </c>
      <c r="J3">
        <f t="shared" si="0"/>
        <v>242.10000000003492</v>
      </c>
      <c r="K3">
        <f t="shared" si="1"/>
        <v>10.087500000001455</v>
      </c>
      <c r="L3">
        <v>0.37819999999999998</v>
      </c>
      <c r="M3">
        <v>7.4700000000000003E-2</v>
      </c>
      <c r="N3">
        <v>13.6095599332261</v>
      </c>
      <c r="O3">
        <v>15.2096777162312</v>
      </c>
      <c r="P3">
        <f t="shared" ref="P3:P66" si="2">N3*30/1000/M3</f>
        <v>5.4656867201711243</v>
      </c>
      <c r="Q3">
        <f t="shared" ref="Q3:Q66" si="3">O3*30/1000/M3</f>
        <v>6.1083043037073086</v>
      </c>
      <c r="R3">
        <f t="shared" ref="R3:R66" si="4">P3*0.6917</f>
        <v>3.7806155043423666</v>
      </c>
      <c r="S3">
        <f t="shared" ref="S3:S66" si="5">Q3*0.3083</f>
        <v>1.8831902168329633</v>
      </c>
      <c r="T3">
        <f t="shared" ref="T3:T66" si="6">R3+S3</f>
        <v>5.6638057211753301</v>
      </c>
      <c r="U3">
        <v>1</v>
      </c>
    </row>
    <row r="4" spans="1:21" x14ac:dyDescent="0.35">
      <c r="A4" t="s">
        <v>561</v>
      </c>
      <c r="B4" t="s">
        <v>425</v>
      </c>
      <c r="C4">
        <v>0</v>
      </c>
      <c r="D4">
        <v>1</v>
      </c>
      <c r="E4">
        <v>3</v>
      </c>
      <c r="F4">
        <v>240</v>
      </c>
      <c r="G4">
        <v>10</v>
      </c>
      <c r="H4" s="3">
        <v>45316.479166608799</v>
      </c>
      <c r="I4" s="3">
        <v>45326.566666608793</v>
      </c>
      <c r="J4">
        <f t="shared" si="0"/>
        <v>242.0999999998603</v>
      </c>
      <c r="K4">
        <f t="shared" si="1"/>
        <v>10.087499999994179</v>
      </c>
      <c r="L4">
        <v>0.25919999999999999</v>
      </c>
      <c r="M4">
        <v>4.65E-2</v>
      </c>
      <c r="N4">
        <v>13.526342958451901</v>
      </c>
      <c r="O4">
        <v>14.9982757877059</v>
      </c>
      <c r="P4">
        <f t="shared" si="2"/>
        <v>8.7266728764205812</v>
      </c>
      <c r="Q4">
        <f t="shared" si="3"/>
        <v>9.6763069598102582</v>
      </c>
      <c r="R4">
        <f t="shared" si="4"/>
        <v>6.0362396286201161</v>
      </c>
      <c r="S4">
        <f t="shared" si="5"/>
        <v>2.9832054357095026</v>
      </c>
      <c r="T4">
        <f t="shared" si="6"/>
        <v>9.0194450643296182</v>
      </c>
      <c r="U4">
        <v>1</v>
      </c>
    </row>
    <row r="5" spans="1:21" x14ac:dyDescent="0.35">
      <c r="A5" t="s">
        <v>561</v>
      </c>
      <c r="B5" t="s">
        <v>426</v>
      </c>
      <c r="C5">
        <v>0</v>
      </c>
      <c r="D5">
        <v>1</v>
      </c>
      <c r="E5">
        <v>4</v>
      </c>
      <c r="F5">
        <v>240</v>
      </c>
      <c r="G5">
        <v>10</v>
      </c>
      <c r="H5" s="3">
        <v>45316.479166608799</v>
      </c>
      <c r="I5" s="3">
        <v>45326.566666608793</v>
      </c>
      <c r="J5">
        <f t="shared" si="0"/>
        <v>242.0999999998603</v>
      </c>
      <c r="K5">
        <f t="shared" si="1"/>
        <v>10.087499999994179</v>
      </c>
      <c r="L5">
        <v>0.40539999999999998</v>
      </c>
      <c r="M5">
        <v>7.7700000000000005E-2</v>
      </c>
      <c r="N5">
        <v>18.3991506195276</v>
      </c>
      <c r="O5">
        <v>20.324954398578299</v>
      </c>
      <c r="P5">
        <f t="shared" si="2"/>
        <v>7.1039191581187646</v>
      </c>
      <c r="Q5">
        <f t="shared" si="3"/>
        <v>7.8474727407638216</v>
      </c>
      <c r="R5">
        <f t="shared" si="4"/>
        <v>4.9137808816707498</v>
      </c>
      <c r="S5">
        <f t="shared" si="5"/>
        <v>2.4193758459774863</v>
      </c>
      <c r="T5">
        <f t="shared" si="6"/>
        <v>7.3331567276482357</v>
      </c>
      <c r="U5">
        <v>1</v>
      </c>
    </row>
    <row r="6" spans="1:21" x14ac:dyDescent="0.35">
      <c r="A6" t="s">
        <v>561</v>
      </c>
      <c r="B6" t="s">
        <v>427</v>
      </c>
      <c r="C6">
        <v>0</v>
      </c>
      <c r="D6">
        <v>1</v>
      </c>
      <c r="E6">
        <v>5</v>
      </c>
      <c r="F6">
        <v>240</v>
      </c>
      <c r="G6">
        <v>10</v>
      </c>
      <c r="H6" s="3">
        <v>45316.479166608799</v>
      </c>
      <c r="I6" s="3">
        <v>45326.566666608793</v>
      </c>
      <c r="J6">
        <f t="shared" si="0"/>
        <v>242.0999999998603</v>
      </c>
      <c r="K6">
        <f t="shared" si="1"/>
        <v>10.087499999994179</v>
      </c>
      <c r="L6">
        <v>0.20680000000000001</v>
      </c>
      <c r="M6">
        <v>3.8600000000000002E-2</v>
      </c>
      <c r="N6">
        <v>10.0440911383235</v>
      </c>
      <c r="O6">
        <v>11.081075082740201</v>
      </c>
      <c r="P6">
        <f t="shared" si="2"/>
        <v>7.8062884494742226</v>
      </c>
      <c r="Q6">
        <f t="shared" si="3"/>
        <v>8.6122345202644048</v>
      </c>
      <c r="R6">
        <f t="shared" si="4"/>
        <v>5.3996097205013198</v>
      </c>
      <c r="S6">
        <f t="shared" si="5"/>
        <v>2.6551519025975163</v>
      </c>
      <c r="T6">
        <f t="shared" si="6"/>
        <v>8.0547616230988357</v>
      </c>
      <c r="U6">
        <v>1</v>
      </c>
    </row>
    <row r="7" spans="1:21" x14ac:dyDescent="0.35">
      <c r="A7" t="s">
        <v>561</v>
      </c>
      <c r="B7" t="s">
        <v>428</v>
      </c>
      <c r="C7">
        <v>0</v>
      </c>
      <c r="D7">
        <v>1</v>
      </c>
      <c r="E7">
        <v>6</v>
      </c>
      <c r="F7">
        <v>240</v>
      </c>
      <c r="G7">
        <v>10</v>
      </c>
      <c r="H7" s="3">
        <v>45316.479166608799</v>
      </c>
      <c r="I7" s="3">
        <v>45326.566666608793</v>
      </c>
      <c r="J7">
        <f t="shared" si="0"/>
        <v>242.0999999998603</v>
      </c>
      <c r="K7">
        <f t="shared" si="1"/>
        <v>10.087499999994179</v>
      </c>
      <c r="L7">
        <v>0.2334</v>
      </c>
      <c r="M7">
        <v>4.3200000000000002E-2</v>
      </c>
      <c r="N7">
        <v>10.4621967395507</v>
      </c>
      <c r="O7">
        <v>11.5018413390603</v>
      </c>
      <c r="P7">
        <f t="shared" si="2"/>
        <v>7.2654144024657636</v>
      </c>
      <c r="Q7">
        <f t="shared" si="3"/>
        <v>7.9873898187918755</v>
      </c>
      <c r="R7">
        <f t="shared" si="4"/>
        <v>5.0254871421855682</v>
      </c>
      <c r="S7">
        <f t="shared" si="5"/>
        <v>2.4625122811335354</v>
      </c>
      <c r="T7">
        <f t="shared" si="6"/>
        <v>7.4879994233191036</v>
      </c>
      <c r="U7">
        <v>1</v>
      </c>
    </row>
    <row r="8" spans="1:21" x14ac:dyDescent="0.35">
      <c r="A8" t="s">
        <v>561</v>
      </c>
      <c r="B8" t="s">
        <v>429</v>
      </c>
      <c r="C8">
        <v>0</v>
      </c>
      <c r="D8">
        <v>1</v>
      </c>
      <c r="E8">
        <v>7</v>
      </c>
      <c r="F8">
        <v>240</v>
      </c>
      <c r="G8">
        <v>10</v>
      </c>
      <c r="H8" s="3">
        <v>45316.479166608799</v>
      </c>
      <c r="I8" s="3">
        <v>45326.566666608793</v>
      </c>
      <c r="J8">
        <f t="shared" si="0"/>
        <v>242.0999999998603</v>
      </c>
      <c r="K8">
        <f t="shared" si="1"/>
        <v>10.087499999994179</v>
      </c>
      <c r="L8">
        <v>0.35630000000000001</v>
      </c>
      <c r="M8">
        <v>7.1300000000000002E-2</v>
      </c>
      <c r="N8">
        <v>15.0566518885947</v>
      </c>
      <c r="O8">
        <v>16.476861114797501</v>
      </c>
      <c r="P8">
        <f t="shared" si="2"/>
        <v>6.3351971480763112</v>
      </c>
      <c r="Q8">
        <f t="shared" si="3"/>
        <v>6.9327606373622022</v>
      </c>
      <c r="R8">
        <f t="shared" si="4"/>
        <v>4.3820558673243841</v>
      </c>
      <c r="S8">
        <f t="shared" si="5"/>
        <v>2.1373701044987672</v>
      </c>
      <c r="T8">
        <f t="shared" si="6"/>
        <v>6.5194259718231518</v>
      </c>
      <c r="U8">
        <v>1</v>
      </c>
    </row>
    <row r="9" spans="1:21" x14ac:dyDescent="0.35">
      <c r="A9" t="s">
        <v>561</v>
      </c>
      <c r="B9" t="s">
        <v>430</v>
      </c>
      <c r="C9">
        <v>0</v>
      </c>
      <c r="D9">
        <v>1</v>
      </c>
      <c r="E9">
        <v>8</v>
      </c>
      <c r="F9">
        <v>240</v>
      </c>
      <c r="G9">
        <v>10</v>
      </c>
      <c r="H9" s="3">
        <v>45316.479166608799</v>
      </c>
      <c r="I9" s="3">
        <v>45326.566666608793</v>
      </c>
      <c r="J9">
        <f t="shared" si="0"/>
        <v>242.0999999998603</v>
      </c>
      <c r="K9">
        <f t="shared" si="1"/>
        <v>10.087499999994179</v>
      </c>
      <c r="L9">
        <v>0.32669999999999999</v>
      </c>
      <c r="M9">
        <v>6.5500000000000003E-2</v>
      </c>
      <c r="N9">
        <v>12.373999908661199</v>
      </c>
      <c r="O9">
        <v>13.3339131218651</v>
      </c>
      <c r="P9">
        <f t="shared" si="2"/>
        <v>5.6674808741959684</v>
      </c>
      <c r="Q9">
        <f t="shared" si="3"/>
        <v>6.1071357810069156</v>
      </c>
      <c r="R9">
        <f t="shared" si="4"/>
        <v>3.9201965206813512</v>
      </c>
      <c r="S9">
        <f t="shared" si="5"/>
        <v>1.8828299612844321</v>
      </c>
      <c r="T9">
        <f t="shared" si="6"/>
        <v>5.8030264819657837</v>
      </c>
      <c r="U9">
        <v>1</v>
      </c>
    </row>
    <row r="10" spans="1:21" x14ac:dyDescent="0.35">
      <c r="A10" t="s">
        <v>561</v>
      </c>
      <c r="B10" t="s">
        <v>431</v>
      </c>
      <c r="C10">
        <v>0</v>
      </c>
      <c r="D10">
        <v>1</v>
      </c>
      <c r="E10">
        <v>9</v>
      </c>
      <c r="F10">
        <v>240</v>
      </c>
      <c r="G10">
        <v>10</v>
      </c>
      <c r="H10" s="3">
        <v>45316.479166608799</v>
      </c>
      <c r="I10" s="3">
        <v>45326.566666608793</v>
      </c>
      <c r="J10">
        <f t="shared" si="0"/>
        <v>242.0999999998603</v>
      </c>
      <c r="K10">
        <f t="shared" si="1"/>
        <v>10.087499999994179</v>
      </c>
      <c r="L10">
        <v>0.30730000000000002</v>
      </c>
      <c r="M10">
        <v>5.7599999999999998E-2</v>
      </c>
      <c r="N10">
        <v>15.0355275942605</v>
      </c>
      <c r="O10">
        <v>15.903189820662799</v>
      </c>
      <c r="P10">
        <f t="shared" si="2"/>
        <v>7.8310039553440118</v>
      </c>
      <c r="Q10">
        <f t="shared" si="3"/>
        <v>8.2829113649285411</v>
      </c>
      <c r="R10">
        <f t="shared" si="4"/>
        <v>5.416705435911453</v>
      </c>
      <c r="S10">
        <f t="shared" si="5"/>
        <v>2.5536215738074692</v>
      </c>
      <c r="T10">
        <f t="shared" si="6"/>
        <v>7.9703270097189218</v>
      </c>
      <c r="U10">
        <v>1</v>
      </c>
    </row>
    <row r="11" spans="1:21" x14ac:dyDescent="0.35">
      <c r="A11" t="s">
        <v>561</v>
      </c>
      <c r="B11" t="s">
        <v>432</v>
      </c>
      <c r="C11">
        <v>0</v>
      </c>
      <c r="D11">
        <v>1</v>
      </c>
      <c r="E11">
        <v>10</v>
      </c>
      <c r="F11">
        <v>240</v>
      </c>
      <c r="G11">
        <v>10</v>
      </c>
      <c r="H11" s="3">
        <v>45316.479166608799</v>
      </c>
      <c r="I11" s="3">
        <v>45326.566666608793</v>
      </c>
      <c r="J11">
        <f t="shared" si="0"/>
        <v>242.0999999998603</v>
      </c>
      <c r="K11">
        <f t="shared" si="1"/>
        <v>10.087499999994179</v>
      </c>
      <c r="L11">
        <v>0.25729999999999997</v>
      </c>
      <c r="M11" s="1">
        <v>4.7E-2</v>
      </c>
      <c r="N11">
        <v>11.614515607527</v>
      </c>
      <c r="O11">
        <v>13.116123816847001</v>
      </c>
      <c r="P11">
        <f t="shared" si="2"/>
        <v>7.4135206005491492</v>
      </c>
      <c r="Q11">
        <f t="shared" si="3"/>
        <v>8.3719939256470219</v>
      </c>
      <c r="R11">
        <f t="shared" si="4"/>
        <v>5.1279321993998463</v>
      </c>
      <c r="S11">
        <f t="shared" si="5"/>
        <v>2.5810857272769772</v>
      </c>
      <c r="T11">
        <f t="shared" si="6"/>
        <v>7.7090179266768235</v>
      </c>
      <c r="U11">
        <v>1</v>
      </c>
    </row>
    <row r="12" spans="1:21" x14ac:dyDescent="0.35">
      <c r="A12" t="s">
        <v>561</v>
      </c>
      <c r="B12" t="s">
        <v>433</v>
      </c>
      <c r="C12">
        <v>0</v>
      </c>
      <c r="D12">
        <v>2</v>
      </c>
      <c r="E12">
        <v>1</v>
      </c>
      <c r="F12">
        <v>240</v>
      </c>
      <c r="G12">
        <v>10</v>
      </c>
      <c r="H12" s="3">
        <v>45316.479861111111</v>
      </c>
      <c r="I12" s="3">
        <v>45326.566666608793</v>
      </c>
      <c r="J12">
        <f t="shared" si="0"/>
        <v>242.08333194436273</v>
      </c>
      <c r="K12">
        <f t="shared" si="1"/>
        <v>10.08680549768178</v>
      </c>
      <c r="L12">
        <v>0.2767</v>
      </c>
      <c r="M12">
        <v>5.11E-2</v>
      </c>
      <c r="N12">
        <v>10.9508137211423</v>
      </c>
      <c r="O12">
        <v>11.888583750793099</v>
      </c>
      <c r="P12">
        <f t="shared" si="2"/>
        <v>6.4290491513555574</v>
      </c>
      <c r="Q12">
        <f t="shared" si="3"/>
        <v>6.9795990709157145</v>
      </c>
      <c r="R12">
        <f t="shared" si="4"/>
        <v>4.4469732979926393</v>
      </c>
      <c r="S12">
        <f t="shared" si="5"/>
        <v>2.151810393563315</v>
      </c>
      <c r="T12">
        <f t="shared" si="6"/>
        <v>6.5987836915559548</v>
      </c>
      <c r="U12">
        <v>1</v>
      </c>
    </row>
    <row r="13" spans="1:21" x14ac:dyDescent="0.35">
      <c r="A13" t="s">
        <v>561</v>
      </c>
      <c r="B13" t="s">
        <v>434</v>
      </c>
      <c r="C13">
        <v>0</v>
      </c>
      <c r="D13">
        <v>2</v>
      </c>
      <c r="E13">
        <v>2</v>
      </c>
      <c r="F13">
        <v>240</v>
      </c>
      <c r="G13">
        <v>10</v>
      </c>
      <c r="H13" s="3">
        <v>45316.479861111111</v>
      </c>
      <c r="I13" s="3">
        <v>45326.566666608793</v>
      </c>
      <c r="J13">
        <f t="shared" si="0"/>
        <v>242.08333194436273</v>
      </c>
      <c r="K13">
        <f t="shared" si="1"/>
        <v>10.08680549768178</v>
      </c>
      <c r="L13">
        <v>0.3251</v>
      </c>
      <c r="M13" s="1">
        <v>6.3E-2</v>
      </c>
      <c r="N13">
        <v>16.199952775701501</v>
      </c>
      <c r="O13">
        <v>17.6240283741665</v>
      </c>
      <c r="P13">
        <f t="shared" si="2"/>
        <v>7.7142632265245243</v>
      </c>
      <c r="Q13">
        <f t="shared" si="3"/>
        <v>8.3923944638888077</v>
      </c>
      <c r="R13">
        <f t="shared" si="4"/>
        <v>5.3359558737870136</v>
      </c>
      <c r="S13">
        <f t="shared" si="5"/>
        <v>2.5873752132169194</v>
      </c>
      <c r="T13">
        <f t="shared" si="6"/>
        <v>7.9233310870039331</v>
      </c>
      <c r="U13">
        <v>1</v>
      </c>
    </row>
    <row r="14" spans="1:21" x14ac:dyDescent="0.35">
      <c r="A14" t="s">
        <v>561</v>
      </c>
      <c r="B14" t="s">
        <v>435</v>
      </c>
      <c r="C14">
        <v>0</v>
      </c>
      <c r="D14">
        <v>2</v>
      </c>
      <c r="E14">
        <v>3</v>
      </c>
      <c r="F14">
        <v>240</v>
      </c>
      <c r="G14">
        <v>10</v>
      </c>
      <c r="H14" s="3">
        <v>45316.479861053238</v>
      </c>
      <c r="I14" s="3">
        <v>45326.566666608793</v>
      </c>
      <c r="J14">
        <f t="shared" si="0"/>
        <v>242.08333333331393</v>
      </c>
      <c r="K14">
        <f t="shared" si="1"/>
        <v>10.086805555554747</v>
      </c>
      <c r="L14">
        <v>0.46539999999999998</v>
      </c>
      <c r="M14">
        <v>8.3299999999999999E-2</v>
      </c>
      <c r="N14">
        <v>22.7409449214882</v>
      </c>
      <c r="O14">
        <v>24.825354616686699</v>
      </c>
      <c r="P14">
        <f t="shared" si="2"/>
        <v>8.1900161782070349</v>
      </c>
      <c r="Q14">
        <f t="shared" si="3"/>
        <v>8.9407039435846443</v>
      </c>
      <c r="R14">
        <f t="shared" si="4"/>
        <v>5.6650341904658061</v>
      </c>
      <c r="S14">
        <f t="shared" si="5"/>
        <v>2.7564190258071459</v>
      </c>
      <c r="T14">
        <f t="shared" si="6"/>
        <v>8.4214532162729512</v>
      </c>
      <c r="U14">
        <v>1</v>
      </c>
    </row>
    <row r="15" spans="1:21" x14ac:dyDescent="0.35">
      <c r="A15" t="s">
        <v>561</v>
      </c>
      <c r="B15" t="s">
        <v>436</v>
      </c>
      <c r="C15">
        <v>0</v>
      </c>
      <c r="D15">
        <v>2</v>
      </c>
      <c r="E15">
        <v>4</v>
      </c>
      <c r="F15">
        <v>240</v>
      </c>
      <c r="G15">
        <v>10</v>
      </c>
      <c r="H15" s="3">
        <v>45316.479861053238</v>
      </c>
      <c r="I15" s="3">
        <v>45326.566666608793</v>
      </c>
      <c r="J15">
        <f t="shared" si="0"/>
        <v>242.08333333331393</v>
      </c>
      <c r="K15">
        <f t="shared" si="1"/>
        <v>10.086805555554747</v>
      </c>
      <c r="L15">
        <v>0.31330000000000002</v>
      </c>
      <c r="M15" s="1">
        <v>5.7000000000000002E-2</v>
      </c>
      <c r="N15">
        <v>11.964700237042599</v>
      </c>
      <c r="O15">
        <v>13.18894223247</v>
      </c>
      <c r="P15">
        <f t="shared" si="2"/>
        <v>6.2972106510750532</v>
      </c>
      <c r="Q15">
        <f t="shared" si="3"/>
        <v>6.9415485434052631</v>
      </c>
      <c r="R15">
        <f t="shared" si="4"/>
        <v>4.3557806073486143</v>
      </c>
      <c r="S15">
        <f t="shared" si="5"/>
        <v>2.1400794159318428</v>
      </c>
      <c r="T15">
        <f t="shared" si="6"/>
        <v>6.4958600232804571</v>
      </c>
      <c r="U15">
        <v>1</v>
      </c>
    </row>
    <row r="16" spans="1:21" x14ac:dyDescent="0.35">
      <c r="A16" t="s">
        <v>561</v>
      </c>
      <c r="B16" t="s">
        <v>437</v>
      </c>
      <c r="C16">
        <v>0</v>
      </c>
      <c r="D16">
        <v>2</v>
      </c>
      <c r="E16">
        <v>5</v>
      </c>
      <c r="F16">
        <v>240</v>
      </c>
      <c r="G16">
        <v>10</v>
      </c>
      <c r="H16" s="3">
        <v>45316.479861053238</v>
      </c>
      <c r="I16" s="3">
        <v>45326.566666608793</v>
      </c>
      <c r="J16">
        <f t="shared" si="0"/>
        <v>242.08333333331393</v>
      </c>
      <c r="K16">
        <f t="shared" si="1"/>
        <v>10.086805555554747</v>
      </c>
      <c r="L16">
        <v>0.45810000000000001</v>
      </c>
      <c r="M16">
        <v>7.8899999999999998E-2</v>
      </c>
      <c r="N16">
        <v>20.449506779079201</v>
      </c>
      <c r="O16">
        <v>22.838970837523899</v>
      </c>
      <c r="P16">
        <f t="shared" si="2"/>
        <v>7.7754778627677572</v>
      </c>
      <c r="Q16">
        <f t="shared" si="3"/>
        <v>8.6840193298569961</v>
      </c>
      <c r="R16">
        <f t="shared" si="4"/>
        <v>5.3782980376764575</v>
      </c>
      <c r="S16">
        <f t="shared" si="5"/>
        <v>2.677283159394912</v>
      </c>
      <c r="T16">
        <f t="shared" si="6"/>
        <v>8.0555811970713691</v>
      </c>
      <c r="U16">
        <v>1</v>
      </c>
    </row>
    <row r="17" spans="1:21" x14ac:dyDescent="0.35">
      <c r="A17" t="s">
        <v>561</v>
      </c>
      <c r="B17" t="s">
        <v>438</v>
      </c>
      <c r="C17">
        <v>0</v>
      </c>
      <c r="D17">
        <v>2</v>
      </c>
      <c r="E17">
        <v>6</v>
      </c>
      <c r="F17">
        <v>240</v>
      </c>
      <c r="G17">
        <v>10</v>
      </c>
      <c r="H17" s="3">
        <v>45316.479861053238</v>
      </c>
      <c r="I17" s="3">
        <v>45326.566666608793</v>
      </c>
      <c r="J17">
        <f t="shared" si="0"/>
        <v>242.08333333331393</v>
      </c>
      <c r="K17">
        <f t="shared" si="1"/>
        <v>10.086805555554747</v>
      </c>
      <c r="L17">
        <v>0.3513</v>
      </c>
      <c r="M17">
        <v>6.3500000000000001E-2</v>
      </c>
      <c r="N17">
        <v>11.972616759913899</v>
      </c>
      <c r="O17">
        <v>12.977606079438701</v>
      </c>
      <c r="P17">
        <f t="shared" si="2"/>
        <v>5.656354374762472</v>
      </c>
      <c r="Q17">
        <f t="shared" si="3"/>
        <v>6.1311524784749762</v>
      </c>
      <c r="R17">
        <f t="shared" si="4"/>
        <v>3.9125003210232019</v>
      </c>
      <c r="S17">
        <f t="shared" si="5"/>
        <v>1.8902343091138354</v>
      </c>
      <c r="T17">
        <f t="shared" si="6"/>
        <v>5.8027346301370368</v>
      </c>
      <c r="U17">
        <v>1</v>
      </c>
    </row>
    <row r="18" spans="1:21" x14ac:dyDescent="0.35">
      <c r="A18" t="s">
        <v>561</v>
      </c>
      <c r="B18" t="s">
        <v>439</v>
      </c>
      <c r="C18">
        <v>0</v>
      </c>
      <c r="D18">
        <v>2</v>
      </c>
      <c r="E18">
        <v>7</v>
      </c>
      <c r="F18">
        <v>240</v>
      </c>
      <c r="G18">
        <v>10</v>
      </c>
      <c r="H18" s="3">
        <v>45316.479861053238</v>
      </c>
      <c r="I18" s="3">
        <v>45326.566666608793</v>
      </c>
      <c r="J18">
        <f t="shared" si="0"/>
        <v>242.08333333331393</v>
      </c>
      <c r="K18">
        <f t="shared" si="1"/>
        <v>10.086805555554747</v>
      </c>
      <c r="L18">
        <v>0.26569999999999999</v>
      </c>
      <c r="M18">
        <v>4.7699999999999999E-2</v>
      </c>
      <c r="N18">
        <v>11.390780990783499</v>
      </c>
      <c r="O18">
        <v>12.146715331328499</v>
      </c>
      <c r="P18">
        <f t="shared" si="2"/>
        <v>7.1640132017506293</v>
      </c>
      <c r="Q18">
        <f t="shared" si="3"/>
        <v>7.6394436046091201</v>
      </c>
      <c r="R18">
        <f t="shared" si="4"/>
        <v>4.9553479316509099</v>
      </c>
      <c r="S18">
        <f t="shared" si="5"/>
        <v>2.355240463300992</v>
      </c>
      <c r="T18">
        <f t="shared" si="6"/>
        <v>7.3105883949519015</v>
      </c>
      <c r="U18">
        <v>1</v>
      </c>
    </row>
    <row r="19" spans="1:21" x14ac:dyDescent="0.35">
      <c r="A19" t="s">
        <v>561</v>
      </c>
      <c r="B19" t="s">
        <v>440</v>
      </c>
      <c r="C19">
        <v>0</v>
      </c>
      <c r="D19">
        <v>2</v>
      </c>
      <c r="E19">
        <v>8</v>
      </c>
      <c r="F19">
        <v>240</v>
      </c>
      <c r="G19">
        <v>10</v>
      </c>
      <c r="H19" s="3">
        <v>45316.479861053238</v>
      </c>
      <c r="I19" s="3">
        <v>45326.566666608793</v>
      </c>
      <c r="J19">
        <f t="shared" si="0"/>
        <v>242.08333333331393</v>
      </c>
      <c r="K19">
        <f t="shared" si="1"/>
        <v>10.086805555554747</v>
      </c>
      <c r="L19">
        <v>0.53259999999999996</v>
      </c>
      <c r="M19">
        <v>0.1013</v>
      </c>
      <c r="N19">
        <v>19.977774915195202</v>
      </c>
      <c r="O19">
        <v>22.625576053899799</v>
      </c>
      <c r="P19">
        <f t="shared" si="2"/>
        <v>5.9164190272048964</v>
      </c>
      <c r="Q19">
        <f t="shared" si="3"/>
        <v>6.7005654651233364</v>
      </c>
      <c r="R19">
        <f t="shared" si="4"/>
        <v>4.0923870411176271</v>
      </c>
      <c r="S19">
        <f t="shared" si="5"/>
        <v>2.0657843328975249</v>
      </c>
      <c r="T19">
        <f t="shared" si="6"/>
        <v>6.1581713740151525</v>
      </c>
      <c r="U19">
        <v>1</v>
      </c>
    </row>
    <row r="20" spans="1:21" x14ac:dyDescent="0.35">
      <c r="A20" t="s">
        <v>561</v>
      </c>
      <c r="B20" t="s">
        <v>441</v>
      </c>
      <c r="C20">
        <v>0</v>
      </c>
      <c r="D20">
        <v>2</v>
      </c>
      <c r="E20">
        <v>9</v>
      </c>
      <c r="F20">
        <v>240</v>
      </c>
      <c r="G20">
        <v>10</v>
      </c>
      <c r="H20" s="3">
        <v>45316.479861053238</v>
      </c>
      <c r="I20" s="3">
        <v>45326.566666608793</v>
      </c>
      <c r="J20">
        <f t="shared" si="0"/>
        <v>242.08333333331393</v>
      </c>
      <c r="K20">
        <f t="shared" si="1"/>
        <v>10.086805555554747</v>
      </c>
      <c r="L20">
        <v>0.24890000000000001</v>
      </c>
      <c r="M20">
        <v>4.5499999999999999E-2</v>
      </c>
      <c r="N20">
        <v>10.8889189997883</v>
      </c>
      <c r="O20">
        <v>11.897938183135199</v>
      </c>
      <c r="P20">
        <f t="shared" si="2"/>
        <v>7.1795070328274502</v>
      </c>
      <c r="Q20">
        <f t="shared" si="3"/>
        <v>7.8447944064627686</v>
      </c>
      <c r="R20">
        <f t="shared" si="4"/>
        <v>4.9660650146067473</v>
      </c>
      <c r="S20">
        <f t="shared" si="5"/>
        <v>2.4185501155124718</v>
      </c>
      <c r="T20">
        <f t="shared" si="6"/>
        <v>7.3846151301192187</v>
      </c>
      <c r="U20">
        <v>1</v>
      </c>
    </row>
    <row r="21" spans="1:21" x14ac:dyDescent="0.35">
      <c r="A21" t="s">
        <v>561</v>
      </c>
      <c r="B21" t="s">
        <v>442</v>
      </c>
      <c r="C21">
        <v>0</v>
      </c>
      <c r="D21">
        <v>2</v>
      </c>
      <c r="E21">
        <v>10</v>
      </c>
      <c r="F21">
        <v>240</v>
      </c>
      <c r="G21">
        <v>10</v>
      </c>
      <c r="H21" s="3">
        <v>45316.479861053238</v>
      </c>
      <c r="I21" s="3">
        <v>45326.566666608793</v>
      </c>
      <c r="J21">
        <f t="shared" si="0"/>
        <v>242.08333333331393</v>
      </c>
      <c r="K21">
        <f t="shared" si="1"/>
        <v>10.086805555554747</v>
      </c>
      <c r="U21">
        <v>0</v>
      </c>
    </row>
    <row r="22" spans="1:21" x14ac:dyDescent="0.35">
      <c r="A22" t="s">
        <v>561</v>
      </c>
      <c r="B22" t="s">
        <v>443</v>
      </c>
      <c r="C22">
        <v>0</v>
      </c>
      <c r="D22">
        <v>3</v>
      </c>
      <c r="E22">
        <v>1</v>
      </c>
      <c r="F22">
        <v>240</v>
      </c>
      <c r="G22">
        <v>10</v>
      </c>
      <c r="H22" s="3">
        <v>45316.480555555558</v>
      </c>
      <c r="I22" s="3">
        <v>45326.566666608793</v>
      </c>
      <c r="J22">
        <f t="shared" si="0"/>
        <v>242.06666527764173</v>
      </c>
      <c r="K22">
        <f t="shared" si="1"/>
        <v>10.086111053235072</v>
      </c>
      <c r="L22">
        <v>0.3629</v>
      </c>
      <c r="M22">
        <v>6.5799999999999997E-2</v>
      </c>
      <c r="N22">
        <v>17.593745868027899</v>
      </c>
      <c r="O22">
        <v>19.239256650659399</v>
      </c>
      <c r="P22">
        <f t="shared" si="2"/>
        <v>8.0214646814716861</v>
      </c>
      <c r="Q22">
        <f t="shared" si="3"/>
        <v>8.7716975610909103</v>
      </c>
      <c r="R22">
        <f t="shared" si="4"/>
        <v>5.5484471201739654</v>
      </c>
      <c r="S22">
        <f t="shared" si="5"/>
        <v>2.7043143580843276</v>
      </c>
      <c r="T22">
        <f t="shared" si="6"/>
        <v>8.252761478258293</v>
      </c>
      <c r="U22">
        <v>1</v>
      </c>
    </row>
    <row r="23" spans="1:21" x14ac:dyDescent="0.35">
      <c r="A23" t="s">
        <v>561</v>
      </c>
      <c r="B23" t="s">
        <v>444</v>
      </c>
      <c r="C23">
        <v>0</v>
      </c>
      <c r="D23">
        <v>3</v>
      </c>
      <c r="E23">
        <v>2</v>
      </c>
      <c r="F23">
        <v>240</v>
      </c>
      <c r="G23">
        <v>10</v>
      </c>
      <c r="H23" s="3">
        <v>45316.480555555558</v>
      </c>
      <c r="I23" s="3">
        <v>45326.566666608793</v>
      </c>
      <c r="J23">
        <f t="shared" si="0"/>
        <v>242.06666527764173</v>
      </c>
      <c r="K23">
        <f t="shared" si="1"/>
        <v>10.086111053235072</v>
      </c>
      <c r="L23">
        <v>0.30159999999999998</v>
      </c>
      <c r="M23">
        <v>5.28E-2</v>
      </c>
      <c r="N23">
        <v>14.7108233117268</v>
      </c>
      <c r="O23">
        <v>16.0142020152391</v>
      </c>
      <c r="P23">
        <f t="shared" si="2"/>
        <v>8.3584223362084078</v>
      </c>
      <c r="Q23">
        <f t="shared" si="3"/>
        <v>9.0989784177494872</v>
      </c>
      <c r="R23">
        <f t="shared" si="4"/>
        <v>5.7815207299553553</v>
      </c>
      <c r="S23">
        <f t="shared" si="5"/>
        <v>2.805215046192167</v>
      </c>
      <c r="T23">
        <f t="shared" si="6"/>
        <v>8.5867357761475223</v>
      </c>
      <c r="U23">
        <v>1</v>
      </c>
    </row>
    <row r="24" spans="1:21" x14ac:dyDescent="0.35">
      <c r="A24" t="s">
        <v>561</v>
      </c>
      <c r="B24" t="s">
        <v>445</v>
      </c>
      <c r="C24">
        <v>0</v>
      </c>
      <c r="D24">
        <v>3</v>
      </c>
      <c r="E24">
        <v>3</v>
      </c>
      <c r="F24">
        <v>240</v>
      </c>
      <c r="G24">
        <v>10</v>
      </c>
      <c r="H24" s="3">
        <v>45316.480555555558</v>
      </c>
      <c r="I24" s="3">
        <v>45326.566666608793</v>
      </c>
      <c r="J24">
        <f t="shared" si="0"/>
        <v>242.06666527764173</v>
      </c>
      <c r="K24">
        <f t="shared" si="1"/>
        <v>10.086111053235072</v>
      </c>
      <c r="L24">
        <v>0.34160000000000001</v>
      </c>
      <c r="M24">
        <v>6.1800000000000001E-2</v>
      </c>
      <c r="N24">
        <v>15.2033507162818</v>
      </c>
      <c r="O24">
        <v>16.266638690214101</v>
      </c>
      <c r="P24">
        <f t="shared" si="2"/>
        <v>7.3802673380008743</v>
      </c>
      <c r="Q24">
        <f t="shared" si="3"/>
        <v>7.8964265486476215</v>
      </c>
      <c r="R24">
        <f t="shared" si="4"/>
        <v>5.1049309176952047</v>
      </c>
      <c r="S24">
        <f t="shared" si="5"/>
        <v>2.4344683049480618</v>
      </c>
      <c r="T24">
        <f t="shared" si="6"/>
        <v>7.5393992226432669</v>
      </c>
      <c r="U24">
        <v>1</v>
      </c>
    </row>
    <row r="25" spans="1:21" x14ac:dyDescent="0.35">
      <c r="A25" t="s">
        <v>561</v>
      </c>
      <c r="B25" t="s">
        <v>446</v>
      </c>
      <c r="C25">
        <v>0</v>
      </c>
      <c r="D25">
        <v>3</v>
      </c>
      <c r="E25">
        <v>4</v>
      </c>
      <c r="F25">
        <v>240</v>
      </c>
      <c r="G25">
        <v>10</v>
      </c>
      <c r="H25" s="3">
        <v>45316.480555555558</v>
      </c>
      <c r="I25" s="3">
        <v>45326.566666608793</v>
      </c>
      <c r="J25">
        <f t="shared" si="0"/>
        <v>242.06666527764173</v>
      </c>
      <c r="K25">
        <f t="shared" si="1"/>
        <v>10.086111053235072</v>
      </c>
      <c r="L25">
        <v>0.29070000000000001</v>
      </c>
      <c r="M25">
        <v>5.1700000000000003E-2</v>
      </c>
      <c r="N25">
        <v>13.061464745019</v>
      </c>
      <c r="O25">
        <v>13.9020621629637</v>
      </c>
      <c r="P25">
        <f t="shared" si="2"/>
        <v>7.5791865058137322</v>
      </c>
      <c r="Q25">
        <f t="shared" si="3"/>
        <v>8.0669606361491493</v>
      </c>
      <c r="R25">
        <f t="shared" si="4"/>
        <v>5.2425233060713587</v>
      </c>
      <c r="S25">
        <f t="shared" si="5"/>
        <v>2.487043964124783</v>
      </c>
      <c r="T25">
        <f t="shared" si="6"/>
        <v>7.7295672701961422</v>
      </c>
      <c r="U25">
        <v>1</v>
      </c>
    </row>
    <row r="26" spans="1:21" x14ac:dyDescent="0.35">
      <c r="A26" t="s">
        <v>561</v>
      </c>
      <c r="B26" t="s">
        <v>447</v>
      </c>
      <c r="C26">
        <v>0</v>
      </c>
      <c r="D26">
        <v>3</v>
      </c>
      <c r="E26">
        <v>5</v>
      </c>
      <c r="F26">
        <v>240</v>
      </c>
      <c r="G26">
        <v>10</v>
      </c>
      <c r="H26" s="3">
        <v>45316.480555555558</v>
      </c>
      <c r="I26" s="3">
        <v>45326.566666608793</v>
      </c>
      <c r="J26">
        <f t="shared" si="0"/>
        <v>242.06666527764173</v>
      </c>
      <c r="K26">
        <f t="shared" si="1"/>
        <v>10.086111053235072</v>
      </c>
      <c r="L26">
        <v>0.29930000000000001</v>
      </c>
      <c r="M26" s="1">
        <v>5.7000000000000002E-2</v>
      </c>
      <c r="N26">
        <v>11.536849012132</v>
      </c>
      <c r="O26">
        <v>12.367312869520701</v>
      </c>
      <c r="P26">
        <f t="shared" si="2"/>
        <v>6.0720257958589468</v>
      </c>
      <c r="Q26">
        <f t="shared" si="3"/>
        <v>6.5091120365898423</v>
      </c>
      <c r="R26">
        <f t="shared" si="4"/>
        <v>4.2000202429956337</v>
      </c>
      <c r="S26">
        <f t="shared" si="5"/>
        <v>2.0067592408806485</v>
      </c>
      <c r="T26">
        <f t="shared" si="6"/>
        <v>6.2067794838762822</v>
      </c>
      <c r="U26">
        <v>1</v>
      </c>
    </row>
    <row r="27" spans="1:21" x14ac:dyDescent="0.35">
      <c r="A27" t="s">
        <v>561</v>
      </c>
      <c r="B27" t="s">
        <v>448</v>
      </c>
      <c r="C27">
        <v>0</v>
      </c>
      <c r="D27">
        <v>3</v>
      </c>
      <c r="E27">
        <v>6</v>
      </c>
      <c r="F27">
        <v>240</v>
      </c>
      <c r="G27">
        <v>10</v>
      </c>
      <c r="H27" s="3">
        <v>45316.480555555558</v>
      </c>
      <c r="I27" s="3">
        <v>45326.566666608793</v>
      </c>
      <c r="J27">
        <f t="shared" si="0"/>
        <v>242.06666527764173</v>
      </c>
      <c r="K27">
        <f t="shared" si="1"/>
        <v>10.086111053235072</v>
      </c>
      <c r="L27">
        <v>0.41860000000000003</v>
      </c>
      <c r="M27">
        <v>7.7100000000000002E-2</v>
      </c>
      <c r="N27">
        <v>19.396951298337999</v>
      </c>
      <c r="O27">
        <v>20.719507067875</v>
      </c>
      <c r="P27">
        <f t="shared" si="2"/>
        <v>7.5474518670575863</v>
      </c>
      <c r="Q27">
        <f t="shared" si="3"/>
        <v>8.0620650069552529</v>
      </c>
      <c r="R27">
        <f t="shared" si="4"/>
        <v>5.2205724564437324</v>
      </c>
      <c r="S27">
        <f t="shared" si="5"/>
        <v>2.4855346416443047</v>
      </c>
      <c r="T27">
        <f t="shared" si="6"/>
        <v>7.7061070980880366</v>
      </c>
      <c r="U27">
        <v>1</v>
      </c>
    </row>
    <row r="28" spans="1:21" x14ac:dyDescent="0.35">
      <c r="A28" t="s">
        <v>561</v>
      </c>
      <c r="B28" t="s">
        <v>449</v>
      </c>
      <c r="C28">
        <v>0</v>
      </c>
      <c r="D28">
        <v>3</v>
      </c>
      <c r="E28">
        <v>7</v>
      </c>
      <c r="F28">
        <v>240</v>
      </c>
      <c r="G28">
        <v>10</v>
      </c>
      <c r="H28" s="3">
        <v>45316.480555555558</v>
      </c>
      <c r="I28" s="3">
        <v>45326.566666608793</v>
      </c>
      <c r="J28">
        <f t="shared" si="0"/>
        <v>242.06666527764173</v>
      </c>
      <c r="K28">
        <f t="shared" si="1"/>
        <v>10.086111053235072</v>
      </c>
      <c r="L28">
        <v>0.29239999999999999</v>
      </c>
      <c r="M28" s="1">
        <v>5.3999999999999999E-2</v>
      </c>
      <c r="N28">
        <v>14.551783571424499</v>
      </c>
      <c r="O28">
        <v>15.882781667268301</v>
      </c>
      <c r="P28">
        <f t="shared" si="2"/>
        <v>8.0843242063469454</v>
      </c>
      <c r="Q28">
        <f t="shared" si="3"/>
        <v>8.8237675929268349</v>
      </c>
      <c r="R28">
        <f t="shared" si="4"/>
        <v>5.5919270535301822</v>
      </c>
      <c r="S28">
        <f t="shared" si="5"/>
        <v>2.7203675488993433</v>
      </c>
      <c r="T28">
        <f t="shared" si="6"/>
        <v>8.3122946024295246</v>
      </c>
      <c r="U28">
        <v>1</v>
      </c>
    </row>
    <row r="29" spans="1:21" x14ac:dyDescent="0.35">
      <c r="A29" t="s">
        <v>561</v>
      </c>
      <c r="B29" t="s">
        <v>450</v>
      </c>
      <c r="C29">
        <v>0</v>
      </c>
      <c r="D29">
        <v>3</v>
      </c>
      <c r="E29">
        <v>8</v>
      </c>
      <c r="F29">
        <v>240</v>
      </c>
      <c r="G29">
        <v>10</v>
      </c>
      <c r="H29" s="3">
        <v>45316.480555555558</v>
      </c>
      <c r="I29" s="3">
        <v>45326.566666608793</v>
      </c>
      <c r="J29">
        <f t="shared" si="0"/>
        <v>242.06666527764173</v>
      </c>
      <c r="K29">
        <f t="shared" si="1"/>
        <v>10.086111053235072</v>
      </c>
      <c r="L29">
        <v>0.34760000000000002</v>
      </c>
      <c r="M29">
        <v>6.4100000000000004E-2</v>
      </c>
      <c r="N29">
        <v>15.3204740465019</v>
      </c>
      <c r="O29">
        <v>16.0830619706215</v>
      </c>
      <c r="P29">
        <f t="shared" si="2"/>
        <v>7.1702686645094698</v>
      </c>
      <c r="Q29">
        <f t="shared" si="3"/>
        <v>7.527174089214431</v>
      </c>
      <c r="R29">
        <f t="shared" si="4"/>
        <v>4.9596748352412003</v>
      </c>
      <c r="S29">
        <f t="shared" si="5"/>
        <v>2.3206277717048094</v>
      </c>
      <c r="T29">
        <f t="shared" si="6"/>
        <v>7.2803026069460097</v>
      </c>
      <c r="U29">
        <v>1</v>
      </c>
    </row>
    <row r="30" spans="1:21" x14ac:dyDescent="0.35">
      <c r="A30" t="s">
        <v>561</v>
      </c>
      <c r="B30" t="s">
        <v>451</v>
      </c>
      <c r="C30">
        <v>0</v>
      </c>
      <c r="D30">
        <v>3</v>
      </c>
      <c r="E30">
        <v>9</v>
      </c>
      <c r="F30">
        <v>240</v>
      </c>
      <c r="G30">
        <v>10</v>
      </c>
      <c r="H30" s="3">
        <v>45316.480555555558</v>
      </c>
      <c r="I30" s="3">
        <v>45326.566666608793</v>
      </c>
      <c r="J30">
        <f t="shared" si="0"/>
        <v>242.06666527764173</v>
      </c>
      <c r="K30">
        <f t="shared" si="1"/>
        <v>10.086111053235072</v>
      </c>
      <c r="L30">
        <v>0.31609999999999999</v>
      </c>
      <c r="M30" s="1">
        <v>6.2E-2</v>
      </c>
      <c r="N30">
        <v>16.9239725799019</v>
      </c>
      <c r="O30">
        <v>18.225102740525799</v>
      </c>
      <c r="P30">
        <f t="shared" si="2"/>
        <v>8.1890189902751143</v>
      </c>
      <c r="Q30">
        <f t="shared" si="3"/>
        <v>8.8185981002544178</v>
      </c>
      <c r="R30">
        <f t="shared" si="4"/>
        <v>5.6643444355732964</v>
      </c>
      <c r="S30">
        <f t="shared" si="5"/>
        <v>2.7187737943084374</v>
      </c>
      <c r="T30">
        <f t="shared" si="6"/>
        <v>8.3831182298817346</v>
      </c>
      <c r="U30">
        <v>1</v>
      </c>
    </row>
    <row r="31" spans="1:21" x14ac:dyDescent="0.35">
      <c r="A31" t="s">
        <v>561</v>
      </c>
      <c r="B31" t="s">
        <v>452</v>
      </c>
      <c r="C31">
        <v>0</v>
      </c>
      <c r="D31">
        <v>3</v>
      </c>
      <c r="E31">
        <v>10</v>
      </c>
      <c r="F31">
        <v>240</v>
      </c>
      <c r="G31">
        <v>10</v>
      </c>
      <c r="H31" s="3">
        <v>45316.480555555558</v>
      </c>
      <c r="I31" s="3">
        <v>45326.566666608793</v>
      </c>
      <c r="J31">
        <f t="shared" si="0"/>
        <v>242.06666527764173</v>
      </c>
      <c r="K31">
        <f t="shared" si="1"/>
        <v>10.086111053235072</v>
      </c>
      <c r="L31">
        <v>0.3795</v>
      </c>
      <c r="M31" s="1">
        <v>6.9000000000000006E-2</v>
      </c>
      <c r="N31">
        <v>17.9315561567103</v>
      </c>
      <c r="O31">
        <v>19.281505501511599</v>
      </c>
      <c r="P31">
        <f t="shared" si="2"/>
        <v>7.7963287637870868</v>
      </c>
      <c r="Q31">
        <f t="shared" si="3"/>
        <v>8.3832632615267801</v>
      </c>
      <c r="R31">
        <f t="shared" si="4"/>
        <v>5.3927206059115278</v>
      </c>
      <c r="S31">
        <f t="shared" si="5"/>
        <v>2.5845600635287065</v>
      </c>
      <c r="T31">
        <f t="shared" si="6"/>
        <v>7.9772806694402343</v>
      </c>
      <c r="U31">
        <v>1</v>
      </c>
    </row>
    <row r="32" spans="1:21" x14ac:dyDescent="0.35">
      <c r="A32" t="s">
        <v>561</v>
      </c>
      <c r="B32" t="s">
        <v>453</v>
      </c>
      <c r="C32">
        <v>400</v>
      </c>
      <c r="D32">
        <v>1</v>
      </c>
      <c r="E32">
        <v>1</v>
      </c>
      <c r="F32">
        <v>240</v>
      </c>
      <c r="G32">
        <v>10</v>
      </c>
      <c r="H32" s="3">
        <v>45316.481249999997</v>
      </c>
      <c r="I32" s="3">
        <v>45326.60833333333</v>
      </c>
      <c r="J32">
        <f t="shared" si="0"/>
        <v>243.04999999998836</v>
      </c>
      <c r="K32">
        <f t="shared" si="1"/>
        <v>10.127083333332848</v>
      </c>
      <c r="L32">
        <v>0.42270000000000002</v>
      </c>
      <c r="M32">
        <v>8.0600000000000005E-2</v>
      </c>
      <c r="N32">
        <v>124.334449676351</v>
      </c>
      <c r="O32">
        <v>124.920351520319</v>
      </c>
      <c r="P32">
        <f t="shared" si="2"/>
        <v>46.278331145043794</v>
      </c>
      <c r="Q32">
        <f t="shared" si="3"/>
        <v>46.496408754461164</v>
      </c>
      <c r="R32">
        <f t="shared" si="4"/>
        <v>32.010721653026792</v>
      </c>
      <c r="S32">
        <f t="shared" si="5"/>
        <v>14.334842819000379</v>
      </c>
      <c r="T32">
        <f t="shared" si="6"/>
        <v>46.345564472027171</v>
      </c>
      <c r="U32">
        <v>1</v>
      </c>
    </row>
    <row r="33" spans="1:21" x14ac:dyDescent="0.35">
      <c r="A33" t="s">
        <v>561</v>
      </c>
      <c r="B33" t="s">
        <v>454</v>
      </c>
      <c r="C33">
        <v>400</v>
      </c>
      <c r="D33">
        <v>1</v>
      </c>
      <c r="E33">
        <v>2</v>
      </c>
      <c r="F33">
        <v>240</v>
      </c>
      <c r="G33">
        <v>10</v>
      </c>
      <c r="H33" s="3">
        <v>45316.481249999997</v>
      </c>
      <c r="I33" s="3">
        <v>45326.60833333333</v>
      </c>
      <c r="J33">
        <f t="shared" si="0"/>
        <v>243.04999999998836</v>
      </c>
      <c r="K33">
        <f t="shared" si="1"/>
        <v>10.127083333332848</v>
      </c>
      <c r="L33">
        <v>0.41599999999999998</v>
      </c>
      <c r="M33">
        <v>7.7799999999999994E-2</v>
      </c>
      <c r="N33">
        <v>37.112961685812799</v>
      </c>
      <c r="O33">
        <v>37.265532334892399</v>
      </c>
      <c r="P33">
        <f t="shared" si="2"/>
        <v>14.31091067576329</v>
      </c>
      <c r="Q33">
        <f t="shared" si="3"/>
        <v>14.369742545588329</v>
      </c>
      <c r="R33">
        <f t="shared" si="4"/>
        <v>9.8988569144254672</v>
      </c>
      <c r="S33">
        <f t="shared" si="5"/>
        <v>4.4301916268048824</v>
      </c>
      <c r="T33">
        <f t="shared" si="6"/>
        <v>14.32904854123035</v>
      </c>
      <c r="U33">
        <v>1</v>
      </c>
    </row>
    <row r="34" spans="1:21" x14ac:dyDescent="0.35">
      <c r="A34" t="s">
        <v>561</v>
      </c>
      <c r="B34" t="s">
        <v>455</v>
      </c>
      <c r="C34">
        <v>400</v>
      </c>
      <c r="D34">
        <v>1</v>
      </c>
      <c r="E34">
        <v>3</v>
      </c>
      <c r="F34">
        <v>240</v>
      </c>
      <c r="G34">
        <v>10</v>
      </c>
      <c r="H34" s="3">
        <v>45316.481249942131</v>
      </c>
      <c r="I34" s="3">
        <v>45326.608333275464</v>
      </c>
      <c r="J34">
        <f t="shared" si="0"/>
        <v>243.04999999998836</v>
      </c>
      <c r="K34">
        <f t="shared" si="1"/>
        <v>10.127083333332848</v>
      </c>
      <c r="L34">
        <v>0.39510000000000001</v>
      </c>
      <c r="M34">
        <v>6.9599999999999995E-2</v>
      </c>
      <c r="N34">
        <v>85.198842297183504</v>
      </c>
      <c r="O34">
        <v>85.604018785807298</v>
      </c>
      <c r="P34">
        <f t="shared" si="2"/>
        <v>36.723638921199786</v>
      </c>
      <c r="Q34">
        <f t="shared" si="3"/>
        <v>36.898283959399699</v>
      </c>
      <c r="R34">
        <f t="shared" si="4"/>
        <v>25.40174104179389</v>
      </c>
      <c r="S34">
        <f t="shared" si="5"/>
        <v>11.375740944682928</v>
      </c>
      <c r="T34">
        <f t="shared" si="6"/>
        <v>36.777481986476815</v>
      </c>
      <c r="U34">
        <v>1</v>
      </c>
    </row>
    <row r="35" spans="1:21" x14ac:dyDescent="0.35">
      <c r="A35" t="s">
        <v>561</v>
      </c>
      <c r="B35" t="s">
        <v>456</v>
      </c>
      <c r="C35">
        <v>400</v>
      </c>
      <c r="D35">
        <v>1</v>
      </c>
      <c r="E35">
        <v>4</v>
      </c>
      <c r="F35">
        <v>240</v>
      </c>
      <c r="G35">
        <v>10</v>
      </c>
      <c r="H35" s="3">
        <v>45316.481249942131</v>
      </c>
      <c r="I35" s="3">
        <v>45326.608333275464</v>
      </c>
      <c r="J35">
        <f t="shared" si="0"/>
        <v>243.04999999998836</v>
      </c>
      <c r="K35">
        <f t="shared" si="1"/>
        <v>10.127083333332848</v>
      </c>
      <c r="L35">
        <v>0.3105</v>
      </c>
      <c r="M35">
        <v>5.1400000000000001E-2</v>
      </c>
      <c r="N35">
        <v>45.168844398421598</v>
      </c>
      <c r="O35">
        <v>46.071571591919003</v>
      </c>
      <c r="P35">
        <f t="shared" si="2"/>
        <v>26.363138753942568</v>
      </c>
      <c r="Q35">
        <f t="shared" si="3"/>
        <v>26.890022329913815</v>
      </c>
      <c r="R35">
        <f t="shared" si="4"/>
        <v>18.235383076102075</v>
      </c>
      <c r="S35">
        <f t="shared" si="5"/>
        <v>8.2901938843124299</v>
      </c>
      <c r="T35">
        <f t="shared" si="6"/>
        <v>26.525576960414504</v>
      </c>
      <c r="U35">
        <v>1</v>
      </c>
    </row>
    <row r="36" spans="1:21" x14ac:dyDescent="0.35">
      <c r="A36" t="s">
        <v>561</v>
      </c>
      <c r="B36" t="s">
        <v>457</v>
      </c>
      <c r="C36">
        <v>400</v>
      </c>
      <c r="D36">
        <v>1</v>
      </c>
      <c r="E36">
        <v>5</v>
      </c>
      <c r="F36">
        <v>240</v>
      </c>
      <c r="G36">
        <v>10</v>
      </c>
      <c r="H36" s="3">
        <v>45316.481249942131</v>
      </c>
      <c r="I36" s="3">
        <v>45326.608333275464</v>
      </c>
      <c r="J36">
        <f t="shared" si="0"/>
        <v>243.04999999998836</v>
      </c>
      <c r="K36">
        <f t="shared" si="1"/>
        <v>10.127083333332848</v>
      </c>
      <c r="L36">
        <v>0.29880000000000001</v>
      </c>
      <c r="M36">
        <v>5.3600000000000002E-2</v>
      </c>
      <c r="N36">
        <v>81.992542274067901</v>
      </c>
      <c r="O36">
        <v>82.345769020145099</v>
      </c>
      <c r="P36">
        <f t="shared" si="2"/>
        <v>45.891348287724568</v>
      </c>
      <c r="Q36">
        <f t="shared" si="3"/>
        <v>46.089049824708077</v>
      </c>
      <c r="R36">
        <f t="shared" si="4"/>
        <v>31.743045610619085</v>
      </c>
      <c r="S36">
        <f t="shared" si="5"/>
        <v>14.209254060957502</v>
      </c>
      <c r="T36">
        <f t="shared" si="6"/>
        <v>45.952299671576583</v>
      </c>
      <c r="U36">
        <v>1</v>
      </c>
    </row>
    <row r="37" spans="1:21" x14ac:dyDescent="0.35">
      <c r="A37" t="s">
        <v>561</v>
      </c>
      <c r="B37" t="s">
        <v>458</v>
      </c>
      <c r="C37">
        <v>400</v>
      </c>
      <c r="D37">
        <v>1</v>
      </c>
      <c r="E37">
        <v>6</v>
      </c>
      <c r="F37">
        <v>240</v>
      </c>
      <c r="G37">
        <v>10</v>
      </c>
      <c r="H37" s="3">
        <v>45316.481249942131</v>
      </c>
      <c r="I37" s="3">
        <v>45326.608333275464</v>
      </c>
      <c r="J37">
        <f t="shared" si="0"/>
        <v>243.04999999998836</v>
      </c>
      <c r="K37">
        <f t="shared" si="1"/>
        <v>10.127083333332848</v>
      </c>
      <c r="L37">
        <v>0.311</v>
      </c>
      <c r="M37">
        <v>5.8500000000000003E-2</v>
      </c>
      <c r="N37">
        <v>62.985251121018003</v>
      </c>
      <c r="O37">
        <v>63.590170888717502</v>
      </c>
      <c r="P37">
        <f t="shared" si="2"/>
        <v>32.300128780009231</v>
      </c>
      <c r="Q37">
        <f t="shared" si="3"/>
        <v>32.610344045496156</v>
      </c>
      <c r="R37">
        <f t="shared" si="4"/>
        <v>22.341999077132385</v>
      </c>
      <c r="S37">
        <f t="shared" si="5"/>
        <v>10.053769069226465</v>
      </c>
      <c r="T37">
        <f t="shared" si="6"/>
        <v>32.395768146358847</v>
      </c>
      <c r="U37">
        <v>1</v>
      </c>
    </row>
    <row r="38" spans="1:21" x14ac:dyDescent="0.35">
      <c r="A38" t="s">
        <v>561</v>
      </c>
      <c r="B38" t="s">
        <v>459</v>
      </c>
      <c r="C38">
        <v>400</v>
      </c>
      <c r="D38">
        <v>1</v>
      </c>
      <c r="E38">
        <v>7</v>
      </c>
      <c r="F38">
        <v>240</v>
      </c>
      <c r="G38">
        <v>10</v>
      </c>
      <c r="H38" s="3">
        <v>45316.481249942131</v>
      </c>
      <c r="I38" s="3">
        <v>45326.608333275464</v>
      </c>
      <c r="J38">
        <f t="shared" si="0"/>
        <v>243.04999999998836</v>
      </c>
      <c r="K38">
        <f t="shared" si="1"/>
        <v>10.127083333332848</v>
      </c>
      <c r="L38">
        <v>0.31950000000000001</v>
      </c>
      <c r="M38">
        <v>5.6500000000000002E-2</v>
      </c>
      <c r="N38">
        <v>50.545812842723798</v>
      </c>
      <c r="O38">
        <v>50.566231671057899</v>
      </c>
      <c r="P38">
        <f t="shared" si="2"/>
        <v>26.838484695251573</v>
      </c>
      <c r="Q38">
        <f t="shared" si="3"/>
        <v>26.849326551004189</v>
      </c>
      <c r="R38">
        <f t="shared" si="4"/>
        <v>18.564179863705512</v>
      </c>
      <c r="S38">
        <f t="shared" si="5"/>
        <v>8.2776473756745919</v>
      </c>
      <c r="T38">
        <f t="shared" si="6"/>
        <v>26.841827239380102</v>
      </c>
      <c r="U38">
        <v>1</v>
      </c>
    </row>
    <row r="39" spans="1:21" x14ac:dyDescent="0.35">
      <c r="A39" t="s">
        <v>561</v>
      </c>
      <c r="B39" t="s">
        <v>460</v>
      </c>
      <c r="C39">
        <v>400</v>
      </c>
      <c r="D39">
        <v>1</v>
      </c>
      <c r="E39">
        <v>8</v>
      </c>
      <c r="F39">
        <v>240</v>
      </c>
      <c r="G39">
        <v>10</v>
      </c>
      <c r="H39" s="3">
        <v>45316.481249942131</v>
      </c>
      <c r="I39" s="3">
        <v>45326.608333275464</v>
      </c>
      <c r="J39">
        <f t="shared" si="0"/>
        <v>243.04999999998836</v>
      </c>
      <c r="K39">
        <f t="shared" si="1"/>
        <v>10.127083333332848</v>
      </c>
      <c r="L39">
        <v>0.33829999999999999</v>
      </c>
      <c r="M39">
        <v>5.6800000000000003E-2</v>
      </c>
      <c r="N39">
        <v>63.566871275548301</v>
      </c>
      <c r="O39">
        <v>64.571886788224006</v>
      </c>
      <c r="P39">
        <f t="shared" si="2"/>
        <v>33.574051730043116</v>
      </c>
      <c r="Q39">
        <f t="shared" si="3"/>
        <v>34.104869782512679</v>
      </c>
      <c r="R39">
        <f t="shared" si="4"/>
        <v>23.223171581670822</v>
      </c>
      <c r="S39">
        <f t="shared" si="5"/>
        <v>10.51453135394866</v>
      </c>
      <c r="T39">
        <f t="shared" si="6"/>
        <v>33.737702935619481</v>
      </c>
      <c r="U39">
        <v>1</v>
      </c>
    </row>
    <row r="40" spans="1:21" x14ac:dyDescent="0.35">
      <c r="A40" t="s">
        <v>561</v>
      </c>
      <c r="B40" t="s">
        <v>461</v>
      </c>
      <c r="C40">
        <v>400</v>
      </c>
      <c r="D40">
        <v>1</v>
      </c>
      <c r="E40">
        <v>9</v>
      </c>
      <c r="F40">
        <v>240</v>
      </c>
      <c r="G40">
        <v>10</v>
      </c>
      <c r="H40" s="3">
        <v>45316.481249942131</v>
      </c>
      <c r="I40" s="3">
        <v>45326.608333275464</v>
      </c>
      <c r="J40">
        <f t="shared" si="0"/>
        <v>243.04999999998836</v>
      </c>
      <c r="K40">
        <f t="shared" si="1"/>
        <v>10.127083333332848</v>
      </c>
      <c r="L40">
        <v>0.2482</v>
      </c>
      <c r="M40">
        <v>4.48E-2</v>
      </c>
      <c r="N40">
        <v>54.470517780253097</v>
      </c>
      <c r="O40">
        <v>55.054896833009501</v>
      </c>
      <c r="P40">
        <f t="shared" si="2"/>
        <v>36.475793156419485</v>
      </c>
      <c r="Q40">
        <f t="shared" si="3"/>
        <v>36.867118414961723</v>
      </c>
      <c r="R40">
        <f t="shared" si="4"/>
        <v>25.230306126295357</v>
      </c>
      <c r="S40">
        <f t="shared" si="5"/>
        <v>11.3661326073327</v>
      </c>
      <c r="T40">
        <f t="shared" si="6"/>
        <v>36.596438733628055</v>
      </c>
      <c r="U40">
        <v>1</v>
      </c>
    </row>
    <row r="41" spans="1:21" x14ac:dyDescent="0.35">
      <c r="A41" t="s">
        <v>561</v>
      </c>
      <c r="B41" t="s">
        <v>462</v>
      </c>
      <c r="C41">
        <v>400</v>
      </c>
      <c r="D41">
        <v>1</v>
      </c>
      <c r="E41">
        <v>10</v>
      </c>
      <c r="F41">
        <v>240</v>
      </c>
      <c r="G41">
        <v>10</v>
      </c>
      <c r="H41" s="3">
        <v>45316.481249942131</v>
      </c>
      <c r="I41" s="3">
        <v>45326.608333275464</v>
      </c>
      <c r="J41">
        <f t="shared" si="0"/>
        <v>243.04999999998836</v>
      </c>
      <c r="K41">
        <f t="shared" si="1"/>
        <v>10.127083333332848</v>
      </c>
      <c r="L41">
        <v>0.31319999999999998</v>
      </c>
      <c r="M41">
        <v>5.96E-2</v>
      </c>
      <c r="N41">
        <v>66.097999218152196</v>
      </c>
      <c r="O41">
        <v>66.612533007014605</v>
      </c>
      <c r="P41">
        <f t="shared" si="2"/>
        <v>33.270804975579964</v>
      </c>
      <c r="Q41">
        <f t="shared" si="3"/>
        <v>33.52979849346373</v>
      </c>
      <c r="R41">
        <f t="shared" si="4"/>
        <v>23.013415801608659</v>
      </c>
      <c r="S41">
        <f t="shared" si="5"/>
        <v>10.337236875534868</v>
      </c>
      <c r="T41">
        <f t="shared" si="6"/>
        <v>33.350652677143529</v>
      </c>
      <c r="U41">
        <v>1</v>
      </c>
    </row>
    <row r="42" spans="1:21" x14ac:dyDescent="0.35">
      <c r="A42" t="s">
        <v>561</v>
      </c>
      <c r="B42" t="s">
        <v>463</v>
      </c>
      <c r="C42">
        <v>400</v>
      </c>
      <c r="D42">
        <v>2</v>
      </c>
      <c r="E42">
        <v>1</v>
      </c>
      <c r="F42">
        <v>240</v>
      </c>
      <c r="G42">
        <v>10</v>
      </c>
      <c r="H42" s="3">
        <v>45316.481944444444</v>
      </c>
      <c r="I42" s="3">
        <v>45326.608333275464</v>
      </c>
      <c r="J42">
        <f t="shared" si="0"/>
        <v>243.03333194449078</v>
      </c>
      <c r="K42">
        <f t="shared" si="1"/>
        <v>10.126388831020449</v>
      </c>
      <c r="L42">
        <v>0.34599999999999997</v>
      </c>
      <c r="M42">
        <v>6.1899999999999997E-2</v>
      </c>
      <c r="N42">
        <v>44.581725386035103</v>
      </c>
      <c r="O42">
        <v>45.173101515194801</v>
      </c>
      <c r="P42">
        <f t="shared" si="2"/>
        <v>21.606652044928161</v>
      </c>
      <c r="Q42">
        <f t="shared" si="3"/>
        <v>21.8932640622915</v>
      </c>
      <c r="R42">
        <f t="shared" si="4"/>
        <v>14.945321219476808</v>
      </c>
      <c r="S42">
        <f t="shared" si="5"/>
        <v>6.7496933104044698</v>
      </c>
      <c r="T42">
        <f t="shared" si="6"/>
        <v>21.695014529881277</v>
      </c>
      <c r="U42">
        <v>1</v>
      </c>
    </row>
    <row r="43" spans="1:21" x14ac:dyDescent="0.35">
      <c r="A43" t="s">
        <v>561</v>
      </c>
      <c r="B43" t="s">
        <v>464</v>
      </c>
      <c r="C43">
        <v>400</v>
      </c>
      <c r="D43">
        <v>2</v>
      </c>
      <c r="E43">
        <v>2</v>
      </c>
      <c r="F43">
        <v>240</v>
      </c>
      <c r="G43">
        <v>10</v>
      </c>
      <c r="H43" s="3">
        <v>45316.481944444444</v>
      </c>
      <c r="I43" s="3">
        <v>45326.608333275464</v>
      </c>
      <c r="J43">
        <f t="shared" si="0"/>
        <v>243.03333194449078</v>
      </c>
      <c r="K43">
        <f t="shared" si="1"/>
        <v>10.126388831020449</v>
      </c>
      <c r="L43">
        <v>0.29670000000000002</v>
      </c>
      <c r="M43" s="1">
        <v>5.6000000000000001E-2</v>
      </c>
      <c r="N43">
        <v>33.001544334911799</v>
      </c>
      <c r="O43">
        <v>33.600311304840197</v>
      </c>
      <c r="P43">
        <f t="shared" si="2"/>
        <v>17.679398750845607</v>
      </c>
      <c r="Q43">
        <f t="shared" si="3"/>
        <v>18.000166770450104</v>
      </c>
      <c r="R43">
        <f t="shared" si="4"/>
        <v>12.228840115959906</v>
      </c>
      <c r="S43">
        <f t="shared" si="5"/>
        <v>5.5494514153297674</v>
      </c>
      <c r="T43">
        <f t="shared" si="6"/>
        <v>17.778291531289675</v>
      </c>
      <c r="U43">
        <v>1</v>
      </c>
    </row>
    <row r="44" spans="1:21" x14ac:dyDescent="0.35">
      <c r="A44" t="s">
        <v>561</v>
      </c>
      <c r="B44" t="s">
        <v>465</v>
      </c>
      <c r="C44">
        <v>400</v>
      </c>
      <c r="D44">
        <v>2</v>
      </c>
      <c r="E44">
        <v>3</v>
      </c>
      <c r="F44">
        <v>240</v>
      </c>
      <c r="G44">
        <v>10</v>
      </c>
      <c r="H44" s="3">
        <v>45316.481944386571</v>
      </c>
      <c r="I44" s="3">
        <v>45326.608333275464</v>
      </c>
      <c r="J44">
        <f t="shared" si="0"/>
        <v>243.03333333344199</v>
      </c>
      <c r="K44">
        <f t="shared" si="1"/>
        <v>10.126388888893416</v>
      </c>
      <c r="L44">
        <v>0.3271</v>
      </c>
      <c r="M44">
        <v>6.3100000000000003E-2</v>
      </c>
      <c r="N44">
        <v>46.318680022851296</v>
      </c>
      <c r="O44">
        <v>47.278332288138699</v>
      </c>
      <c r="P44">
        <f t="shared" si="2"/>
        <v>22.021559440341345</v>
      </c>
      <c r="Q44">
        <f t="shared" si="3"/>
        <v>22.477812498322677</v>
      </c>
      <c r="R44">
        <f t="shared" si="4"/>
        <v>15.232312664884109</v>
      </c>
      <c r="S44">
        <f t="shared" si="5"/>
        <v>6.9299095932328818</v>
      </c>
      <c r="T44">
        <f t="shared" si="6"/>
        <v>22.162222258116991</v>
      </c>
      <c r="U44">
        <v>1</v>
      </c>
    </row>
    <row r="45" spans="1:21" x14ac:dyDescent="0.35">
      <c r="A45" t="s">
        <v>561</v>
      </c>
      <c r="B45" t="s">
        <v>466</v>
      </c>
      <c r="C45">
        <v>400</v>
      </c>
      <c r="D45">
        <v>2</v>
      </c>
      <c r="E45">
        <v>4</v>
      </c>
      <c r="F45">
        <v>240</v>
      </c>
      <c r="G45">
        <v>10</v>
      </c>
      <c r="H45" s="3">
        <v>45316.481944386571</v>
      </c>
      <c r="I45" s="3">
        <v>45326.608333275464</v>
      </c>
      <c r="J45">
        <f t="shared" si="0"/>
        <v>243.03333333344199</v>
      </c>
      <c r="K45">
        <f t="shared" si="1"/>
        <v>10.126388888893416</v>
      </c>
      <c r="L45">
        <v>0.2888</v>
      </c>
      <c r="M45">
        <v>5.1799999999999999E-2</v>
      </c>
      <c r="N45">
        <v>51.451211216075201</v>
      </c>
      <c r="O45">
        <v>51.809357731662097</v>
      </c>
      <c r="P45">
        <f t="shared" si="2"/>
        <v>29.797998773788727</v>
      </c>
      <c r="Q45">
        <f t="shared" si="3"/>
        <v>30.005419535711638</v>
      </c>
      <c r="R45">
        <f t="shared" si="4"/>
        <v>20.611275751829663</v>
      </c>
      <c r="S45">
        <f t="shared" si="5"/>
        <v>9.2506708428598987</v>
      </c>
      <c r="T45">
        <f t="shared" si="6"/>
        <v>29.861946594689563</v>
      </c>
      <c r="U45">
        <v>1</v>
      </c>
    </row>
    <row r="46" spans="1:21" x14ac:dyDescent="0.35">
      <c r="A46" t="s">
        <v>561</v>
      </c>
      <c r="B46" t="s">
        <v>467</v>
      </c>
      <c r="C46">
        <v>400</v>
      </c>
      <c r="D46">
        <v>2</v>
      </c>
      <c r="E46">
        <v>5</v>
      </c>
      <c r="F46">
        <v>240</v>
      </c>
      <c r="G46">
        <v>10</v>
      </c>
      <c r="H46" s="3">
        <v>45316.481944386571</v>
      </c>
      <c r="I46" s="3">
        <v>45326.608333275464</v>
      </c>
      <c r="J46">
        <f t="shared" si="0"/>
        <v>243.03333333344199</v>
      </c>
      <c r="K46">
        <f t="shared" si="1"/>
        <v>10.126388888893416</v>
      </c>
      <c r="L46">
        <v>0.2903</v>
      </c>
      <c r="M46">
        <v>5.0900000000000001E-2</v>
      </c>
      <c r="N46">
        <v>91.432148261037796</v>
      </c>
      <c r="O46">
        <v>93.413194080377806</v>
      </c>
      <c r="P46">
        <f t="shared" si="2"/>
        <v>53.889281882733471</v>
      </c>
      <c r="Q46">
        <f t="shared" si="3"/>
        <v>55.056892385291441</v>
      </c>
      <c r="R46">
        <f t="shared" si="4"/>
        <v>37.275216278286742</v>
      </c>
      <c r="S46">
        <f t="shared" si="5"/>
        <v>16.974039922385352</v>
      </c>
      <c r="T46">
        <f t="shared" si="6"/>
        <v>54.249256200672093</v>
      </c>
      <c r="U46">
        <v>1</v>
      </c>
    </row>
    <row r="47" spans="1:21" x14ac:dyDescent="0.35">
      <c r="A47" t="s">
        <v>561</v>
      </c>
      <c r="B47" t="s">
        <v>468</v>
      </c>
      <c r="C47">
        <v>400</v>
      </c>
      <c r="D47">
        <v>2</v>
      </c>
      <c r="E47">
        <v>6</v>
      </c>
      <c r="F47">
        <v>240</v>
      </c>
      <c r="G47">
        <v>10</v>
      </c>
      <c r="H47" s="3">
        <v>45316.481944386571</v>
      </c>
      <c r="I47" s="3">
        <v>45326.608333275464</v>
      </c>
      <c r="J47">
        <f t="shared" si="0"/>
        <v>243.03333333344199</v>
      </c>
      <c r="K47">
        <f t="shared" si="1"/>
        <v>10.126388888893416</v>
      </c>
      <c r="L47">
        <v>0.33900000000000002</v>
      </c>
      <c r="M47">
        <v>6.1800000000000001E-2</v>
      </c>
      <c r="N47">
        <v>43.915937501784398</v>
      </c>
      <c r="O47">
        <v>44.660132441784</v>
      </c>
      <c r="P47">
        <f t="shared" si="2"/>
        <v>21.318416263002138</v>
      </c>
      <c r="Q47">
        <f t="shared" si="3"/>
        <v>21.679675942613592</v>
      </c>
      <c r="R47">
        <f t="shared" si="4"/>
        <v>14.745948529118579</v>
      </c>
      <c r="S47">
        <f t="shared" si="5"/>
        <v>6.6838440931077709</v>
      </c>
      <c r="T47">
        <f t="shared" si="6"/>
        <v>21.429792622226351</v>
      </c>
      <c r="U47">
        <v>1</v>
      </c>
    </row>
    <row r="48" spans="1:21" x14ac:dyDescent="0.35">
      <c r="A48" t="s">
        <v>561</v>
      </c>
      <c r="B48" t="s">
        <v>469</v>
      </c>
      <c r="C48">
        <v>400</v>
      </c>
      <c r="D48">
        <v>2</v>
      </c>
      <c r="E48">
        <v>7</v>
      </c>
      <c r="F48">
        <v>240</v>
      </c>
      <c r="G48">
        <v>10</v>
      </c>
      <c r="H48" s="3">
        <v>45316.481944386571</v>
      </c>
      <c r="I48" s="3">
        <v>45326.608333275464</v>
      </c>
      <c r="J48">
        <f t="shared" si="0"/>
        <v>243.03333333344199</v>
      </c>
      <c r="K48">
        <f t="shared" si="1"/>
        <v>10.126388888893416</v>
      </c>
      <c r="L48">
        <v>0.39169999999999999</v>
      </c>
      <c r="M48">
        <v>7.6200000000000004E-2</v>
      </c>
      <c r="N48">
        <v>78.264913066099695</v>
      </c>
      <c r="O48">
        <v>77.984992597065101</v>
      </c>
      <c r="P48">
        <f t="shared" si="2"/>
        <v>30.812957900039244</v>
      </c>
      <c r="Q48">
        <f t="shared" si="3"/>
        <v>30.702752990970517</v>
      </c>
      <c r="R48">
        <f t="shared" si="4"/>
        <v>21.313322979457144</v>
      </c>
      <c r="S48">
        <f t="shared" si="5"/>
        <v>9.4656587471162101</v>
      </c>
      <c r="T48">
        <f t="shared" si="6"/>
        <v>30.778981726573356</v>
      </c>
      <c r="U48">
        <v>1</v>
      </c>
    </row>
    <row r="49" spans="1:21" x14ac:dyDescent="0.35">
      <c r="A49" t="s">
        <v>561</v>
      </c>
      <c r="B49" t="s">
        <v>470</v>
      </c>
      <c r="C49">
        <v>400</v>
      </c>
      <c r="D49">
        <v>2</v>
      </c>
      <c r="E49">
        <v>8</v>
      </c>
      <c r="F49">
        <v>240</v>
      </c>
      <c r="G49">
        <v>10</v>
      </c>
      <c r="H49" s="3">
        <v>45316.481944386571</v>
      </c>
      <c r="I49" s="3">
        <v>45326.608333275464</v>
      </c>
      <c r="J49">
        <f t="shared" si="0"/>
        <v>243.03333333344199</v>
      </c>
      <c r="K49">
        <f t="shared" si="1"/>
        <v>10.126388888893416</v>
      </c>
      <c r="L49">
        <v>0.29289999999999999</v>
      </c>
      <c r="M49">
        <v>5.4800000000000001E-2</v>
      </c>
      <c r="N49">
        <v>51.311048016549002</v>
      </c>
      <c r="O49">
        <v>52.084855520524997</v>
      </c>
      <c r="P49">
        <f t="shared" si="2"/>
        <v>28.089989790081571</v>
      </c>
      <c r="Q49">
        <f t="shared" si="3"/>
        <v>28.513607036783757</v>
      </c>
      <c r="R49">
        <f t="shared" si="4"/>
        <v>19.429845937799421</v>
      </c>
      <c r="S49">
        <f t="shared" si="5"/>
        <v>8.7907450494404333</v>
      </c>
      <c r="T49">
        <f t="shared" si="6"/>
        <v>28.220590987239852</v>
      </c>
      <c r="U49">
        <v>1</v>
      </c>
    </row>
    <row r="50" spans="1:21" x14ac:dyDescent="0.35">
      <c r="A50" t="s">
        <v>561</v>
      </c>
      <c r="B50" t="s">
        <v>471</v>
      </c>
      <c r="C50">
        <v>400</v>
      </c>
      <c r="D50">
        <v>2</v>
      </c>
      <c r="E50">
        <v>9</v>
      </c>
      <c r="F50">
        <v>240</v>
      </c>
      <c r="G50">
        <v>10</v>
      </c>
      <c r="H50" s="3">
        <v>45316.481944386571</v>
      </c>
      <c r="I50" s="3">
        <v>45326.608333275464</v>
      </c>
      <c r="J50">
        <f t="shared" si="0"/>
        <v>243.03333333344199</v>
      </c>
      <c r="K50">
        <f t="shared" si="1"/>
        <v>10.126388888893416</v>
      </c>
      <c r="L50">
        <v>0.28770000000000001</v>
      </c>
      <c r="M50">
        <v>5.2299999999999999E-2</v>
      </c>
      <c r="N50">
        <v>50.9688294493752</v>
      </c>
      <c r="O50">
        <v>51.872170998747301</v>
      </c>
      <c r="P50">
        <f t="shared" si="2"/>
        <v>29.236422246295525</v>
      </c>
      <c r="Q50">
        <f t="shared" si="3"/>
        <v>29.754591395074936</v>
      </c>
      <c r="R50">
        <f t="shared" si="4"/>
        <v>20.222833267762613</v>
      </c>
      <c r="S50">
        <f t="shared" si="5"/>
        <v>9.1733405271016029</v>
      </c>
      <c r="T50">
        <f t="shared" si="6"/>
        <v>29.396173794864218</v>
      </c>
      <c r="U50">
        <v>1</v>
      </c>
    </row>
    <row r="51" spans="1:21" x14ac:dyDescent="0.35">
      <c r="A51" t="s">
        <v>561</v>
      </c>
      <c r="B51" t="s">
        <v>472</v>
      </c>
      <c r="C51">
        <v>400</v>
      </c>
      <c r="D51">
        <v>2</v>
      </c>
      <c r="E51">
        <v>10</v>
      </c>
      <c r="F51">
        <v>240</v>
      </c>
      <c r="G51">
        <v>10</v>
      </c>
      <c r="H51" s="3">
        <v>45316.481944386571</v>
      </c>
      <c r="I51" s="3">
        <v>45326.608333275464</v>
      </c>
      <c r="J51">
        <f t="shared" si="0"/>
        <v>243.03333333344199</v>
      </c>
      <c r="K51">
        <f t="shared" si="1"/>
        <v>10.126388888893416</v>
      </c>
      <c r="L51">
        <v>0.3039</v>
      </c>
      <c r="M51">
        <v>6.0100000000000001E-2</v>
      </c>
      <c r="N51">
        <v>42.2589751282989</v>
      </c>
      <c r="O51">
        <v>43.135421609613303</v>
      </c>
      <c r="P51">
        <f t="shared" si="2"/>
        <v>21.094330346904609</v>
      </c>
      <c r="Q51">
        <f t="shared" si="3"/>
        <v>21.531824430755393</v>
      </c>
      <c r="R51">
        <f t="shared" si="4"/>
        <v>14.590948300953919</v>
      </c>
      <c r="S51">
        <f t="shared" si="5"/>
        <v>6.6382614720018882</v>
      </c>
      <c r="T51">
        <f t="shared" si="6"/>
        <v>21.229209772955805</v>
      </c>
      <c r="U51">
        <v>1</v>
      </c>
    </row>
    <row r="52" spans="1:21" x14ac:dyDescent="0.35">
      <c r="A52" t="s">
        <v>561</v>
      </c>
      <c r="B52" t="s">
        <v>473</v>
      </c>
      <c r="C52">
        <v>400</v>
      </c>
      <c r="D52">
        <v>3</v>
      </c>
      <c r="E52">
        <v>1</v>
      </c>
      <c r="F52">
        <v>240</v>
      </c>
      <c r="G52">
        <v>10</v>
      </c>
      <c r="H52" s="3">
        <v>45316.482638888891</v>
      </c>
      <c r="I52" s="3">
        <v>45326.608333275464</v>
      </c>
      <c r="J52">
        <f t="shared" si="0"/>
        <v>243.01666527776979</v>
      </c>
      <c r="K52">
        <f t="shared" si="1"/>
        <v>10.125694386573741</v>
      </c>
      <c r="L52">
        <v>0.29139999999999999</v>
      </c>
      <c r="M52">
        <v>4.99E-2</v>
      </c>
      <c r="N52">
        <v>54.472953723031097</v>
      </c>
      <c r="O52">
        <v>54.962277749078901</v>
      </c>
      <c r="P52">
        <f t="shared" si="2"/>
        <v>32.749270775369396</v>
      </c>
      <c r="Q52">
        <f t="shared" si="3"/>
        <v>33.043453556560458</v>
      </c>
      <c r="R52">
        <f t="shared" si="4"/>
        <v>22.652670595323009</v>
      </c>
      <c r="S52">
        <f t="shared" si="5"/>
        <v>10.18729673148759</v>
      </c>
      <c r="T52">
        <f t="shared" si="6"/>
        <v>32.839967326810601</v>
      </c>
      <c r="U52">
        <v>1</v>
      </c>
    </row>
    <row r="53" spans="1:21" x14ac:dyDescent="0.35">
      <c r="A53" t="s">
        <v>561</v>
      </c>
      <c r="B53" t="s">
        <v>474</v>
      </c>
      <c r="C53">
        <v>400</v>
      </c>
      <c r="D53">
        <v>3</v>
      </c>
      <c r="E53">
        <v>2</v>
      </c>
      <c r="F53">
        <v>240</v>
      </c>
      <c r="G53">
        <v>10</v>
      </c>
      <c r="H53" s="3">
        <v>45316.482638888891</v>
      </c>
      <c r="I53" s="3">
        <v>45326.608333275464</v>
      </c>
      <c r="J53">
        <f t="shared" si="0"/>
        <v>243.01666527776979</v>
      </c>
      <c r="K53">
        <f t="shared" si="1"/>
        <v>10.125694386573741</v>
      </c>
      <c r="L53">
        <v>0.2671</v>
      </c>
      <c r="M53">
        <v>4.7699999999999999E-2</v>
      </c>
      <c r="N53">
        <v>31.022257556513502</v>
      </c>
      <c r="O53">
        <v>31.422629318106999</v>
      </c>
      <c r="P53">
        <f t="shared" si="2"/>
        <v>19.510853809127987</v>
      </c>
      <c r="Q53">
        <f t="shared" si="3"/>
        <v>19.762659948494967</v>
      </c>
      <c r="R53">
        <f t="shared" si="4"/>
        <v>13.495657579773829</v>
      </c>
      <c r="S53">
        <f t="shared" si="5"/>
        <v>6.0928280621209989</v>
      </c>
      <c r="T53">
        <f t="shared" si="6"/>
        <v>19.588485641894827</v>
      </c>
      <c r="U53">
        <v>1</v>
      </c>
    </row>
    <row r="54" spans="1:21" x14ac:dyDescent="0.35">
      <c r="A54" t="s">
        <v>561</v>
      </c>
      <c r="B54" t="s">
        <v>475</v>
      </c>
      <c r="C54">
        <v>400</v>
      </c>
      <c r="D54">
        <v>3</v>
      </c>
      <c r="E54">
        <v>3</v>
      </c>
      <c r="F54">
        <v>240</v>
      </c>
      <c r="G54">
        <v>10</v>
      </c>
      <c r="H54" s="3">
        <v>45316.482638888891</v>
      </c>
      <c r="I54" s="3">
        <v>45326.608333275464</v>
      </c>
      <c r="J54">
        <f t="shared" si="0"/>
        <v>243.01666527776979</v>
      </c>
      <c r="K54">
        <f t="shared" si="1"/>
        <v>10.125694386573741</v>
      </c>
      <c r="L54">
        <v>0.5655</v>
      </c>
      <c r="M54" s="1">
        <v>9.7000000000000003E-2</v>
      </c>
      <c r="N54">
        <v>138.00994557055</v>
      </c>
      <c r="O54">
        <v>139.92780095431999</v>
      </c>
      <c r="P54">
        <f t="shared" si="2"/>
        <v>42.683488320788662</v>
      </c>
      <c r="Q54">
        <f t="shared" si="3"/>
        <v>43.276639470408242</v>
      </c>
      <c r="R54">
        <f t="shared" si="4"/>
        <v>29.524168871489518</v>
      </c>
      <c r="S54">
        <f t="shared" si="5"/>
        <v>13.342187948726862</v>
      </c>
      <c r="T54">
        <f t="shared" si="6"/>
        <v>42.866356820216382</v>
      </c>
      <c r="U54">
        <v>1</v>
      </c>
    </row>
    <row r="55" spans="1:21" x14ac:dyDescent="0.35">
      <c r="A55" t="s">
        <v>561</v>
      </c>
      <c r="B55" t="s">
        <v>476</v>
      </c>
      <c r="C55">
        <v>400</v>
      </c>
      <c r="D55">
        <v>3</v>
      </c>
      <c r="E55">
        <v>4</v>
      </c>
      <c r="F55">
        <v>240</v>
      </c>
      <c r="G55">
        <v>10</v>
      </c>
      <c r="H55" s="3">
        <v>45316.482638888891</v>
      </c>
      <c r="I55" s="3">
        <v>45326.608333275464</v>
      </c>
      <c r="J55">
        <f t="shared" si="0"/>
        <v>243.01666527776979</v>
      </c>
      <c r="K55">
        <f t="shared" si="1"/>
        <v>10.125694386573741</v>
      </c>
      <c r="L55">
        <v>0.30669999999999997</v>
      </c>
      <c r="M55">
        <v>5.4800000000000001E-2</v>
      </c>
      <c r="N55">
        <v>35.348973331072699</v>
      </c>
      <c r="O55">
        <v>35.7805232197273</v>
      </c>
      <c r="P55">
        <f t="shared" si="2"/>
        <v>19.351627735988703</v>
      </c>
      <c r="Q55">
        <f t="shared" si="3"/>
        <v>19.587877675033191</v>
      </c>
      <c r="R55">
        <f t="shared" si="4"/>
        <v>13.385520904983386</v>
      </c>
      <c r="S55">
        <f t="shared" si="5"/>
        <v>6.0389426872127334</v>
      </c>
      <c r="T55">
        <f t="shared" si="6"/>
        <v>19.424463592196119</v>
      </c>
      <c r="U55">
        <v>1</v>
      </c>
    </row>
    <row r="56" spans="1:21" x14ac:dyDescent="0.35">
      <c r="A56" t="s">
        <v>561</v>
      </c>
      <c r="B56" t="s">
        <v>477</v>
      </c>
      <c r="C56">
        <v>400</v>
      </c>
      <c r="D56">
        <v>3</v>
      </c>
      <c r="E56">
        <v>5</v>
      </c>
      <c r="F56">
        <v>240</v>
      </c>
      <c r="G56">
        <v>10</v>
      </c>
      <c r="H56" s="3">
        <v>45316.482638888891</v>
      </c>
      <c r="I56" s="3">
        <v>45326.608333275464</v>
      </c>
      <c r="J56">
        <f t="shared" si="0"/>
        <v>243.01666527776979</v>
      </c>
      <c r="K56">
        <f t="shared" si="1"/>
        <v>10.125694386573741</v>
      </c>
      <c r="L56">
        <v>0.37659999999999999</v>
      </c>
      <c r="M56">
        <v>7.3499999999999996E-2</v>
      </c>
      <c r="N56">
        <v>58.989753362359799</v>
      </c>
      <c r="O56">
        <v>60.163891293139599</v>
      </c>
      <c r="P56">
        <f t="shared" si="2"/>
        <v>24.077450351983593</v>
      </c>
      <c r="Q56">
        <f t="shared" si="3"/>
        <v>24.55669032373045</v>
      </c>
      <c r="R56">
        <f t="shared" si="4"/>
        <v>16.654372408467051</v>
      </c>
      <c r="S56">
        <f t="shared" si="5"/>
        <v>7.5708276268060981</v>
      </c>
      <c r="T56">
        <f t="shared" si="6"/>
        <v>24.225200035273147</v>
      </c>
      <c r="U56">
        <v>1</v>
      </c>
    </row>
    <row r="57" spans="1:21" x14ac:dyDescent="0.35">
      <c r="A57" t="s">
        <v>561</v>
      </c>
      <c r="B57" t="s">
        <v>478</v>
      </c>
      <c r="C57">
        <v>400</v>
      </c>
      <c r="D57">
        <v>3</v>
      </c>
      <c r="E57">
        <v>6</v>
      </c>
      <c r="F57">
        <v>240</v>
      </c>
      <c r="G57">
        <v>10</v>
      </c>
      <c r="H57" s="3">
        <v>45316.482638888891</v>
      </c>
      <c r="I57" s="3">
        <v>45326.608333275464</v>
      </c>
      <c r="J57">
        <f t="shared" si="0"/>
        <v>243.01666527776979</v>
      </c>
      <c r="K57">
        <f t="shared" si="1"/>
        <v>10.125694386573741</v>
      </c>
      <c r="L57">
        <v>0.36330000000000001</v>
      </c>
      <c r="M57">
        <v>6.83E-2</v>
      </c>
      <c r="N57">
        <v>41.468190094731</v>
      </c>
      <c r="O57">
        <v>42.511715902126099</v>
      </c>
      <c r="P57">
        <f t="shared" si="2"/>
        <v>18.214431959618302</v>
      </c>
      <c r="Q57">
        <f t="shared" si="3"/>
        <v>18.672788829630793</v>
      </c>
      <c r="R57">
        <f t="shared" si="4"/>
        <v>12.59892258646798</v>
      </c>
      <c r="S57">
        <f t="shared" si="5"/>
        <v>5.7568207961751741</v>
      </c>
      <c r="T57">
        <f t="shared" si="6"/>
        <v>18.355743382643155</v>
      </c>
      <c r="U57">
        <v>1</v>
      </c>
    </row>
    <row r="58" spans="1:21" x14ac:dyDescent="0.35">
      <c r="A58" t="s">
        <v>561</v>
      </c>
      <c r="B58" t="s">
        <v>479</v>
      </c>
      <c r="C58">
        <v>400</v>
      </c>
      <c r="D58">
        <v>3</v>
      </c>
      <c r="E58">
        <v>7</v>
      </c>
      <c r="F58">
        <v>240</v>
      </c>
      <c r="G58">
        <v>10</v>
      </c>
      <c r="H58" s="3">
        <v>45316.482638888891</v>
      </c>
      <c r="I58" s="3">
        <v>45326.608333275464</v>
      </c>
      <c r="J58">
        <f t="shared" si="0"/>
        <v>243.01666527776979</v>
      </c>
      <c r="K58">
        <f t="shared" si="1"/>
        <v>10.125694386573741</v>
      </c>
      <c r="L58">
        <v>0.37759999999999999</v>
      </c>
      <c r="M58">
        <v>7.0499999999999993E-2</v>
      </c>
      <c r="N58">
        <v>50.042646493335397</v>
      </c>
      <c r="O58">
        <v>50.712065720913998</v>
      </c>
      <c r="P58">
        <f t="shared" si="2"/>
        <v>21.294743188653364</v>
      </c>
      <c r="Q58">
        <f t="shared" si="3"/>
        <v>21.579602434431493</v>
      </c>
      <c r="R58">
        <f t="shared" si="4"/>
        <v>14.729573863591531</v>
      </c>
      <c r="S58">
        <f t="shared" si="5"/>
        <v>6.6529914305352298</v>
      </c>
      <c r="T58">
        <f t="shared" si="6"/>
        <v>21.38256529412676</v>
      </c>
      <c r="U58">
        <v>1</v>
      </c>
    </row>
    <row r="59" spans="1:21" x14ac:dyDescent="0.35">
      <c r="A59" t="s">
        <v>561</v>
      </c>
      <c r="B59" t="s">
        <v>480</v>
      </c>
      <c r="C59">
        <v>400</v>
      </c>
      <c r="D59">
        <v>3</v>
      </c>
      <c r="E59">
        <v>8</v>
      </c>
      <c r="F59">
        <v>240</v>
      </c>
      <c r="G59">
        <v>10</v>
      </c>
      <c r="H59" s="3">
        <v>45316.482638888891</v>
      </c>
      <c r="I59" s="3">
        <v>45326.608333275464</v>
      </c>
      <c r="J59">
        <f t="shared" si="0"/>
        <v>243.01666527776979</v>
      </c>
      <c r="K59">
        <f t="shared" si="1"/>
        <v>10.125694386573741</v>
      </c>
      <c r="L59">
        <v>0.28110000000000002</v>
      </c>
      <c r="M59">
        <v>5.21E-2</v>
      </c>
      <c r="N59">
        <v>42.777487008793898</v>
      </c>
      <c r="O59">
        <v>43.230627515921903</v>
      </c>
      <c r="P59">
        <f t="shared" si="2"/>
        <v>24.631950292971535</v>
      </c>
      <c r="Q59">
        <f t="shared" si="3"/>
        <v>24.892875728937756</v>
      </c>
      <c r="R59">
        <f t="shared" si="4"/>
        <v>17.03792001764841</v>
      </c>
      <c r="S59">
        <f t="shared" si="5"/>
        <v>7.6744735872315104</v>
      </c>
      <c r="T59">
        <f t="shared" si="6"/>
        <v>24.712393604879921</v>
      </c>
      <c r="U59">
        <v>1</v>
      </c>
    </row>
    <row r="60" spans="1:21" x14ac:dyDescent="0.35">
      <c r="A60" t="s">
        <v>561</v>
      </c>
      <c r="B60" t="s">
        <v>481</v>
      </c>
      <c r="C60">
        <v>400</v>
      </c>
      <c r="D60">
        <v>3</v>
      </c>
      <c r="E60">
        <v>9</v>
      </c>
      <c r="F60">
        <v>240</v>
      </c>
      <c r="G60">
        <v>10</v>
      </c>
      <c r="H60" s="3">
        <v>45316.482638888891</v>
      </c>
      <c r="I60" s="3">
        <v>45326.608333275464</v>
      </c>
      <c r="J60">
        <f t="shared" si="0"/>
        <v>243.01666527776979</v>
      </c>
      <c r="K60">
        <f t="shared" si="1"/>
        <v>10.125694386573741</v>
      </c>
      <c r="L60">
        <v>0.45150000000000001</v>
      </c>
      <c r="M60">
        <v>9.1700000000000004E-2</v>
      </c>
      <c r="N60">
        <v>62.908555840910999</v>
      </c>
      <c r="O60">
        <v>63.3766640389507</v>
      </c>
      <c r="P60">
        <f t="shared" si="2"/>
        <v>20.580770722217338</v>
      </c>
      <c r="Q60">
        <f t="shared" si="3"/>
        <v>20.733914080354644</v>
      </c>
      <c r="R60">
        <f t="shared" si="4"/>
        <v>14.235719108557731</v>
      </c>
      <c r="S60">
        <f t="shared" si="5"/>
        <v>6.3922657109733372</v>
      </c>
      <c r="T60">
        <f t="shared" si="6"/>
        <v>20.627984819531068</v>
      </c>
      <c r="U60">
        <v>1</v>
      </c>
    </row>
    <row r="61" spans="1:21" x14ac:dyDescent="0.35">
      <c r="A61" t="s">
        <v>561</v>
      </c>
      <c r="B61" t="s">
        <v>482</v>
      </c>
      <c r="C61">
        <v>400</v>
      </c>
      <c r="D61">
        <v>3</v>
      </c>
      <c r="E61">
        <v>10</v>
      </c>
      <c r="F61">
        <v>240</v>
      </c>
      <c r="G61">
        <v>10</v>
      </c>
      <c r="H61" s="3">
        <v>45316.482638888891</v>
      </c>
      <c r="I61" s="3">
        <v>45326.608333275464</v>
      </c>
      <c r="J61">
        <f t="shared" si="0"/>
        <v>243.01666527776979</v>
      </c>
      <c r="K61">
        <f t="shared" si="1"/>
        <v>10.125694386573741</v>
      </c>
      <c r="U61">
        <v>0</v>
      </c>
    </row>
    <row r="62" spans="1:21" x14ac:dyDescent="0.35">
      <c r="A62" t="s">
        <v>561</v>
      </c>
      <c r="B62" t="s">
        <v>483</v>
      </c>
      <c r="C62">
        <v>800</v>
      </c>
      <c r="D62">
        <v>1</v>
      </c>
      <c r="E62">
        <v>1</v>
      </c>
      <c r="F62">
        <v>240</v>
      </c>
      <c r="G62">
        <v>10</v>
      </c>
      <c r="H62" s="3">
        <v>45316.48333333333</v>
      </c>
      <c r="I62" s="3">
        <v>45326.582638888889</v>
      </c>
      <c r="J62">
        <f t="shared" si="0"/>
        <v>242.3833333334187</v>
      </c>
      <c r="K62">
        <f t="shared" si="1"/>
        <v>10.099305555559113</v>
      </c>
      <c r="L62">
        <v>0.36209999999999998</v>
      </c>
      <c r="M62">
        <v>6.7400000000000002E-2</v>
      </c>
      <c r="N62">
        <v>202.25756941110299</v>
      </c>
      <c r="O62">
        <v>202.91191883561601</v>
      </c>
      <c r="P62">
        <f t="shared" si="2"/>
        <v>90.025624366959789</v>
      </c>
      <c r="Q62">
        <f t="shared" si="3"/>
        <v>90.316877820007122</v>
      </c>
      <c r="R62">
        <f t="shared" si="4"/>
        <v>62.270724374626084</v>
      </c>
      <c r="S62">
        <f t="shared" si="5"/>
        <v>27.844693431908198</v>
      </c>
      <c r="T62">
        <f t="shared" si="6"/>
        <v>90.115417806534282</v>
      </c>
      <c r="U62">
        <v>1</v>
      </c>
    </row>
    <row r="63" spans="1:21" x14ac:dyDescent="0.35">
      <c r="A63" t="s">
        <v>561</v>
      </c>
      <c r="B63" t="s">
        <v>484</v>
      </c>
      <c r="C63">
        <v>800</v>
      </c>
      <c r="D63">
        <v>1</v>
      </c>
      <c r="E63">
        <v>2</v>
      </c>
      <c r="F63">
        <v>240</v>
      </c>
      <c r="G63">
        <v>10</v>
      </c>
      <c r="H63" s="3">
        <v>45316.48333333333</v>
      </c>
      <c r="I63" s="3">
        <v>45326.582638888889</v>
      </c>
      <c r="J63">
        <f t="shared" si="0"/>
        <v>242.3833333334187</v>
      </c>
      <c r="K63">
        <f t="shared" si="1"/>
        <v>10.099305555559113</v>
      </c>
      <c r="L63">
        <v>0.40139999999999998</v>
      </c>
      <c r="M63">
        <v>7.2499999999999995E-2</v>
      </c>
      <c r="N63">
        <v>127.82100083378501</v>
      </c>
      <c r="O63">
        <v>129.09224479522399</v>
      </c>
      <c r="P63">
        <f t="shared" si="2"/>
        <v>52.89144862087656</v>
      </c>
      <c r="Q63">
        <f t="shared" si="3"/>
        <v>53.417480604920279</v>
      </c>
      <c r="R63">
        <f t="shared" si="4"/>
        <v>36.585015011060314</v>
      </c>
      <c r="S63">
        <f t="shared" si="5"/>
        <v>16.468609270496923</v>
      </c>
      <c r="T63">
        <f t="shared" si="6"/>
        <v>53.053624281557234</v>
      </c>
      <c r="U63">
        <v>1</v>
      </c>
    </row>
    <row r="64" spans="1:21" x14ac:dyDescent="0.35">
      <c r="A64" t="s">
        <v>561</v>
      </c>
      <c r="B64" t="s">
        <v>485</v>
      </c>
      <c r="C64">
        <v>800</v>
      </c>
      <c r="D64">
        <v>1</v>
      </c>
      <c r="E64">
        <v>3</v>
      </c>
      <c r="F64">
        <v>240</v>
      </c>
      <c r="G64">
        <v>10</v>
      </c>
      <c r="H64" s="3">
        <v>45316.48333333333</v>
      </c>
      <c r="I64" s="3">
        <v>45326.582638888889</v>
      </c>
      <c r="J64">
        <f t="shared" si="0"/>
        <v>242.3833333334187</v>
      </c>
      <c r="K64">
        <f t="shared" si="1"/>
        <v>10.099305555559113</v>
      </c>
      <c r="L64">
        <v>0.29559999999999997</v>
      </c>
      <c r="M64">
        <v>5.4300000000000001E-2</v>
      </c>
      <c r="N64">
        <v>103.559504573339</v>
      </c>
      <c r="O64">
        <v>103.591898525145</v>
      </c>
      <c r="P64">
        <f t="shared" si="2"/>
        <v>57.21519589687238</v>
      </c>
      <c r="Q64">
        <f t="shared" si="3"/>
        <v>57.233093107814909</v>
      </c>
      <c r="R64">
        <f t="shared" si="4"/>
        <v>39.575751001866621</v>
      </c>
      <c r="S64">
        <f t="shared" si="5"/>
        <v>17.644962605139337</v>
      </c>
      <c r="T64">
        <f t="shared" si="6"/>
        <v>57.220713607005962</v>
      </c>
      <c r="U64">
        <v>1</v>
      </c>
    </row>
    <row r="65" spans="1:21" x14ac:dyDescent="0.35">
      <c r="A65" t="s">
        <v>561</v>
      </c>
      <c r="B65" t="s">
        <v>486</v>
      </c>
      <c r="C65">
        <v>800</v>
      </c>
      <c r="D65">
        <v>2</v>
      </c>
      <c r="E65">
        <v>1</v>
      </c>
      <c r="F65">
        <v>240</v>
      </c>
      <c r="G65">
        <v>10</v>
      </c>
      <c r="H65" s="3">
        <v>45316.484027777777</v>
      </c>
      <c r="I65" s="3">
        <v>45326.582638888889</v>
      </c>
      <c r="J65">
        <f t="shared" si="0"/>
        <v>242.36666666669771</v>
      </c>
      <c r="K65">
        <f t="shared" si="1"/>
        <v>10.098611111112405</v>
      </c>
      <c r="L65">
        <v>0.34599999999999997</v>
      </c>
      <c r="M65">
        <v>6.1100000000000002E-2</v>
      </c>
      <c r="N65">
        <v>139.20488101111999</v>
      </c>
      <c r="O65">
        <v>140.41056700567799</v>
      </c>
      <c r="P65">
        <f t="shared" si="2"/>
        <v>68.349368745230763</v>
      </c>
      <c r="Q65">
        <f t="shared" si="3"/>
        <v>68.941358595259246</v>
      </c>
      <c r="R65">
        <f t="shared" si="4"/>
        <v>47.277258361076115</v>
      </c>
      <c r="S65">
        <f t="shared" si="5"/>
        <v>21.254620854918425</v>
      </c>
      <c r="T65">
        <f t="shared" si="6"/>
        <v>68.531879215994536</v>
      </c>
      <c r="U65">
        <v>1</v>
      </c>
    </row>
    <row r="66" spans="1:21" x14ac:dyDescent="0.35">
      <c r="A66" t="s">
        <v>561</v>
      </c>
      <c r="B66" t="s">
        <v>487</v>
      </c>
      <c r="C66">
        <v>800</v>
      </c>
      <c r="D66">
        <v>2</v>
      </c>
      <c r="E66">
        <v>2</v>
      </c>
      <c r="F66">
        <v>240</v>
      </c>
      <c r="G66">
        <v>10</v>
      </c>
      <c r="H66" s="3">
        <v>45316.484027777777</v>
      </c>
      <c r="I66" s="3">
        <v>45326.582638888889</v>
      </c>
      <c r="J66">
        <f>(I66-H66)*24</f>
        <v>242.36666666669771</v>
      </c>
      <c r="K66">
        <f>J66/24</f>
        <v>10.098611111112405</v>
      </c>
      <c r="L66">
        <v>0.38619999999999999</v>
      </c>
      <c r="M66">
        <v>7.1499999999999994E-2</v>
      </c>
      <c r="N66">
        <v>241.991119961544</v>
      </c>
      <c r="O66">
        <v>241.580186725266</v>
      </c>
      <c r="P66">
        <f t="shared" si="2"/>
        <v>101.53473564820028</v>
      </c>
      <c r="Q66">
        <f t="shared" si="3"/>
        <v>101.36231610850324</v>
      </c>
      <c r="R66">
        <f t="shared" si="4"/>
        <v>70.231576647860138</v>
      </c>
      <c r="S66">
        <f t="shared" si="5"/>
        <v>31.250002056251549</v>
      </c>
      <c r="T66">
        <f t="shared" si="6"/>
        <v>101.48157870411168</v>
      </c>
      <c r="U66">
        <v>1</v>
      </c>
    </row>
    <row r="67" spans="1:21" x14ac:dyDescent="0.35">
      <c r="A67" t="s">
        <v>561</v>
      </c>
      <c r="B67" t="s">
        <v>488</v>
      </c>
      <c r="C67">
        <v>800</v>
      </c>
      <c r="D67">
        <v>2</v>
      </c>
      <c r="E67">
        <v>3</v>
      </c>
      <c r="F67">
        <v>240</v>
      </c>
      <c r="G67">
        <v>10</v>
      </c>
      <c r="H67" s="3">
        <v>45316.484027777777</v>
      </c>
      <c r="I67" s="3">
        <v>45326.582638888889</v>
      </c>
      <c r="J67">
        <f>(I67-H67)*24</f>
        <v>242.36666666669771</v>
      </c>
      <c r="K67">
        <f>J67/24</f>
        <v>10.098611111112405</v>
      </c>
      <c r="L67">
        <v>0.4592</v>
      </c>
      <c r="M67">
        <v>8.0699999999999994E-2</v>
      </c>
      <c r="N67">
        <v>241.45051722947801</v>
      </c>
      <c r="O67">
        <v>243.64754169180401</v>
      </c>
      <c r="P67">
        <f>N67*30/1000/M67</f>
        <v>89.758556590884027</v>
      </c>
      <c r="Q67">
        <f>O67*30/1000/M67</f>
        <v>90.575294309220837</v>
      </c>
      <c r="R67">
        <f>P67*0.6917</f>
        <v>62.08599359391448</v>
      </c>
      <c r="S67">
        <f>Q67*0.3083</f>
        <v>27.924363235532784</v>
      </c>
      <c r="T67">
        <f>R67+S67</f>
        <v>90.010356829447261</v>
      </c>
      <c r="U67">
        <v>1</v>
      </c>
    </row>
    <row r="68" spans="1:21" x14ac:dyDescent="0.35">
      <c r="A68" t="s">
        <v>561</v>
      </c>
      <c r="B68" t="s">
        <v>489</v>
      </c>
      <c r="C68">
        <v>800</v>
      </c>
      <c r="D68">
        <v>3</v>
      </c>
      <c r="E68">
        <v>1</v>
      </c>
      <c r="F68">
        <v>240</v>
      </c>
      <c r="G68">
        <v>10</v>
      </c>
      <c r="H68" s="3">
        <v>45316.484722222223</v>
      </c>
      <c r="I68" s="3">
        <v>45326.582638888889</v>
      </c>
      <c r="J68">
        <f>(I68-H68)*24</f>
        <v>242.34999999997672</v>
      </c>
      <c r="K68">
        <f>J68/24</f>
        <v>10.097916666665697</v>
      </c>
      <c r="L68">
        <v>0.34210000000000002</v>
      </c>
      <c r="M68">
        <v>5.0200000000000002E-2</v>
      </c>
      <c r="N68">
        <v>284.90057317703099</v>
      </c>
      <c r="O68">
        <v>286.63751250887998</v>
      </c>
      <c r="P68">
        <f>N68*30/1000/M68</f>
        <v>170.25930667950055</v>
      </c>
      <c r="Q68">
        <f>O68*30/1000/M68</f>
        <v>171.2973182323984</v>
      </c>
      <c r="R68">
        <f>P68*0.6917</f>
        <v>117.76836243021053</v>
      </c>
      <c r="S68">
        <f>Q68*0.3083</f>
        <v>52.810963211048431</v>
      </c>
      <c r="T68">
        <f>R68+S68</f>
        <v>170.57932564125895</v>
      </c>
      <c r="U68">
        <v>1</v>
      </c>
    </row>
    <row r="69" spans="1:21" x14ac:dyDescent="0.35">
      <c r="H69" s="3"/>
      <c r="I69" s="3"/>
    </row>
    <row r="70" spans="1:21" x14ac:dyDescent="0.35">
      <c r="H70" s="3"/>
      <c r="I70" s="3"/>
    </row>
    <row r="71" spans="1:21" x14ac:dyDescent="0.35">
      <c r="H71" s="3"/>
      <c r="I71" s="3"/>
    </row>
    <row r="72" spans="1:21" x14ac:dyDescent="0.35">
      <c r="H72" s="3"/>
      <c r="I72" s="3"/>
      <c r="T72">
        <f>T62*M62</f>
        <v>6.0737791601604103</v>
      </c>
    </row>
    <row r="73" spans="1:21" x14ac:dyDescent="0.35">
      <c r="H73" s="3"/>
      <c r="I73" s="3"/>
      <c r="R73">
        <f>AVERAGE(T62:T68)</f>
        <v>90.141842297987139</v>
      </c>
      <c r="T73">
        <f t="shared" ref="T73:T82" si="7">T63*M63</f>
        <v>3.8463877604128993</v>
      </c>
    </row>
    <row r="74" spans="1:21" x14ac:dyDescent="0.35">
      <c r="H74" s="3"/>
      <c r="I74" s="3"/>
      <c r="T74">
        <f t="shared" si="7"/>
        <v>3.1070847488604239</v>
      </c>
    </row>
    <row r="75" spans="1:21" x14ac:dyDescent="0.35">
      <c r="H75" s="3"/>
      <c r="I75" s="3"/>
      <c r="T75">
        <f t="shared" si="7"/>
        <v>4.1872978200972666</v>
      </c>
    </row>
    <row r="76" spans="1:21" x14ac:dyDescent="0.35">
      <c r="H76" s="3"/>
      <c r="I76" s="3"/>
      <c r="R76">
        <f>AVERAGE(T62:T67)</f>
        <v>76.735595074108502</v>
      </c>
      <c r="T76">
        <f t="shared" si="7"/>
        <v>7.2559328773439846</v>
      </c>
    </row>
    <row r="77" spans="1:21" x14ac:dyDescent="0.35">
      <c r="H77" s="3"/>
      <c r="I77" s="3"/>
      <c r="T77">
        <f t="shared" si="7"/>
        <v>7.2638357961363935</v>
      </c>
    </row>
    <row r="78" spans="1:21" x14ac:dyDescent="0.35">
      <c r="H78" s="3"/>
      <c r="I78" s="3"/>
      <c r="T78">
        <f t="shared" si="7"/>
        <v>8.5630821471911993</v>
      </c>
      <c r="U78">
        <f>AVERAGE(T72:T78)</f>
        <v>5.7567714728860819</v>
      </c>
    </row>
    <row r="79" spans="1:21" x14ac:dyDescent="0.35">
      <c r="H79" s="3"/>
      <c r="I79" s="3"/>
      <c r="T79">
        <f t="shared" si="7"/>
        <v>0</v>
      </c>
    </row>
    <row r="80" spans="1:21" x14ac:dyDescent="0.35">
      <c r="H80" s="3"/>
      <c r="I80" s="3"/>
      <c r="T80">
        <f t="shared" si="7"/>
        <v>0</v>
      </c>
    </row>
    <row r="81" spans="8:20" x14ac:dyDescent="0.35">
      <c r="H81" s="3"/>
      <c r="I81" s="3"/>
      <c r="T81">
        <f t="shared" si="7"/>
        <v>0</v>
      </c>
    </row>
    <row r="82" spans="8:20" x14ac:dyDescent="0.35">
      <c r="H82" s="3"/>
      <c r="I82" s="3"/>
      <c r="T82">
        <f t="shared" si="7"/>
        <v>0</v>
      </c>
    </row>
    <row r="83" spans="8:20" x14ac:dyDescent="0.35">
      <c r="H83" s="3"/>
      <c r="I83" s="3"/>
    </row>
    <row r="84" spans="8:20" x14ac:dyDescent="0.35">
      <c r="H84" s="3"/>
      <c r="I84" s="3"/>
    </row>
    <row r="85" spans="8:20" x14ac:dyDescent="0.35">
      <c r="H85" s="3"/>
      <c r="I85" s="3"/>
    </row>
    <row r="86" spans="8:20" x14ac:dyDescent="0.35">
      <c r="H86" s="3"/>
      <c r="I86" s="3"/>
    </row>
    <row r="87" spans="8:20" x14ac:dyDescent="0.35">
      <c r="H87" s="3"/>
      <c r="I87" s="3"/>
    </row>
    <row r="88" spans="8:20" x14ac:dyDescent="0.35">
      <c r="H88" s="3"/>
      <c r="I88" s="3"/>
    </row>
    <row r="89" spans="8:20" x14ac:dyDescent="0.35">
      <c r="H89" s="3"/>
      <c r="I89" s="3"/>
    </row>
    <row r="90" spans="8:20" x14ac:dyDescent="0.35">
      <c r="H90" s="3"/>
      <c r="I90" s="3"/>
    </row>
    <row r="91" spans="8:20" x14ac:dyDescent="0.35">
      <c r="H91" s="3"/>
      <c r="I91" s="3"/>
    </row>
    <row r="92" spans="8:20" x14ac:dyDescent="0.35">
      <c r="H92" s="3"/>
      <c r="I92" s="3"/>
    </row>
    <row r="93" spans="8:20" x14ac:dyDescent="0.35">
      <c r="H93" s="3"/>
      <c r="I93" s="3"/>
    </row>
    <row r="94" spans="8:20" x14ac:dyDescent="0.35">
      <c r="H94" s="3"/>
      <c r="I94" s="3"/>
    </row>
    <row r="95" spans="8:20" x14ac:dyDescent="0.35">
      <c r="H95" s="3"/>
      <c r="I95" s="3"/>
    </row>
    <row r="96" spans="8:20" x14ac:dyDescent="0.35">
      <c r="H96" s="3"/>
      <c r="I96" s="3"/>
    </row>
    <row r="97" spans="3:9" x14ac:dyDescent="0.35">
      <c r="H97" s="3"/>
      <c r="I97" s="3"/>
    </row>
    <row r="98" spans="3:9" x14ac:dyDescent="0.35">
      <c r="H98" s="3"/>
      <c r="I98" s="3"/>
    </row>
    <row r="99" spans="3:9" x14ac:dyDescent="0.35">
      <c r="H99" s="3"/>
      <c r="I99" s="3"/>
    </row>
    <row r="100" spans="3:9" x14ac:dyDescent="0.35">
      <c r="H100" s="3"/>
      <c r="I100" s="3"/>
    </row>
    <row r="101" spans="3:9" x14ac:dyDescent="0.35">
      <c r="H101" s="3"/>
      <c r="I101" s="3"/>
    </row>
    <row r="102" spans="3:9" x14ac:dyDescent="0.35">
      <c r="C102" s="2"/>
      <c r="D102" s="2"/>
      <c r="E102" s="2"/>
      <c r="H102" s="3"/>
      <c r="I102" s="3"/>
    </row>
    <row r="103" spans="3:9" x14ac:dyDescent="0.35">
      <c r="H103" s="3"/>
      <c r="I103" s="3"/>
    </row>
    <row r="104" spans="3:9" x14ac:dyDescent="0.35">
      <c r="H104" s="3"/>
      <c r="I104" s="3"/>
    </row>
    <row r="105" spans="3:9" x14ac:dyDescent="0.35">
      <c r="H105" s="3"/>
      <c r="I105" s="3"/>
    </row>
    <row r="106" spans="3:9" x14ac:dyDescent="0.35">
      <c r="H106" s="3"/>
      <c r="I106" s="3"/>
    </row>
    <row r="107" spans="3:9" x14ac:dyDescent="0.35">
      <c r="H107" s="3"/>
      <c r="I107" s="3"/>
    </row>
    <row r="108" spans="3:9" x14ac:dyDescent="0.35">
      <c r="H108" s="3"/>
      <c r="I108" s="3"/>
    </row>
    <row r="109" spans="3:9" x14ac:dyDescent="0.35">
      <c r="H109" s="3"/>
      <c r="I109" s="3"/>
    </row>
    <row r="110" spans="3:9" x14ac:dyDescent="0.35">
      <c r="H110" s="3"/>
      <c r="I110" s="3"/>
    </row>
    <row r="111" spans="3:9" x14ac:dyDescent="0.35">
      <c r="H111" s="3"/>
      <c r="I111" s="3"/>
    </row>
    <row r="112" spans="3:9" x14ac:dyDescent="0.35">
      <c r="H112" s="3"/>
      <c r="I112" s="3"/>
    </row>
    <row r="113" spans="3:9" x14ac:dyDescent="0.35">
      <c r="H113" s="3"/>
      <c r="I113" s="3"/>
    </row>
    <row r="114" spans="3:9" x14ac:dyDescent="0.35">
      <c r="H114" s="3"/>
      <c r="I114" s="3"/>
    </row>
    <row r="115" spans="3:9" x14ac:dyDescent="0.35">
      <c r="H115" s="3"/>
      <c r="I115" s="3"/>
    </row>
    <row r="116" spans="3:9" x14ac:dyDescent="0.35">
      <c r="H116" s="3"/>
      <c r="I116" s="3"/>
    </row>
    <row r="117" spans="3:9" x14ac:dyDescent="0.35">
      <c r="C117" s="2"/>
      <c r="D117" s="2"/>
      <c r="E117" s="2"/>
      <c r="H117" s="3"/>
      <c r="I117" s="3"/>
    </row>
    <row r="118" spans="3:9" x14ac:dyDescent="0.35">
      <c r="C118" s="2"/>
      <c r="D118" s="2"/>
      <c r="E118" s="2"/>
      <c r="H118" s="3"/>
      <c r="I118" s="3"/>
    </row>
    <row r="119" spans="3:9" x14ac:dyDescent="0.35">
      <c r="H119" s="3"/>
      <c r="I119" s="3"/>
    </row>
    <row r="120" spans="3:9" x14ac:dyDescent="0.35">
      <c r="H120" s="3"/>
      <c r="I120" s="3"/>
    </row>
    <row r="121" spans="3:9" x14ac:dyDescent="0.35">
      <c r="H121" s="3"/>
      <c r="I121" s="3"/>
    </row>
    <row r="122" spans="3:9" x14ac:dyDescent="0.35">
      <c r="H122" s="8"/>
      <c r="I122" s="8"/>
    </row>
    <row r="123" spans="3:9" x14ac:dyDescent="0.35">
      <c r="H123" s="8"/>
      <c r="I123" s="8"/>
    </row>
    <row r="124" spans="3:9" x14ac:dyDescent="0.35">
      <c r="H124" s="8"/>
      <c r="I124" s="8"/>
    </row>
    <row r="125" spans="3:9" x14ac:dyDescent="0.35">
      <c r="H125" s="8"/>
      <c r="I125" s="8"/>
    </row>
    <row r="126" spans="3:9" x14ac:dyDescent="0.35">
      <c r="H126" s="8"/>
      <c r="I126" s="8"/>
    </row>
    <row r="127" spans="3:9" x14ac:dyDescent="0.35">
      <c r="H127" s="8"/>
      <c r="I127" s="8"/>
    </row>
    <row r="128" spans="3:9" x14ac:dyDescent="0.35">
      <c r="H128" s="8"/>
      <c r="I128" s="8"/>
    </row>
    <row r="129" spans="8:9" x14ac:dyDescent="0.35">
      <c r="H129" s="8"/>
      <c r="I129" s="8"/>
    </row>
    <row r="130" spans="8:9" x14ac:dyDescent="0.35">
      <c r="H130" s="8"/>
      <c r="I130" s="8"/>
    </row>
    <row r="131" spans="8:9" x14ac:dyDescent="0.35">
      <c r="H131" s="8"/>
      <c r="I131" s="8"/>
    </row>
    <row r="132" spans="8:9" x14ac:dyDescent="0.35">
      <c r="H132" s="8"/>
      <c r="I132" s="8"/>
    </row>
    <row r="133" spans="8:9" x14ac:dyDescent="0.35">
      <c r="H133" s="8"/>
      <c r="I133" s="8"/>
    </row>
    <row r="134" spans="8:9" x14ac:dyDescent="0.35">
      <c r="H134" s="8"/>
      <c r="I134" s="8"/>
    </row>
    <row r="135" spans="8:9" x14ac:dyDescent="0.35">
      <c r="H135" s="8"/>
      <c r="I135" s="8"/>
    </row>
    <row r="136" spans="8:9" x14ac:dyDescent="0.35">
      <c r="H136" s="8"/>
      <c r="I136" s="8"/>
    </row>
    <row r="137" spans="8:9" x14ac:dyDescent="0.35">
      <c r="H137" s="8"/>
      <c r="I137" s="8"/>
    </row>
    <row r="138" spans="8:9" x14ac:dyDescent="0.35">
      <c r="H138" s="8"/>
      <c r="I138" s="8"/>
    </row>
    <row r="139" spans="8:9" x14ac:dyDescent="0.35">
      <c r="H139" s="8"/>
      <c r="I139" s="8"/>
    </row>
    <row r="140" spans="8:9" x14ac:dyDescent="0.35">
      <c r="H140" s="8"/>
      <c r="I140" s="8"/>
    </row>
    <row r="141" spans="8:9" x14ac:dyDescent="0.35">
      <c r="H141" s="8"/>
      <c r="I141" s="8"/>
    </row>
    <row r="142" spans="8:9" x14ac:dyDescent="0.35">
      <c r="H142" s="8"/>
      <c r="I142" s="8"/>
    </row>
    <row r="143" spans="8:9" x14ac:dyDescent="0.35">
      <c r="H143" s="8"/>
      <c r="I143" s="8"/>
    </row>
    <row r="144" spans="8:9" x14ac:dyDescent="0.35">
      <c r="H144" s="8"/>
      <c r="I144" s="8"/>
    </row>
    <row r="145" spans="8:9" x14ac:dyDescent="0.35">
      <c r="H145" s="8"/>
      <c r="I145" s="8"/>
    </row>
    <row r="146" spans="8:9" x14ac:dyDescent="0.35">
      <c r="H146" s="8"/>
      <c r="I146" s="8"/>
    </row>
    <row r="147" spans="8:9" x14ac:dyDescent="0.35">
      <c r="H147" s="8"/>
      <c r="I147" s="8"/>
    </row>
    <row r="148" spans="8:9" x14ac:dyDescent="0.35">
      <c r="H148" s="8"/>
      <c r="I148" s="8"/>
    </row>
    <row r="149" spans="8:9" x14ac:dyDescent="0.35">
      <c r="H149" s="8"/>
      <c r="I149" s="8"/>
    </row>
    <row r="150" spans="8:9" x14ac:dyDescent="0.35">
      <c r="H150" s="8"/>
      <c r="I150" s="8"/>
    </row>
    <row r="151" spans="8:9" x14ac:dyDescent="0.35">
      <c r="H151" s="8"/>
      <c r="I151" s="8"/>
    </row>
    <row r="152" spans="8:9" x14ac:dyDescent="0.35">
      <c r="H152" s="8"/>
      <c r="I152" s="8"/>
    </row>
    <row r="153" spans="8:9" x14ac:dyDescent="0.35">
      <c r="H153" s="8"/>
      <c r="I153" s="8"/>
    </row>
    <row r="154" spans="8:9" x14ac:dyDescent="0.35">
      <c r="H154" s="8"/>
      <c r="I154" s="8"/>
    </row>
    <row r="155" spans="8:9" x14ac:dyDescent="0.35">
      <c r="H155" s="8"/>
      <c r="I155" s="8"/>
    </row>
    <row r="156" spans="8:9" x14ac:dyDescent="0.35">
      <c r="H156" s="8"/>
      <c r="I156" s="8"/>
    </row>
    <row r="157" spans="8:9" x14ac:dyDescent="0.35">
      <c r="H157" s="8"/>
      <c r="I157" s="8"/>
    </row>
    <row r="158" spans="8:9" x14ac:dyDescent="0.35">
      <c r="H158" s="8"/>
      <c r="I158" s="8"/>
    </row>
    <row r="159" spans="8:9" x14ac:dyDescent="0.35">
      <c r="H159" s="8"/>
      <c r="I159" s="8"/>
    </row>
    <row r="160" spans="8:9" x14ac:dyDescent="0.35">
      <c r="H160" s="8"/>
      <c r="I160" s="8"/>
    </row>
    <row r="161" spans="8:9" x14ac:dyDescent="0.35">
      <c r="H161" s="8"/>
      <c r="I161" s="8"/>
    </row>
    <row r="162" spans="8:9" x14ac:dyDescent="0.35">
      <c r="H162" s="8"/>
      <c r="I162" s="8"/>
    </row>
    <row r="163" spans="8:9" x14ac:dyDescent="0.35">
      <c r="H163" s="8"/>
      <c r="I163" s="8"/>
    </row>
    <row r="164" spans="8:9" x14ac:dyDescent="0.35">
      <c r="H164" s="8"/>
      <c r="I164" s="8"/>
    </row>
    <row r="165" spans="8:9" x14ac:dyDescent="0.35">
      <c r="H165" s="8"/>
      <c r="I165" s="8"/>
    </row>
    <row r="166" spans="8:9" x14ac:dyDescent="0.35">
      <c r="H166" s="8"/>
      <c r="I166" s="8"/>
    </row>
    <row r="167" spans="8:9" x14ac:dyDescent="0.35">
      <c r="H167" s="8"/>
      <c r="I167" s="8"/>
    </row>
    <row r="168" spans="8:9" x14ac:dyDescent="0.35">
      <c r="H168" s="8"/>
      <c r="I168" s="8"/>
    </row>
    <row r="169" spans="8:9" x14ac:dyDescent="0.35">
      <c r="H169" s="8"/>
      <c r="I169" s="8"/>
    </row>
    <row r="170" spans="8:9" x14ac:dyDescent="0.35">
      <c r="H170" s="8"/>
      <c r="I170" s="8"/>
    </row>
    <row r="171" spans="8:9" x14ac:dyDescent="0.35">
      <c r="H171" s="8"/>
      <c r="I171" s="8"/>
    </row>
    <row r="172" spans="8:9" x14ac:dyDescent="0.35">
      <c r="H172" s="8"/>
      <c r="I172" s="8"/>
    </row>
    <row r="173" spans="8:9" x14ac:dyDescent="0.35">
      <c r="H173" s="8"/>
      <c r="I173" s="8"/>
    </row>
    <row r="174" spans="8:9" x14ac:dyDescent="0.35">
      <c r="H174" s="8"/>
      <c r="I174" s="8"/>
    </row>
    <row r="175" spans="8:9" x14ac:dyDescent="0.35">
      <c r="H175" s="8"/>
      <c r="I175" s="8"/>
    </row>
    <row r="176" spans="8:9" x14ac:dyDescent="0.35">
      <c r="H176" s="8"/>
      <c r="I176" s="8"/>
    </row>
    <row r="177" spans="8:9" x14ac:dyDescent="0.35">
      <c r="H177" s="8"/>
      <c r="I177" s="8"/>
    </row>
    <row r="178" spans="8:9" x14ac:dyDescent="0.35">
      <c r="H178" s="8"/>
      <c r="I178" s="8"/>
    </row>
    <row r="179" spans="8:9" x14ac:dyDescent="0.35">
      <c r="H179" s="8"/>
      <c r="I179" s="8"/>
    </row>
    <row r="180" spans="8:9" x14ac:dyDescent="0.35">
      <c r="H180" s="8"/>
      <c r="I180" s="8"/>
    </row>
    <row r="181" spans="8:9" x14ac:dyDescent="0.35">
      <c r="H181" s="8"/>
      <c r="I181" s="8"/>
    </row>
    <row r="182" spans="8:9" x14ac:dyDescent="0.35">
      <c r="H182" s="8"/>
      <c r="I182" s="8"/>
    </row>
    <row r="183" spans="8:9" x14ac:dyDescent="0.35">
      <c r="H183" s="8"/>
      <c r="I183" s="8"/>
    </row>
    <row r="184" spans="8:9" x14ac:dyDescent="0.35">
      <c r="H184" s="8"/>
      <c r="I184" s="8"/>
    </row>
    <row r="185" spans="8:9" x14ac:dyDescent="0.35">
      <c r="H185" s="8"/>
      <c r="I185" s="8"/>
    </row>
    <row r="186" spans="8:9" x14ac:dyDescent="0.35">
      <c r="H186" s="8"/>
      <c r="I186" s="8"/>
    </row>
    <row r="187" spans="8:9" x14ac:dyDescent="0.35">
      <c r="H187" s="8"/>
      <c r="I187" s="8"/>
    </row>
    <row r="188" spans="8:9" x14ac:dyDescent="0.35">
      <c r="H188" s="8"/>
      <c r="I188" s="8"/>
    </row>
    <row r="189" spans="8:9" x14ac:dyDescent="0.35">
      <c r="H189" s="8"/>
      <c r="I189" s="8"/>
    </row>
    <row r="190" spans="8:9" x14ac:dyDescent="0.35">
      <c r="H190" s="8"/>
      <c r="I190" s="8"/>
    </row>
    <row r="191" spans="8:9" x14ac:dyDescent="0.35">
      <c r="H191" s="8"/>
      <c r="I191" s="8"/>
    </row>
    <row r="192" spans="8:9" x14ac:dyDescent="0.35">
      <c r="H192" s="8"/>
      <c r="I192" s="8"/>
    </row>
    <row r="193" spans="8:9" x14ac:dyDescent="0.35">
      <c r="H193" s="8"/>
      <c r="I193" s="8"/>
    </row>
    <row r="194" spans="8:9" x14ac:dyDescent="0.35">
      <c r="H194" s="8"/>
      <c r="I194" s="8"/>
    </row>
    <row r="195" spans="8:9" x14ac:dyDescent="0.35">
      <c r="H195" s="8"/>
      <c r="I195" s="8"/>
    </row>
    <row r="196" spans="8:9" x14ac:dyDescent="0.35">
      <c r="H196" s="8"/>
      <c r="I196" s="8"/>
    </row>
    <row r="197" spans="8:9" x14ac:dyDescent="0.35">
      <c r="H197" s="8"/>
      <c r="I197" s="8"/>
    </row>
    <row r="198" spans="8:9" x14ac:dyDescent="0.35">
      <c r="H198" s="8"/>
      <c r="I198" s="8"/>
    </row>
    <row r="199" spans="8:9" x14ac:dyDescent="0.35">
      <c r="H199" s="8"/>
      <c r="I199" s="8"/>
    </row>
    <row r="200" spans="8:9" x14ac:dyDescent="0.35">
      <c r="H200" s="8"/>
      <c r="I200" s="8"/>
    </row>
    <row r="201" spans="8:9" x14ac:dyDescent="0.35">
      <c r="H201" s="8"/>
      <c r="I201" s="8"/>
    </row>
    <row r="202" spans="8:9" x14ac:dyDescent="0.35">
      <c r="H202" s="8"/>
      <c r="I202" s="8"/>
    </row>
    <row r="203" spans="8:9" x14ac:dyDescent="0.35">
      <c r="H203" s="8"/>
      <c r="I203" s="8"/>
    </row>
    <row r="204" spans="8:9" x14ac:dyDescent="0.35">
      <c r="H204" s="8"/>
      <c r="I204" s="8"/>
    </row>
    <row r="205" spans="8:9" x14ac:dyDescent="0.35">
      <c r="H205" s="8"/>
      <c r="I205" s="8"/>
    </row>
    <row r="206" spans="8:9" x14ac:dyDescent="0.35">
      <c r="H206" s="8"/>
      <c r="I206" s="8"/>
    </row>
    <row r="207" spans="8:9" x14ac:dyDescent="0.35">
      <c r="H207" s="8"/>
      <c r="I207" s="8"/>
    </row>
    <row r="208" spans="8:9" x14ac:dyDescent="0.35">
      <c r="H208" s="8"/>
      <c r="I208" s="8"/>
    </row>
    <row r="209" spans="8:9" x14ac:dyDescent="0.35">
      <c r="H209" s="8"/>
      <c r="I209" s="8"/>
    </row>
    <row r="210" spans="8:9" x14ac:dyDescent="0.35">
      <c r="H210" s="8"/>
      <c r="I210" s="8"/>
    </row>
    <row r="211" spans="8:9" x14ac:dyDescent="0.35">
      <c r="H211" s="8"/>
      <c r="I211" s="8"/>
    </row>
    <row r="212" spans="8:9" x14ac:dyDescent="0.35">
      <c r="H212" s="8"/>
      <c r="I212" s="8"/>
    </row>
    <row r="213" spans="8:9" x14ac:dyDescent="0.35">
      <c r="H213" s="8"/>
      <c r="I213" s="8"/>
    </row>
    <row r="214" spans="8:9" x14ac:dyDescent="0.35">
      <c r="H214" s="8"/>
      <c r="I214" s="8"/>
    </row>
    <row r="215" spans="8:9" x14ac:dyDescent="0.35">
      <c r="H215" s="8"/>
      <c r="I215" s="8"/>
    </row>
    <row r="216" spans="8:9" x14ac:dyDescent="0.35">
      <c r="H216" s="8"/>
      <c r="I216" s="8"/>
    </row>
    <row r="217" spans="8:9" x14ac:dyDescent="0.35">
      <c r="H217" s="8"/>
      <c r="I217" s="8"/>
    </row>
    <row r="218" spans="8:9" x14ac:dyDescent="0.35">
      <c r="H218" s="8"/>
      <c r="I218" s="8"/>
    </row>
    <row r="219" spans="8:9" x14ac:dyDescent="0.35">
      <c r="H219" s="8"/>
      <c r="I219" s="8"/>
    </row>
    <row r="220" spans="8:9" x14ac:dyDescent="0.35">
      <c r="H220" s="8"/>
      <c r="I220" s="8"/>
    </row>
    <row r="221" spans="8:9" x14ac:dyDescent="0.35">
      <c r="H221" s="8"/>
      <c r="I221" s="8"/>
    </row>
    <row r="222" spans="8:9" x14ac:dyDescent="0.35">
      <c r="H222" s="8"/>
      <c r="I222" s="8"/>
    </row>
    <row r="223" spans="8:9" x14ac:dyDescent="0.35">
      <c r="H223" s="8"/>
      <c r="I223" s="8"/>
    </row>
    <row r="224" spans="8:9" x14ac:dyDescent="0.35">
      <c r="H224" s="8"/>
      <c r="I224" s="8"/>
    </row>
    <row r="225" spans="8:9" x14ac:dyDescent="0.35">
      <c r="H225" s="8"/>
      <c r="I225" s="8"/>
    </row>
    <row r="226" spans="8:9" x14ac:dyDescent="0.35">
      <c r="H226" s="8"/>
      <c r="I226" s="8"/>
    </row>
    <row r="227" spans="8:9" x14ac:dyDescent="0.35">
      <c r="H227" s="8"/>
      <c r="I227" s="8"/>
    </row>
    <row r="228" spans="8:9" x14ac:dyDescent="0.35">
      <c r="H228" s="8"/>
      <c r="I228" s="8"/>
    </row>
    <row r="229" spans="8:9" x14ac:dyDescent="0.35">
      <c r="H229" s="8"/>
      <c r="I229" s="8"/>
    </row>
    <row r="230" spans="8:9" x14ac:dyDescent="0.35">
      <c r="H230" s="8"/>
      <c r="I230" s="8"/>
    </row>
    <row r="231" spans="8:9" x14ac:dyDescent="0.35">
      <c r="H231" s="8"/>
      <c r="I231" s="8"/>
    </row>
    <row r="232" spans="8:9" x14ac:dyDescent="0.35">
      <c r="H232" s="8"/>
      <c r="I232" s="8"/>
    </row>
    <row r="233" spans="8:9" x14ac:dyDescent="0.35">
      <c r="H233" s="8"/>
      <c r="I233" s="8"/>
    </row>
    <row r="234" spans="8:9" x14ac:dyDescent="0.35">
      <c r="H234" s="8"/>
      <c r="I234" s="8"/>
    </row>
    <row r="235" spans="8:9" x14ac:dyDescent="0.35">
      <c r="H235" s="8"/>
      <c r="I235" s="8"/>
    </row>
    <row r="236" spans="8:9" x14ac:dyDescent="0.35">
      <c r="H236" s="8"/>
      <c r="I236" s="8"/>
    </row>
    <row r="237" spans="8:9" x14ac:dyDescent="0.35">
      <c r="H237" s="8"/>
      <c r="I237" s="8"/>
    </row>
    <row r="238" spans="8:9" x14ac:dyDescent="0.35">
      <c r="H238" s="8"/>
      <c r="I238" s="8"/>
    </row>
    <row r="239" spans="8:9" x14ac:dyDescent="0.35">
      <c r="H239" s="8"/>
      <c r="I239" s="8"/>
    </row>
    <row r="240" spans="8:9" x14ac:dyDescent="0.35">
      <c r="H240" s="8"/>
      <c r="I240" s="8"/>
    </row>
    <row r="241" spans="8:9" x14ac:dyDescent="0.35">
      <c r="H241" s="8"/>
      <c r="I241" s="8"/>
    </row>
    <row r="242" spans="8:9" x14ac:dyDescent="0.35">
      <c r="H242" s="8"/>
      <c r="I242" s="8"/>
    </row>
    <row r="243" spans="8:9" x14ac:dyDescent="0.35">
      <c r="H243" s="8"/>
      <c r="I243" s="8"/>
    </row>
    <row r="244" spans="8:9" x14ac:dyDescent="0.35">
      <c r="H244" s="8"/>
      <c r="I244" s="8"/>
    </row>
    <row r="245" spans="8:9" x14ac:dyDescent="0.35">
      <c r="H245" s="8"/>
      <c r="I245" s="8"/>
    </row>
    <row r="246" spans="8:9" x14ac:dyDescent="0.35">
      <c r="H246" s="8"/>
      <c r="I246" s="8"/>
    </row>
    <row r="247" spans="8:9" x14ac:dyDescent="0.35">
      <c r="H247" s="8"/>
      <c r="I247" s="8"/>
    </row>
    <row r="248" spans="8:9" x14ac:dyDescent="0.35">
      <c r="H248" s="8"/>
      <c r="I248" s="8"/>
    </row>
    <row r="249" spans="8:9" x14ac:dyDescent="0.35">
      <c r="H249" s="8"/>
      <c r="I249" s="8"/>
    </row>
    <row r="250" spans="8:9" x14ac:dyDescent="0.35">
      <c r="H250" s="8"/>
      <c r="I250" s="8"/>
    </row>
    <row r="251" spans="8:9" x14ac:dyDescent="0.35">
      <c r="H251" s="8"/>
      <c r="I251" s="8"/>
    </row>
    <row r="252" spans="8:9" x14ac:dyDescent="0.35">
      <c r="H252" s="8"/>
      <c r="I252" s="8"/>
    </row>
    <row r="253" spans="8:9" x14ac:dyDescent="0.35">
      <c r="H253" s="8"/>
      <c r="I253" s="8"/>
    </row>
    <row r="254" spans="8:9" x14ac:dyDescent="0.35">
      <c r="H254" s="8"/>
      <c r="I254" s="8"/>
    </row>
    <row r="255" spans="8:9" x14ac:dyDescent="0.35">
      <c r="H255" s="8"/>
      <c r="I255" s="8"/>
    </row>
    <row r="256" spans="8:9" x14ac:dyDescent="0.35">
      <c r="H256" s="8"/>
      <c r="I256" s="8"/>
    </row>
    <row r="257" spans="8:9" x14ac:dyDescent="0.35">
      <c r="H257" s="8"/>
      <c r="I257" s="8"/>
    </row>
    <row r="258" spans="8:9" x14ac:dyDescent="0.35">
      <c r="H258" s="8"/>
      <c r="I258" s="8"/>
    </row>
    <row r="259" spans="8:9" x14ac:dyDescent="0.35">
      <c r="H259" s="8"/>
      <c r="I259" s="8"/>
    </row>
    <row r="260" spans="8:9" x14ac:dyDescent="0.35">
      <c r="H260" s="8"/>
      <c r="I260" s="8"/>
    </row>
    <row r="261" spans="8:9" x14ac:dyDescent="0.35">
      <c r="H261" s="8"/>
      <c r="I261" s="8"/>
    </row>
    <row r="262" spans="8:9" x14ac:dyDescent="0.35">
      <c r="H262" s="8"/>
      <c r="I262" s="8"/>
    </row>
    <row r="263" spans="8:9" x14ac:dyDescent="0.35">
      <c r="H263" s="8"/>
      <c r="I263" s="8"/>
    </row>
    <row r="264" spans="8:9" x14ac:dyDescent="0.35">
      <c r="H264" s="8"/>
      <c r="I264" s="8"/>
    </row>
    <row r="265" spans="8:9" x14ac:dyDescent="0.35">
      <c r="H265" s="8"/>
      <c r="I265" s="8"/>
    </row>
    <row r="266" spans="8:9" x14ac:dyDescent="0.35">
      <c r="H266" s="8"/>
      <c r="I266" s="8"/>
    </row>
    <row r="267" spans="8:9" x14ac:dyDescent="0.35">
      <c r="H267" s="8"/>
      <c r="I267" s="8"/>
    </row>
    <row r="268" spans="8:9" x14ac:dyDescent="0.35">
      <c r="H268" s="8"/>
      <c r="I268" s="8"/>
    </row>
    <row r="269" spans="8:9" x14ac:dyDescent="0.35">
      <c r="H269" s="8"/>
      <c r="I269" s="8"/>
    </row>
    <row r="270" spans="8:9" x14ac:dyDescent="0.35">
      <c r="H270" s="8"/>
      <c r="I270" s="8"/>
    </row>
    <row r="271" spans="8:9" x14ac:dyDescent="0.35">
      <c r="H271" s="8"/>
      <c r="I271" s="8"/>
    </row>
    <row r="272" spans="8:9" x14ac:dyDescent="0.35">
      <c r="H272" s="8"/>
      <c r="I272" s="8"/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N218"/>
  <sheetViews>
    <sheetView workbookViewId="0">
      <selection activeCell="K6" sqref="K6"/>
    </sheetView>
  </sheetViews>
  <sheetFormatPr defaultColWidth="9" defaultRowHeight="14.15" x14ac:dyDescent="0.35"/>
  <cols>
    <col min="7" max="7" width="10.85546875" customWidth="1"/>
    <col min="8" max="8" width="13" customWidth="1"/>
  </cols>
  <sheetData>
    <row r="1" spans="1:14" x14ac:dyDescent="0.35">
      <c r="A1" t="s">
        <v>0</v>
      </c>
      <c r="B1" t="s">
        <v>555</v>
      </c>
      <c r="C1" t="s">
        <v>541</v>
      </c>
      <c r="D1" s="6" t="s">
        <v>568</v>
      </c>
      <c r="E1" s="6" t="s">
        <v>566</v>
      </c>
      <c r="F1" s="6" t="s">
        <v>567</v>
      </c>
      <c r="G1" s="6" t="s">
        <v>589</v>
      </c>
      <c r="H1" s="6" t="s">
        <v>590</v>
      </c>
      <c r="I1" s="6" t="s">
        <v>598</v>
      </c>
      <c r="J1" s="6" t="s">
        <v>599</v>
      </c>
      <c r="K1" s="6" t="s">
        <v>614</v>
      </c>
      <c r="L1" s="6" t="s">
        <v>615</v>
      </c>
      <c r="M1" s="6" t="s">
        <v>607</v>
      </c>
      <c r="N1" s="6" t="s">
        <v>595</v>
      </c>
    </row>
    <row r="2" spans="1:14" x14ac:dyDescent="0.35">
      <c r="A2" s="6" t="s">
        <v>565</v>
      </c>
      <c r="B2">
        <v>0</v>
      </c>
      <c r="C2">
        <v>1</v>
      </c>
      <c r="D2" s="6" t="s">
        <v>569</v>
      </c>
      <c r="E2">
        <v>0</v>
      </c>
      <c r="F2">
        <v>0</v>
      </c>
      <c r="G2" s="6">
        <v>0.13327685883936799</v>
      </c>
      <c r="H2" s="6">
        <v>0.16482482301471901</v>
      </c>
      <c r="I2">
        <f t="shared" ref="I2:I13" si="0">G2*10</f>
        <v>1.33276858839368</v>
      </c>
      <c r="J2">
        <f t="shared" ref="J2:J13" si="1">H2*10</f>
        <v>1.6482482301471901</v>
      </c>
      <c r="K2">
        <f t="shared" ref="K2:K13" si="2">I2*0.6917</f>
        <v>0.92187603259190842</v>
      </c>
      <c r="L2">
        <f t="shared" ref="L2:L13" si="3">J2*0.3083</f>
        <v>0.50815492935437878</v>
      </c>
      <c r="M2">
        <f t="shared" ref="M2:M13" si="4">L2+K2</f>
        <v>1.4300309619462872</v>
      </c>
      <c r="N2" s="6">
        <v>1</v>
      </c>
    </row>
    <row r="3" spans="1:14" x14ac:dyDescent="0.35">
      <c r="A3" s="6" t="s">
        <v>565</v>
      </c>
      <c r="B3">
        <v>0</v>
      </c>
      <c r="C3">
        <v>2</v>
      </c>
      <c r="D3" s="6" t="s">
        <v>569</v>
      </c>
      <c r="E3">
        <v>0</v>
      </c>
      <c r="F3">
        <v>0</v>
      </c>
      <c r="G3" s="6">
        <v>0.11860815727745901</v>
      </c>
      <c r="H3" s="6">
        <v>0.12878560235411099</v>
      </c>
      <c r="I3">
        <f t="shared" si="0"/>
        <v>1.1860815727745901</v>
      </c>
      <c r="J3">
        <f t="shared" si="1"/>
        <v>1.2878560235411098</v>
      </c>
      <c r="K3">
        <f t="shared" si="2"/>
        <v>0.82041262388818403</v>
      </c>
      <c r="L3">
        <f t="shared" si="3"/>
        <v>0.39704601205772416</v>
      </c>
      <c r="M3">
        <f t="shared" si="4"/>
        <v>1.2174586359459081</v>
      </c>
      <c r="N3" s="6">
        <v>1</v>
      </c>
    </row>
    <row r="4" spans="1:14" x14ac:dyDescent="0.35">
      <c r="A4" s="6" t="s">
        <v>565</v>
      </c>
      <c r="B4">
        <v>0</v>
      </c>
      <c r="C4">
        <v>3</v>
      </c>
      <c r="D4" s="6" t="s">
        <v>569</v>
      </c>
      <c r="E4">
        <v>0</v>
      </c>
      <c r="F4">
        <v>0</v>
      </c>
      <c r="G4" s="6">
        <v>0.24120254325919599</v>
      </c>
      <c r="H4" s="6">
        <v>0.22787984080003501</v>
      </c>
      <c r="I4">
        <f t="shared" si="0"/>
        <v>2.4120254325919599</v>
      </c>
      <c r="J4">
        <f t="shared" si="1"/>
        <v>2.2787984080003501</v>
      </c>
      <c r="K4">
        <f t="shared" si="2"/>
        <v>1.6683979917238587</v>
      </c>
      <c r="L4">
        <f t="shared" si="3"/>
        <v>0.70255354918650792</v>
      </c>
      <c r="M4">
        <f t="shared" si="4"/>
        <v>2.3709515409103665</v>
      </c>
      <c r="N4" s="6">
        <v>1</v>
      </c>
    </row>
    <row r="5" spans="1:14" x14ac:dyDescent="0.35">
      <c r="A5" s="6" t="s">
        <v>565</v>
      </c>
      <c r="B5">
        <v>400</v>
      </c>
      <c r="C5">
        <v>1</v>
      </c>
      <c r="D5" s="6" t="s">
        <v>569</v>
      </c>
      <c r="E5">
        <v>0</v>
      </c>
      <c r="F5">
        <v>0</v>
      </c>
      <c r="G5" s="6">
        <v>0.64992841902235299</v>
      </c>
      <c r="H5" s="6">
        <v>0.64493981550740298</v>
      </c>
      <c r="I5">
        <f t="shared" si="0"/>
        <v>6.4992841902235297</v>
      </c>
      <c r="J5">
        <f t="shared" si="1"/>
        <v>6.4493981550740296</v>
      </c>
      <c r="K5">
        <f t="shared" si="2"/>
        <v>4.495554874377615</v>
      </c>
      <c r="L5">
        <f t="shared" si="3"/>
        <v>1.9883494512093234</v>
      </c>
      <c r="M5">
        <f t="shared" si="4"/>
        <v>6.4839043255869386</v>
      </c>
      <c r="N5" s="6">
        <v>1</v>
      </c>
    </row>
    <row r="6" spans="1:14" x14ac:dyDescent="0.35">
      <c r="A6" s="6" t="s">
        <v>565</v>
      </c>
      <c r="B6">
        <v>400</v>
      </c>
      <c r="C6">
        <v>2</v>
      </c>
      <c r="D6" s="6" t="s">
        <v>569</v>
      </c>
      <c r="E6">
        <v>0</v>
      </c>
      <c r="F6">
        <v>0</v>
      </c>
      <c r="G6" s="6">
        <v>0.61626654044920304</v>
      </c>
      <c r="H6" s="6">
        <v>0.55883620553543201</v>
      </c>
      <c r="I6">
        <f t="shared" si="0"/>
        <v>6.1626654044920306</v>
      </c>
      <c r="J6">
        <f t="shared" si="1"/>
        <v>5.5883620553543203</v>
      </c>
      <c r="K6">
        <f t="shared" si="2"/>
        <v>4.2627156602871379</v>
      </c>
      <c r="L6">
        <f t="shared" si="3"/>
        <v>1.7228920216657371</v>
      </c>
      <c r="M6">
        <f t="shared" si="4"/>
        <v>5.9856076819528745</v>
      </c>
      <c r="N6" s="6">
        <v>1</v>
      </c>
    </row>
    <row r="7" spans="1:14" x14ac:dyDescent="0.35">
      <c r="A7" s="6" t="s">
        <v>565</v>
      </c>
      <c r="B7">
        <v>400</v>
      </c>
      <c r="C7">
        <v>3</v>
      </c>
      <c r="D7" s="6" t="s">
        <v>569</v>
      </c>
      <c r="E7">
        <v>0</v>
      </c>
      <c r="F7">
        <v>0</v>
      </c>
      <c r="G7" s="6">
        <v>0.58710029026283095</v>
      </c>
      <c r="H7" s="6">
        <v>0.53383925891436002</v>
      </c>
      <c r="I7">
        <f t="shared" si="0"/>
        <v>5.8710029026283097</v>
      </c>
      <c r="J7">
        <f t="shared" si="1"/>
        <v>5.3383925891436004</v>
      </c>
      <c r="K7">
        <f t="shared" si="2"/>
        <v>4.060972707748002</v>
      </c>
      <c r="L7">
        <f t="shared" si="3"/>
        <v>1.6458264352329721</v>
      </c>
      <c r="M7">
        <f t="shared" si="4"/>
        <v>5.7067991429809739</v>
      </c>
      <c r="N7" s="6">
        <v>1</v>
      </c>
    </row>
    <row r="8" spans="1:14" x14ac:dyDescent="0.35">
      <c r="A8" s="6" t="s">
        <v>565</v>
      </c>
      <c r="B8">
        <v>800</v>
      </c>
      <c r="C8">
        <v>1</v>
      </c>
      <c r="D8" s="6" t="s">
        <v>569</v>
      </c>
      <c r="E8">
        <v>0</v>
      </c>
      <c r="F8">
        <v>0</v>
      </c>
      <c r="G8" s="6">
        <v>2.51017210050414</v>
      </c>
      <c r="H8" s="6">
        <v>2.4405867753333599</v>
      </c>
      <c r="I8">
        <f t="shared" si="0"/>
        <v>25.101721005041398</v>
      </c>
      <c r="J8">
        <f t="shared" si="1"/>
        <v>24.405867753333599</v>
      </c>
      <c r="K8">
        <f t="shared" si="2"/>
        <v>17.362860419187136</v>
      </c>
      <c r="L8">
        <f t="shared" si="3"/>
        <v>7.5243290283527493</v>
      </c>
      <c r="M8">
        <f t="shared" si="4"/>
        <v>24.887189447539885</v>
      </c>
      <c r="N8" s="6">
        <v>1</v>
      </c>
    </row>
    <row r="9" spans="1:14" x14ac:dyDescent="0.35">
      <c r="A9" s="6" t="s">
        <v>565</v>
      </c>
      <c r="B9">
        <v>800</v>
      </c>
      <c r="C9">
        <v>2</v>
      </c>
      <c r="D9" s="6" t="s">
        <v>569</v>
      </c>
      <c r="E9">
        <v>0</v>
      </c>
      <c r="F9">
        <v>0</v>
      </c>
      <c r="G9" s="6">
        <v>2.61494401531511</v>
      </c>
      <c r="H9" s="6">
        <v>2.5728021627423101</v>
      </c>
      <c r="I9">
        <f t="shared" si="0"/>
        <v>26.149440153151101</v>
      </c>
      <c r="J9">
        <f t="shared" si="1"/>
        <v>25.7280216274231</v>
      </c>
      <c r="K9">
        <f t="shared" si="2"/>
        <v>18.087567753934618</v>
      </c>
      <c r="L9">
        <f t="shared" si="3"/>
        <v>7.9319490677345419</v>
      </c>
      <c r="M9">
        <f t="shared" si="4"/>
        <v>26.019516821669161</v>
      </c>
      <c r="N9" s="6">
        <v>1</v>
      </c>
    </row>
    <row r="10" spans="1:14" x14ac:dyDescent="0.35">
      <c r="A10" s="6" t="s">
        <v>565</v>
      </c>
      <c r="B10">
        <v>800</v>
      </c>
      <c r="C10">
        <v>3</v>
      </c>
      <c r="D10" s="6" t="s">
        <v>569</v>
      </c>
      <c r="E10">
        <v>0</v>
      </c>
      <c r="F10">
        <v>0</v>
      </c>
      <c r="G10" s="6">
        <v>3.4221352287658999</v>
      </c>
      <c r="H10" s="6">
        <v>3.3325453789092401</v>
      </c>
      <c r="I10">
        <f t="shared" si="0"/>
        <v>34.221352287659002</v>
      </c>
      <c r="J10">
        <f t="shared" si="1"/>
        <v>33.3254537890924</v>
      </c>
      <c r="K10">
        <f t="shared" si="2"/>
        <v>23.670909377373732</v>
      </c>
      <c r="L10">
        <f t="shared" si="3"/>
        <v>10.274237403177187</v>
      </c>
      <c r="M10">
        <f t="shared" si="4"/>
        <v>33.945146780550921</v>
      </c>
      <c r="N10" s="6">
        <v>1</v>
      </c>
    </row>
    <row r="11" spans="1:14" x14ac:dyDescent="0.35">
      <c r="A11" s="6" t="s">
        <v>565</v>
      </c>
      <c r="B11">
        <v>1200</v>
      </c>
      <c r="C11">
        <v>1</v>
      </c>
      <c r="D11" s="6" t="s">
        <v>569</v>
      </c>
      <c r="E11">
        <v>0</v>
      </c>
      <c r="F11">
        <v>0</v>
      </c>
      <c r="G11" s="6">
        <v>43.072828015670403</v>
      </c>
      <c r="H11" s="6">
        <v>42.684069496971503</v>
      </c>
      <c r="I11">
        <f t="shared" si="0"/>
        <v>430.72828015670405</v>
      </c>
      <c r="J11">
        <f t="shared" si="1"/>
        <v>426.84069496971506</v>
      </c>
      <c r="K11">
        <f t="shared" si="2"/>
        <v>297.9347513843922</v>
      </c>
      <c r="L11">
        <f t="shared" si="3"/>
        <v>131.59498625916316</v>
      </c>
      <c r="M11">
        <f t="shared" si="4"/>
        <v>429.52973764355534</v>
      </c>
      <c r="N11" s="6">
        <v>1</v>
      </c>
    </row>
    <row r="12" spans="1:14" x14ac:dyDescent="0.35">
      <c r="A12" s="6" t="s">
        <v>565</v>
      </c>
      <c r="B12">
        <v>1200</v>
      </c>
      <c r="C12">
        <v>2</v>
      </c>
      <c r="D12" s="6" t="s">
        <v>569</v>
      </c>
      <c r="E12">
        <v>0</v>
      </c>
      <c r="F12">
        <v>0</v>
      </c>
      <c r="G12" s="6">
        <v>39.0951310138746</v>
      </c>
      <c r="H12" s="6">
        <v>38.859758714446698</v>
      </c>
      <c r="I12">
        <f t="shared" si="0"/>
        <v>390.95131013874601</v>
      </c>
      <c r="J12">
        <f t="shared" si="1"/>
        <v>388.59758714446696</v>
      </c>
      <c r="K12">
        <f t="shared" si="2"/>
        <v>270.42102122297058</v>
      </c>
      <c r="L12">
        <f t="shared" si="3"/>
        <v>119.80463611663917</v>
      </c>
      <c r="M12">
        <f t="shared" si="4"/>
        <v>390.22565733960977</v>
      </c>
      <c r="N12" s="6">
        <v>1</v>
      </c>
    </row>
    <row r="13" spans="1:14" x14ac:dyDescent="0.35">
      <c r="A13" s="6" t="s">
        <v>565</v>
      </c>
      <c r="B13">
        <v>1200</v>
      </c>
      <c r="C13">
        <v>3</v>
      </c>
      <c r="D13" s="6" t="s">
        <v>569</v>
      </c>
      <c r="E13">
        <v>0</v>
      </c>
      <c r="F13">
        <v>0</v>
      </c>
      <c r="G13" s="6">
        <v>35.667306376158301</v>
      </c>
      <c r="H13" s="6">
        <v>35.386277611759098</v>
      </c>
      <c r="I13">
        <f t="shared" si="0"/>
        <v>356.67306376158302</v>
      </c>
      <c r="J13">
        <f t="shared" si="1"/>
        <v>353.86277611759101</v>
      </c>
      <c r="K13">
        <f t="shared" si="2"/>
        <v>246.71075820388697</v>
      </c>
      <c r="L13">
        <f t="shared" si="3"/>
        <v>109.09589387705331</v>
      </c>
      <c r="M13">
        <f t="shared" si="4"/>
        <v>355.8066520809403</v>
      </c>
      <c r="N13" s="6">
        <v>1</v>
      </c>
    </row>
    <row r="14" spans="1:14" x14ac:dyDescent="0.35">
      <c r="A14" s="6" t="s">
        <v>565</v>
      </c>
      <c r="B14">
        <v>0</v>
      </c>
      <c r="C14">
        <v>1</v>
      </c>
      <c r="D14" s="6" t="s">
        <v>569</v>
      </c>
      <c r="E14">
        <f>F14*24</f>
        <v>24</v>
      </c>
      <c r="F14">
        <v>1</v>
      </c>
      <c r="G14">
        <v>0.139141955028491</v>
      </c>
      <c r="H14">
        <v>0.105904435564215</v>
      </c>
      <c r="I14">
        <f>G14*10</f>
        <v>1.39141955028491</v>
      </c>
      <c r="J14">
        <f>H14*10</f>
        <v>1.05904435564215</v>
      </c>
      <c r="K14">
        <f>I14*0.6917</f>
        <v>0.9624449029320723</v>
      </c>
      <c r="L14">
        <f>J14*0.3083</f>
        <v>0.32650337484447489</v>
      </c>
      <c r="M14">
        <f>L14+K14</f>
        <v>1.2889482777765471</v>
      </c>
      <c r="N14">
        <v>1</v>
      </c>
    </row>
    <row r="15" spans="1:14" x14ac:dyDescent="0.35">
      <c r="A15" s="6" t="s">
        <v>565</v>
      </c>
      <c r="B15">
        <v>0</v>
      </c>
      <c r="C15">
        <v>2</v>
      </c>
      <c r="D15" s="6" t="s">
        <v>569</v>
      </c>
      <c r="E15">
        <f>F15*24</f>
        <v>24</v>
      </c>
      <c r="F15">
        <v>1</v>
      </c>
      <c r="G15">
        <v>0.173665643991437</v>
      </c>
      <c r="H15">
        <v>0.12483935111993499</v>
      </c>
      <c r="I15">
        <f t="shared" ref="I15:I30" si="5">G15*10</f>
        <v>1.73665643991437</v>
      </c>
      <c r="J15">
        <f t="shared" ref="J15:J30" si="6">H15*10</f>
        <v>1.24839351119935</v>
      </c>
      <c r="K15">
        <f t="shared" ref="K15:K37" si="7">I15*0.6917</f>
        <v>1.2012452594887697</v>
      </c>
      <c r="L15">
        <f t="shared" ref="L15:L37" si="8">J15*0.3083</f>
        <v>0.38487971950275962</v>
      </c>
      <c r="M15">
        <f t="shared" ref="M15:M78" si="9">L15+K15</f>
        <v>1.5861249789915293</v>
      </c>
      <c r="N15">
        <v>1</v>
      </c>
    </row>
    <row r="16" spans="1:14" x14ac:dyDescent="0.35">
      <c r="A16" s="6" t="s">
        <v>565</v>
      </c>
      <c r="B16">
        <v>0</v>
      </c>
      <c r="C16">
        <v>3</v>
      </c>
      <c r="D16" s="6" t="s">
        <v>569</v>
      </c>
      <c r="E16">
        <f t="shared" ref="E16:E37" si="10">F16*24</f>
        <v>24</v>
      </c>
      <c r="F16">
        <v>1</v>
      </c>
      <c r="G16">
        <v>0.27397829653998401</v>
      </c>
      <c r="H16">
        <v>0.211368303304387</v>
      </c>
      <c r="I16">
        <f t="shared" si="5"/>
        <v>2.73978296539984</v>
      </c>
      <c r="J16">
        <f t="shared" si="6"/>
        <v>2.1136830330438698</v>
      </c>
      <c r="K16">
        <f t="shared" si="7"/>
        <v>1.8951078771670693</v>
      </c>
      <c r="L16">
        <f t="shared" si="8"/>
        <v>0.65164847908742507</v>
      </c>
      <c r="M16">
        <f t="shared" si="9"/>
        <v>2.5467563562544946</v>
      </c>
      <c r="N16">
        <v>1</v>
      </c>
    </row>
    <row r="17" spans="1:14" x14ac:dyDescent="0.35">
      <c r="A17" s="6" t="s">
        <v>565</v>
      </c>
      <c r="B17">
        <v>0</v>
      </c>
      <c r="C17">
        <v>1</v>
      </c>
      <c r="D17" s="6" t="s">
        <v>570</v>
      </c>
      <c r="E17">
        <f t="shared" si="10"/>
        <v>24</v>
      </c>
      <c r="F17">
        <v>1</v>
      </c>
      <c r="G17">
        <v>0.17400120428427701</v>
      </c>
      <c r="H17">
        <v>0.10406141179318799</v>
      </c>
      <c r="I17">
        <f t="shared" si="5"/>
        <v>1.7400120428427701</v>
      </c>
      <c r="J17">
        <f t="shared" si="6"/>
        <v>1.04061411793188</v>
      </c>
      <c r="K17">
        <f t="shared" si="7"/>
        <v>1.203566330034344</v>
      </c>
      <c r="L17">
        <f t="shared" si="8"/>
        <v>0.32082133255839862</v>
      </c>
      <c r="M17">
        <f t="shared" si="9"/>
        <v>1.5243876625927426</v>
      </c>
      <c r="N17">
        <v>1</v>
      </c>
    </row>
    <row r="18" spans="1:14" x14ac:dyDescent="0.35">
      <c r="A18" s="6" t="s">
        <v>565</v>
      </c>
      <c r="B18">
        <v>0</v>
      </c>
      <c r="C18">
        <v>2</v>
      </c>
      <c r="D18" s="6" t="s">
        <v>570</v>
      </c>
      <c r="E18">
        <f t="shared" si="10"/>
        <v>24</v>
      </c>
      <c r="F18">
        <v>1</v>
      </c>
      <c r="G18">
        <v>0.13973396410665101</v>
      </c>
      <c r="H18">
        <v>7.0460548635488798E-2</v>
      </c>
      <c r="I18">
        <f t="shared" si="5"/>
        <v>1.3973396410665102</v>
      </c>
      <c r="J18">
        <f t="shared" si="6"/>
        <v>0.70460548635488796</v>
      </c>
      <c r="K18">
        <f t="shared" si="7"/>
        <v>0.96653982972570507</v>
      </c>
      <c r="L18">
        <f t="shared" si="8"/>
        <v>0.21722987144321196</v>
      </c>
      <c r="M18">
        <f t="shared" si="9"/>
        <v>1.183769701168917</v>
      </c>
      <c r="N18">
        <v>1</v>
      </c>
    </row>
    <row r="19" spans="1:14" x14ac:dyDescent="0.35">
      <c r="A19" s="6" t="s">
        <v>565</v>
      </c>
      <c r="B19">
        <v>0</v>
      </c>
      <c r="C19">
        <v>3</v>
      </c>
      <c r="D19" s="6" t="s">
        <v>570</v>
      </c>
      <c r="E19">
        <f t="shared" si="10"/>
        <v>24</v>
      </c>
      <c r="F19">
        <v>1</v>
      </c>
      <c r="G19">
        <v>0.19303761339002401</v>
      </c>
      <c r="H19">
        <v>0.126967554399389</v>
      </c>
      <c r="I19">
        <f t="shared" si="5"/>
        <v>1.9303761339002401</v>
      </c>
      <c r="J19">
        <f t="shared" si="6"/>
        <v>1.26967554399389</v>
      </c>
      <c r="K19">
        <f t="shared" si="7"/>
        <v>1.335241171818796</v>
      </c>
      <c r="L19">
        <f t="shared" si="8"/>
        <v>0.39144097021331631</v>
      </c>
      <c r="M19">
        <f t="shared" si="9"/>
        <v>1.7266821420321123</v>
      </c>
      <c r="N19">
        <v>1</v>
      </c>
    </row>
    <row r="20" spans="1:14" x14ac:dyDescent="0.35">
      <c r="A20" s="6" t="s">
        <v>565</v>
      </c>
      <c r="B20">
        <v>400</v>
      </c>
      <c r="C20">
        <v>1</v>
      </c>
      <c r="D20" s="6" t="s">
        <v>569</v>
      </c>
      <c r="E20">
        <f t="shared" si="10"/>
        <v>24</v>
      </c>
      <c r="F20">
        <v>1</v>
      </c>
      <c r="G20">
        <v>0.74843515890817602</v>
      </c>
      <c r="H20">
        <v>0.71351558300786</v>
      </c>
      <c r="I20">
        <f t="shared" si="5"/>
        <v>7.4843515890817605</v>
      </c>
      <c r="J20">
        <f t="shared" si="6"/>
        <v>7.1351558300785998</v>
      </c>
      <c r="K20">
        <f t="shared" si="7"/>
        <v>5.1769259941678536</v>
      </c>
      <c r="L20">
        <f t="shared" si="8"/>
        <v>2.1997685424132323</v>
      </c>
      <c r="M20">
        <f t="shared" si="9"/>
        <v>7.3766945365810859</v>
      </c>
      <c r="N20">
        <v>1</v>
      </c>
    </row>
    <row r="21" spans="1:14" x14ac:dyDescent="0.35">
      <c r="A21" s="6" t="s">
        <v>565</v>
      </c>
      <c r="B21">
        <v>400</v>
      </c>
      <c r="C21">
        <v>2</v>
      </c>
      <c r="D21" s="6" t="s">
        <v>569</v>
      </c>
      <c r="E21">
        <f t="shared" si="10"/>
        <v>24</v>
      </c>
      <c r="F21">
        <v>1</v>
      </c>
      <c r="G21">
        <v>0.86889117504329905</v>
      </c>
      <c r="H21">
        <v>0.79845881697367305</v>
      </c>
      <c r="I21">
        <f t="shared" si="5"/>
        <v>8.6889117504329896</v>
      </c>
      <c r="J21">
        <f t="shared" si="6"/>
        <v>7.98458816973673</v>
      </c>
      <c r="K21">
        <f t="shared" si="7"/>
        <v>6.0101202577744983</v>
      </c>
      <c r="L21">
        <f t="shared" si="8"/>
        <v>2.4616485327298339</v>
      </c>
      <c r="M21">
        <f t="shared" si="9"/>
        <v>8.4717687905043313</v>
      </c>
      <c r="N21">
        <v>1</v>
      </c>
    </row>
    <row r="22" spans="1:14" x14ac:dyDescent="0.35">
      <c r="A22" s="6" t="s">
        <v>565</v>
      </c>
      <c r="B22">
        <v>400</v>
      </c>
      <c r="C22">
        <v>3</v>
      </c>
      <c r="D22" s="6" t="s">
        <v>569</v>
      </c>
      <c r="E22">
        <f t="shared" si="10"/>
        <v>24</v>
      </c>
      <c r="F22">
        <v>1</v>
      </c>
      <c r="G22">
        <v>0.79980514126230495</v>
      </c>
      <c r="H22">
        <v>0.74852310981293502</v>
      </c>
      <c r="I22">
        <f t="shared" si="5"/>
        <v>7.9980514126230497</v>
      </c>
      <c r="J22">
        <f t="shared" si="6"/>
        <v>7.4852310981293506</v>
      </c>
      <c r="K22">
        <f t="shared" si="7"/>
        <v>5.5322521621113632</v>
      </c>
      <c r="L22">
        <f t="shared" si="8"/>
        <v>2.3076967475532788</v>
      </c>
      <c r="M22">
        <f t="shared" si="9"/>
        <v>7.839948909664642</v>
      </c>
      <c r="N22">
        <v>1</v>
      </c>
    </row>
    <row r="23" spans="1:14" x14ac:dyDescent="0.35">
      <c r="A23" s="6" t="s">
        <v>565</v>
      </c>
      <c r="B23">
        <v>400</v>
      </c>
      <c r="C23">
        <v>1</v>
      </c>
      <c r="D23" s="6" t="s">
        <v>570</v>
      </c>
      <c r="E23">
        <f t="shared" si="10"/>
        <v>24</v>
      </c>
      <c r="F23">
        <v>1</v>
      </c>
      <c r="G23">
        <v>0.4130222224972</v>
      </c>
      <c r="H23">
        <v>0.30837852971326102</v>
      </c>
      <c r="I23">
        <f t="shared" si="5"/>
        <v>4.130222224972</v>
      </c>
      <c r="J23">
        <f t="shared" si="6"/>
        <v>3.0837852971326103</v>
      </c>
      <c r="K23">
        <f t="shared" si="7"/>
        <v>2.8568747130131324</v>
      </c>
      <c r="L23">
        <f t="shared" si="8"/>
        <v>0.95073100710598379</v>
      </c>
      <c r="M23">
        <f t="shared" si="9"/>
        <v>3.807605720119116</v>
      </c>
      <c r="N23">
        <v>1</v>
      </c>
    </row>
    <row r="24" spans="1:14" x14ac:dyDescent="0.35">
      <c r="A24" s="6" t="s">
        <v>565</v>
      </c>
      <c r="B24">
        <v>400</v>
      </c>
      <c r="C24">
        <v>2</v>
      </c>
      <c r="D24" s="6" t="s">
        <v>570</v>
      </c>
      <c r="E24">
        <f t="shared" si="10"/>
        <v>24</v>
      </c>
      <c r="F24">
        <v>1</v>
      </c>
      <c r="G24">
        <v>0.61408177587520996</v>
      </c>
      <c r="H24">
        <v>0.50652457386925298</v>
      </c>
      <c r="I24">
        <f t="shared" si="5"/>
        <v>6.1408177587520996</v>
      </c>
      <c r="J24">
        <f t="shared" si="6"/>
        <v>5.0652457386925303</v>
      </c>
      <c r="K24">
        <f t="shared" si="7"/>
        <v>4.2476036437288274</v>
      </c>
      <c r="L24">
        <f t="shared" si="8"/>
        <v>1.5616152612389071</v>
      </c>
      <c r="M24">
        <f t="shared" si="9"/>
        <v>5.8092189049677341</v>
      </c>
      <c r="N24">
        <v>1</v>
      </c>
    </row>
    <row r="25" spans="1:14" x14ac:dyDescent="0.35">
      <c r="A25" s="6" t="s">
        <v>565</v>
      </c>
      <c r="B25">
        <v>400</v>
      </c>
      <c r="C25">
        <v>3</v>
      </c>
      <c r="D25" s="6" t="s">
        <v>570</v>
      </c>
      <c r="E25">
        <f t="shared" si="10"/>
        <v>24</v>
      </c>
      <c r="F25">
        <v>1</v>
      </c>
      <c r="G25">
        <v>0.60672954268342705</v>
      </c>
      <c r="H25">
        <v>0.50488341380287105</v>
      </c>
      <c r="I25">
        <f t="shared" si="5"/>
        <v>6.0672954268342707</v>
      </c>
      <c r="J25">
        <f t="shared" si="6"/>
        <v>5.0488341380287105</v>
      </c>
      <c r="K25">
        <f t="shared" si="7"/>
        <v>4.1967482467412651</v>
      </c>
      <c r="L25">
        <f t="shared" si="8"/>
        <v>1.5565555647542515</v>
      </c>
      <c r="M25">
        <f t="shared" si="9"/>
        <v>5.7533038114955168</v>
      </c>
      <c r="N25">
        <v>1</v>
      </c>
    </row>
    <row r="26" spans="1:14" x14ac:dyDescent="0.35">
      <c r="A26" s="6" t="s">
        <v>565</v>
      </c>
      <c r="B26">
        <v>800</v>
      </c>
      <c r="C26">
        <v>1</v>
      </c>
      <c r="D26" s="6" t="s">
        <v>569</v>
      </c>
      <c r="E26">
        <f t="shared" si="10"/>
        <v>24</v>
      </c>
      <c r="F26">
        <v>1</v>
      </c>
      <c r="G26">
        <v>2.9557963384175201</v>
      </c>
      <c r="H26">
        <v>2.8976742681245602</v>
      </c>
      <c r="I26">
        <f t="shared" si="5"/>
        <v>29.557963384175203</v>
      </c>
      <c r="J26">
        <f t="shared" si="6"/>
        <v>28.976742681245604</v>
      </c>
      <c r="K26">
        <f t="shared" si="7"/>
        <v>20.445243272833988</v>
      </c>
      <c r="L26">
        <f t="shared" si="8"/>
        <v>8.93352976862802</v>
      </c>
      <c r="M26">
        <f t="shared" si="9"/>
        <v>29.378773041462008</v>
      </c>
      <c r="N26">
        <v>1</v>
      </c>
    </row>
    <row r="27" spans="1:14" x14ac:dyDescent="0.35">
      <c r="A27" s="6" t="s">
        <v>565</v>
      </c>
      <c r="B27">
        <v>800</v>
      </c>
      <c r="C27">
        <v>2</v>
      </c>
      <c r="D27" s="6" t="s">
        <v>569</v>
      </c>
      <c r="E27">
        <f t="shared" si="10"/>
        <v>24</v>
      </c>
      <c r="F27">
        <v>1</v>
      </c>
      <c r="G27">
        <v>3.05978327209495</v>
      </c>
      <c r="H27">
        <v>2.9743210918012801</v>
      </c>
      <c r="I27">
        <f t="shared" si="5"/>
        <v>30.597832720949501</v>
      </c>
      <c r="J27">
        <f t="shared" si="6"/>
        <v>29.743210918012799</v>
      </c>
      <c r="K27">
        <f t="shared" si="7"/>
        <v>21.16452089308077</v>
      </c>
      <c r="L27">
        <f t="shared" si="8"/>
        <v>9.1698319260233472</v>
      </c>
      <c r="M27">
        <f t="shared" si="9"/>
        <v>30.334352819104119</v>
      </c>
      <c r="N27">
        <v>1</v>
      </c>
    </row>
    <row r="28" spans="1:14" x14ac:dyDescent="0.35">
      <c r="A28" s="6" t="s">
        <v>565</v>
      </c>
      <c r="B28">
        <v>800</v>
      </c>
      <c r="C28">
        <v>3</v>
      </c>
      <c r="D28" s="6" t="s">
        <v>569</v>
      </c>
      <c r="E28">
        <f t="shared" si="10"/>
        <v>24</v>
      </c>
      <c r="F28">
        <v>1</v>
      </c>
      <c r="G28">
        <v>4.0642027659218902</v>
      </c>
      <c r="H28">
        <v>3.8733362008661301</v>
      </c>
      <c r="I28">
        <f t="shared" si="5"/>
        <v>40.642027659218904</v>
      </c>
      <c r="J28">
        <f t="shared" si="6"/>
        <v>38.733362008661302</v>
      </c>
      <c r="K28">
        <f t="shared" si="7"/>
        <v>28.112090531881716</v>
      </c>
      <c r="L28">
        <f t="shared" si="8"/>
        <v>11.941495507270281</v>
      </c>
      <c r="M28">
        <f t="shared" si="9"/>
        <v>40.053586039151995</v>
      </c>
      <c r="N28">
        <v>1</v>
      </c>
    </row>
    <row r="29" spans="1:14" x14ac:dyDescent="0.35">
      <c r="A29" s="6" t="s">
        <v>565</v>
      </c>
      <c r="B29">
        <v>800</v>
      </c>
      <c r="C29">
        <v>1</v>
      </c>
      <c r="D29" s="6" t="s">
        <v>570</v>
      </c>
      <c r="E29">
        <f t="shared" si="10"/>
        <v>24</v>
      </c>
      <c r="F29">
        <v>1</v>
      </c>
      <c r="G29">
        <v>1.37792802195426</v>
      </c>
      <c r="H29">
        <v>1.24563152545927</v>
      </c>
      <c r="I29">
        <f t="shared" si="5"/>
        <v>13.779280219542599</v>
      </c>
      <c r="J29">
        <f t="shared" si="6"/>
        <v>12.456315254592701</v>
      </c>
      <c r="K29">
        <f t="shared" si="7"/>
        <v>9.531128127857615</v>
      </c>
      <c r="L29">
        <f t="shared" si="8"/>
        <v>3.84028199299093</v>
      </c>
      <c r="M29">
        <f t="shared" si="9"/>
        <v>13.371410120848545</v>
      </c>
      <c r="N29">
        <v>1</v>
      </c>
    </row>
    <row r="30" spans="1:14" ht="13.75" customHeight="1" x14ac:dyDescent="0.35">
      <c r="A30" s="6" t="s">
        <v>565</v>
      </c>
      <c r="B30">
        <v>800</v>
      </c>
      <c r="C30">
        <v>2</v>
      </c>
      <c r="D30" s="6" t="s">
        <v>570</v>
      </c>
      <c r="E30">
        <f t="shared" si="10"/>
        <v>24</v>
      </c>
      <c r="F30">
        <v>1</v>
      </c>
      <c r="G30">
        <v>1.27910810380147</v>
      </c>
      <c r="H30">
        <v>1.16737687498161</v>
      </c>
      <c r="I30">
        <f t="shared" si="5"/>
        <v>12.791081038014699</v>
      </c>
      <c r="J30">
        <f t="shared" si="6"/>
        <v>11.6737687498161</v>
      </c>
      <c r="K30">
        <f t="shared" si="7"/>
        <v>8.8475907539947674</v>
      </c>
      <c r="L30">
        <f t="shared" si="8"/>
        <v>3.5990229055683036</v>
      </c>
      <c r="M30">
        <f t="shared" si="9"/>
        <v>12.44661365956307</v>
      </c>
      <c r="N30">
        <v>1</v>
      </c>
    </row>
    <row r="31" spans="1:14" ht="13.75" customHeight="1" x14ac:dyDescent="0.35">
      <c r="A31" s="6" t="s">
        <v>565</v>
      </c>
      <c r="B31">
        <v>800</v>
      </c>
      <c r="C31">
        <v>3</v>
      </c>
      <c r="D31" s="6" t="s">
        <v>570</v>
      </c>
      <c r="E31">
        <f t="shared" si="10"/>
        <v>24</v>
      </c>
      <c r="F31">
        <v>1</v>
      </c>
      <c r="G31">
        <v>1.6581913698133199</v>
      </c>
      <c r="H31">
        <v>1.53942156914493</v>
      </c>
      <c r="I31">
        <f>G31*10</f>
        <v>16.581913698133199</v>
      </c>
      <c r="J31">
        <f>H31*10</f>
        <v>15.3942156914493</v>
      </c>
      <c r="K31">
        <f t="shared" si="7"/>
        <v>11.469709704998733</v>
      </c>
      <c r="L31">
        <f t="shared" si="8"/>
        <v>4.7460366976738193</v>
      </c>
      <c r="M31">
        <f t="shared" si="9"/>
        <v>16.215746402672551</v>
      </c>
      <c r="N31">
        <v>1</v>
      </c>
    </row>
    <row r="32" spans="1:14" x14ac:dyDescent="0.35">
      <c r="A32" s="6" t="s">
        <v>565</v>
      </c>
      <c r="B32">
        <v>1200</v>
      </c>
      <c r="C32">
        <v>1</v>
      </c>
      <c r="D32" s="6" t="s">
        <v>569</v>
      </c>
      <c r="E32">
        <f t="shared" si="10"/>
        <v>24</v>
      </c>
      <c r="F32">
        <v>1</v>
      </c>
      <c r="G32">
        <v>39.325500976234601</v>
      </c>
      <c r="H32">
        <v>39.1127149587752</v>
      </c>
      <c r="I32">
        <f t="shared" ref="I32:I55" si="11">G32*10</f>
        <v>393.25500976234599</v>
      </c>
      <c r="J32">
        <f t="shared" ref="J32:J55" si="12">H32*10</f>
        <v>391.127149587752</v>
      </c>
      <c r="K32">
        <f t="shared" si="7"/>
        <v>272.01449025261473</v>
      </c>
      <c r="L32">
        <f t="shared" si="8"/>
        <v>120.58450021790395</v>
      </c>
      <c r="M32">
        <f t="shared" si="9"/>
        <v>392.59899047051869</v>
      </c>
      <c r="N32">
        <v>1</v>
      </c>
    </row>
    <row r="33" spans="1:14" x14ac:dyDescent="0.35">
      <c r="A33" s="6" t="s">
        <v>565</v>
      </c>
      <c r="B33">
        <v>1200</v>
      </c>
      <c r="C33">
        <v>2</v>
      </c>
      <c r="D33" s="6" t="s">
        <v>569</v>
      </c>
      <c r="E33">
        <f t="shared" si="10"/>
        <v>24</v>
      </c>
      <c r="F33">
        <v>1</v>
      </c>
      <c r="G33">
        <v>35.661663946768698</v>
      </c>
      <c r="H33">
        <v>35.296591575828998</v>
      </c>
      <c r="I33">
        <f t="shared" si="11"/>
        <v>356.61663946768698</v>
      </c>
      <c r="J33">
        <f t="shared" si="12"/>
        <v>352.96591575828995</v>
      </c>
      <c r="K33">
        <f t="shared" si="7"/>
        <v>246.67172951979907</v>
      </c>
      <c r="L33">
        <f t="shared" si="8"/>
        <v>108.8193918282808</v>
      </c>
      <c r="M33">
        <f t="shared" si="9"/>
        <v>355.4911213480799</v>
      </c>
      <c r="N33">
        <v>1</v>
      </c>
    </row>
    <row r="34" spans="1:14" x14ac:dyDescent="0.35">
      <c r="A34" s="6" t="s">
        <v>565</v>
      </c>
      <c r="B34">
        <v>1200</v>
      </c>
      <c r="C34">
        <v>3</v>
      </c>
      <c r="D34" s="6" t="s">
        <v>569</v>
      </c>
      <c r="E34">
        <f t="shared" si="10"/>
        <v>24</v>
      </c>
      <c r="F34">
        <v>1</v>
      </c>
      <c r="G34">
        <v>31.013137787959401</v>
      </c>
      <c r="H34">
        <v>30.704477711791601</v>
      </c>
      <c r="I34">
        <f t="shared" si="11"/>
        <v>310.13137787959403</v>
      </c>
      <c r="J34">
        <f t="shared" si="12"/>
        <v>307.044777117916</v>
      </c>
      <c r="K34">
        <f t="shared" si="7"/>
        <v>214.51787407931519</v>
      </c>
      <c r="L34">
        <f t="shared" si="8"/>
        <v>94.661904785453501</v>
      </c>
      <c r="M34">
        <f t="shared" si="9"/>
        <v>309.17977886476871</v>
      </c>
      <c r="N34">
        <v>1</v>
      </c>
    </row>
    <row r="35" spans="1:14" x14ac:dyDescent="0.35">
      <c r="A35" s="6" t="s">
        <v>565</v>
      </c>
      <c r="B35">
        <v>1200</v>
      </c>
      <c r="C35">
        <v>1</v>
      </c>
      <c r="D35" s="6" t="s">
        <v>570</v>
      </c>
      <c r="E35">
        <f t="shared" si="10"/>
        <v>24</v>
      </c>
      <c r="F35">
        <v>1</v>
      </c>
      <c r="G35">
        <v>11.897437887352501</v>
      </c>
      <c r="H35">
        <v>11.779753131001099</v>
      </c>
      <c r="I35">
        <f t="shared" si="11"/>
        <v>118.97437887352501</v>
      </c>
      <c r="J35">
        <f t="shared" si="12"/>
        <v>117.797531310011</v>
      </c>
      <c r="K35">
        <f t="shared" si="7"/>
        <v>82.294577866817249</v>
      </c>
      <c r="L35">
        <f t="shared" si="8"/>
        <v>36.316978902876393</v>
      </c>
      <c r="M35">
        <f t="shared" si="9"/>
        <v>118.61155676969364</v>
      </c>
      <c r="N35">
        <v>1</v>
      </c>
    </row>
    <row r="36" spans="1:14" x14ac:dyDescent="0.35">
      <c r="A36" s="6" t="s">
        <v>565</v>
      </c>
      <c r="B36">
        <v>1200</v>
      </c>
      <c r="C36">
        <v>2</v>
      </c>
      <c r="D36" s="6" t="s">
        <v>570</v>
      </c>
      <c r="E36">
        <f t="shared" si="10"/>
        <v>24</v>
      </c>
      <c r="F36">
        <v>1</v>
      </c>
      <c r="G36">
        <v>14.414809533220801</v>
      </c>
      <c r="H36">
        <v>14.210514638099699</v>
      </c>
      <c r="I36">
        <f t="shared" si="11"/>
        <v>144.14809533220802</v>
      </c>
      <c r="J36">
        <f t="shared" si="12"/>
        <v>142.10514638099698</v>
      </c>
      <c r="K36">
        <f t="shared" si="7"/>
        <v>99.707237541288279</v>
      </c>
      <c r="L36">
        <f t="shared" si="8"/>
        <v>43.811016629261374</v>
      </c>
      <c r="M36">
        <f t="shared" si="9"/>
        <v>143.51825417054965</v>
      </c>
      <c r="N36">
        <v>1</v>
      </c>
    </row>
    <row r="37" spans="1:14" x14ac:dyDescent="0.35">
      <c r="A37" s="6" t="s">
        <v>565</v>
      </c>
      <c r="B37">
        <v>1200</v>
      </c>
      <c r="C37">
        <v>3</v>
      </c>
      <c r="D37" s="6" t="s">
        <v>570</v>
      </c>
      <c r="E37">
        <f t="shared" si="10"/>
        <v>24</v>
      </c>
      <c r="F37">
        <v>1</v>
      </c>
      <c r="G37">
        <v>13.729315482929</v>
      </c>
      <c r="H37">
        <v>13.601849289492799</v>
      </c>
      <c r="I37">
        <f t="shared" si="11"/>
        <v>137.29315482928999</v>
      </c>
      <c r="J37">
        <f t="shared" si="12"/>
        <v>136.01849289492799</v>
      </c>
      <c r="K37">
        <f t="shared" si="7"/>
        <v>94.965675195419877</v>
      </c>
      <c r="L37">
        <f t="shared" si="8"/>
        <v>41.934501359506299</v>
      </c>
      <c r="M37">
        <f t="shared" si="9"/>
        <v>136.90017655492619</v>
      </c>
      <c r="N37">
        <v>1</v>
      </c>
    </row>
    <row r="38" spans="1:14" x14ac:dyDescent="0.35">
      <c r="A38" s="6" t="s">
        <v>565</v>
      </c>
      <c r="B38">
        <v>0</v>
      </c>
      <c r="C38">
        <v>1</v>
      </c>
      <c r="D38" s="6" t="s">
        <v>569</v>
      </c>
      <c r="E38">
        <f>F38*24</f>
        <v>48</v>
      </c>
      <c r="F38">
        <v>2</v>
      </c>
      <c r="G38">
        <v>0.187561532620764</v>
      </c>
      <c r="H38">
        <v>0.116914907790569</v>
      </c>
      <c r="I38">
        <f t="shared" si="11"/>
        <v>1.87561532620764</v>
      </c>
      <c r="J38">
        <f t="shared" si="12"/>
        <v>1.1691490779056899</v>
      </c>
      <c r="K38">
        <f t="shared" ref="K38:K101" si="13">I38*0.6917</f>
        <v>1.2973631211378245</v>
      </c>
      <c r="L38">
        <f t="shared" ref="L38:L101" si="14">J38*0.3083</f>
        <v>0.36044866071832421</v>
      </c>
      <c r="M38">
        <f t="shared" si="9"/>
        <v>1.6578117818561486</v>
      </c>
      <c r="N38">
        <v>1</v>
      </c>
    </row>
    <row r="39" spans="1:14" x14ac:dyDescent="0.35">
      <c r="A39" s="6" t="s">
        <v>565</v>
      </c>
      <c r="B39">
        <v>0</v>
      </c>
      <c r="C39">
        <v>2</v>
      </c>
      <c r="D39" s="6" t="s">
        <v>569</v>
      </c>
      <c r="E39">
        <f>F39*24</f>
        <v>48</v>
      </c>
      <c r="F39">
        <v>2</v>
      </c>
      <c r="G39">
        <v>0.16132202433718801</v>
      </c>
      <c r="H39">
        <v>8.2894414771264593E-2</v>
      </c>
      <c r="I39">
        <f t="shared" si="11"/>
        <v>1.6132202433718801</v>
      </c>
      <c r="J39">
        <f t="shared" si="12"/>
        <v>0.82894414771264591</v>
      </c>
      <c r="K39">
        <f t="shared" si="13"/>
        <v>1.1158644423403294</v>
      </c>
      <c r="L39">
        <f t="shared" si="14"/>
        <v>0.25556348073980872</v>
      </c>
      <c r="M39">
        <f t="shared" si="9"/>
        <v>1.3714279230801383</v>
      </c>
      <c r="N39">
        <v>1</v>
      </c>
    </row>
    <row r="40" spans="1:14" x14ac:dyDescent="0.35">
      <c r="A40" s="6" t="s">
        <v>565</v>
      </c>
      <c r="B40">
        <v>0</v>
      </c>
      <c r="C40">
        <v>3</v>
      </c>
      <c r="D40" s="6" t="s">
        <v>569</v>
      </c>
      <c r="E40">
        <f t="shared" ref="E40:E61" si="15">F40*24</f>
        <v>48</v>
      </c>
      <c r="F40">
        <v>2</v>
      </c>
      <c r="G40">
        <v>0.30300060383421601</v>
      </c>
      <c r="H40">
        <v>0.20903473766302</v>
      </c>
      <c r="I40">
        <f t="shared" si="11"/>
        <v>3.0300060383421599</v>
      </c>
      <c r="J40">
        <f t="shared" si="12"/>
        <v>2.0903473766301999</v>
      </c>
      <c r="K40">
        <f t="shared" si="13"/>
        <v>2.0958551767212721</v>
      </c>
      <c r="L40">
        <f t="shared" si="14"/>
        <v>0.64445409621509064</v>
      </c>
      <c r="M40">
        <f t="shared" si="9"/>
        <v>2.7403092729363627</v>
      </c>
      <c r="N40">
        <v>1</v>
      </c>
    </row>
    <row r="41" spans="1:14" x14ac:dyDescent="0.35">
      <c r="A41" s="6" t="s">
        <v>565</v>
      </c>
      <c r="B41">
        <v>0</v>
      </c>
      <c r="C41">
        <v>1</v>
      </c>
      <c r="D41" s="6" t="s">
        <v>570</v>
      </c>
      <c r="E41">
        <f t="shared" si="15"/>
        <v>48</v>
      </c>
      <c r="F41">
        <v>2</v>
      </c>
      <c r="G41">
        <v>0.178029584803365</v>
      </c>
      <c r="H41">
        <v>9.0921304134208403E-2</v>
      </c>
      <c r="I41">
        <f t="shared" si="11"/>
        <v>1.7802958480336502</v>
      </c>
      <c r="J41">
        <f t="shared" si="12"/>
        <v>0.90921304134208403</v>
      </c>
      <c r="K41">
        <f t="shared" si="13"/>
        <v>1.2314306380848759</v>
      </c>
      <c r="L41">
        <f t="shared" si="14"/>
        <v>0.28031038064576452</v>
      </c>
      <c r="M41">
        <f t="shared" si="9"/>
        <v>1.5117410187306404</v>
      </c>
      <c r="N41">
        <v>1</v>
      </c>
    </row>
    <row r="42" spans="1:14" x14ac:dyDescent="0.35">
      <c r="A42" s="6" t="s">
        <v>565</v>
      </c>
      <c r="B42">
        <v>0</v>
      </c>
      <c r="C42">
        <v>2</v>
      </c>
      <c r="D42" s="6" t="s">
        <v>570</v>
      </c>
      <c r="E42">
        <f t="shared" si="15"/>
        <v>48</v>
      </c>
      <c r="F42">
        <v>2</v>
      </c>
      <c r="G42">
        <v>0.167867419904525</v>
      </c>
      <c r="H42">
        <v>8.6198167184933602E-2</v>
      </c>
      <c r="I42">
        <f t="shared" si="11"/>
        <v>1.6786741990452501</v>
      </c>
      <c r="J42">
        <f t="shared" si="12"/>
        <v>0.86198167184933605</v>
      </c>
      <c r="K42">
        <f t="shared" si="13"/>
        <v>1.1611389434795993</v>
      </c>
      <c r="L42">
        <f t="shared" si="14"/>
        <v>0.26574894943115029</v>
      </c>
      <c r="M42">
        <f t="shared" si="9"/>
        <v>1.4268878929107496</v>
      </c>
      <c r="N42">
        <v>1</v>
      </c>
    </row>
    <row r="43" spans="1:14" x14ac:dyDescent="0.35">
      <c r="A43" s="6" t="s">
        <v>565</v>
      </c>
      <c r="B43">
        <v>0</v>
      </c>
      <c r="C43">
        <v>3</v>
      </c>
      <c r="D43" s="6" t="s">
        <v>570</v>
      </c>
      <c r="E43">
        <f t="shared" si="15"/>
        <v>48</v>
      </c>
      <c r="F43">
        <v>2</v>
      </c>
      <c r="G43">
        <v>0.190930600353792</v>
      </c>
      <c r="H43">
        <v>9.95194835856473E-2</v>
      </c>
      <c r="I43">
        <f t="shared" si="11"/>
        <v>1.9093060035379201</v>
      </c>
      <c r="J43">
        <f t="shared" si="12"/>
        <v>0.99519483585647306</v>
      </c>
      <c r="K43">
        <f t="shared" si="13"/>
        <v>1.3206669626471794</v>
      </c>
      <c r="L43">
        <f t="shared" si="14"/>
        <v>0.30681856789455064</v>
      </c>
      <c r="M43">
        <f t="shared" si="9"/>
        <v>1.6274855305417302</v>
      </c>
      <c r="N43">
        <v>1</v>
      </c>
    </row>
    <row r="44" spans="1:14" x14ac:dyDescent="0.35">
      <c r="A44" s="6" t="s">
        <v>565</v>
      </c>
      <c r="B44">
        <v>400</v>
      </c>
      <c r="C44">
        <v>1</v>
      </c>
      <c r="D44" s="6" t="s">
        <v>569</v>
      </c>
      <c r="E44">
        <f t="shared" si="15"/>
        <v>48</v>
      </c>
      <c r="F44">
        <v>2</v>
      </c>
      <c r="G44">
        <v>0.79184038745849705</v>
      </c>
      <c r="H44">
        <v>0.67464169034534605</v>
      </c>
      <c r="I44">
        <f t="shared" si="11"/>
        <v>7.9184038745849703</v>
      </c>
      <c r="J44">
        <f t="shared" si="12"/>
        <v>6.7464169034534605</v>
      </c>
      <c r="K44">
        <f t="shared" si="13"/>
        <v>5.4771599600504235</v>
      </c>
      <c r="L44">
        <f t="shared" si="14"/>
        <v>2.0799203313347019</v>
      </c>
      <c r="M44">
        <f t="shared" si="9"/>
        <v>7.5570802913851249</v>
      </c>
      <c r="N44">
        <v>1</v>
      </c>
    </row>
    <row r="45" spans="1:14" x14ac:dyDescent="0.35">
      <c r="A45" s="6" t="s">
        <v>565</v>
      </c>
      <c r="B45">
        <v>400</v>
      </c>
      <c r="C45">
        <v>2</v>
      </c>
      <c r="D45" s="6" t="s">
        <v>569</v>
      </c>
      <c r="E45">
        <f t="shared" si="15"/>
        <v>48</v>
      </c>
      <c r="F45">
        <v>2</v>
      </c>
      <c r="G45">
        <v>0.98338067201356505</v>
      </c>
      <c r="H45">
        <v>0.86025213140015</v>
      </c>
      <c r="I45">
        <f t="shared" si="11"/>
        <v>9.8338067201356498</v>
      </c>
      <c r="J45">
        <f t="shared" si="12"/>
        <v>8.6025213140014998</v>
      </c>
      <c r="K45">
        <f t="shared" si="13"/>
        <v>6.8020441083178289</v>
      </c>
      <c r="L45">
        <f t="shared" si="14"/>
        <v>2.6521573211066625</v>
      </c>
      <c r="M45">
        <f t="shared" si="9"/>
        <v>9.4542014294244918</v>
      </c>
      <c r="N45">
        <v>1</v>
      </c>
    </row>
    <row r="46" spans="1:14" x14ac:dyDescent="0.35">
      <c r="A46" s="6" t="s">
        <v>565</v>
      </c>
      <c r="B46">
        <v>400</v>
      </c>
      <c r="C46">
        <v>3</v>
      </c>
      <c r="D46" s="6" t="s">
        <v>569</v>
      </c>
      <c r="E46">
        <f t="shared" si="15"/>
        <v>48</v>
      </c>
      <c r="F46">
        <v>2</v>
      </c>
      <c r="G46">
        <v>0.91574256469399495</v>
      </c>
      <c r="H46">
        <v>0.79301342677211195</v>
      </c>
      <c r="I46">
        <f t="shared" si="11"/>
        <v>9.1574256469399486</v>
      </c>
      <c r="J46">
        <f t="shared" si="12"/>
        <v>7.9301342677211197</v>
      </c>
      <c r="K46">
        <f t="shared" si="13"/>
        <v>6.3341913199883626</v>
      </c>
      <c r="L46">
        <f t="shared" si="14"/>
        <v>2.4448603947384213</v>
      </c>
      <c r="M46">
        <f t="shared" si="9"/>
        <v>8.7790517147267835</v>
      </c>
      <c r="N46">
        <v>1</v>
      </c>
    </row>
    <row r="47" spans="1:14" x14ac:dyDescent="0.35">
      <c r="A47" s="6" t="s">
        <v>565</v>
      </c>
      <c r="B47">
        <v>400</v>
      </c>
      <c r="C47">
        <v>1</v>
      </c>
      <c r="D47" s="6" t="s">
        <v>570</v>
      </c>
      <c r="E47">
        <f t="shared" si="15"/>
        <v>48</v>
      </c>
      <c r="F47">
        <v>2</v>
      </c>
      <c r="G47">
        <v>0.66386952056828297</v>
      </c>
      <c r="H47">
        <v>0.52867331913448901</v>
      </c>
      <c r="I47">
        <f t="shared" si="11"/>
        <v>6.6386952056828292</v>
      </c>
      <c r="J47">
        <f t="shared" si="12"/>
        <v>5.2867331913448901</v>
      </c>
      <c r="K47">
        <f t="shared" si="13"/>
        <v>4.591985473770813</v>
      </c>
      <c r="L47">
        <f t="shared" si="14"/>
        <v>1.6298998428916298</v>
      </c>
      <c r="M47">
        <f t="shared" si="9"/>
        <v>6.2218853166624424</v>
      </c>
      <c r="N47">
        <v>1</v>
      </c>
    </row>
    <row r="48" spans="1:14" x14ac:dyDescent="0.35">
      <c r="A48" s="6" t="s">
        <v>565</v>
      </c>
      <c r="B48">
        <v>400</v>
      </c>
      <c r="C48">
        <v>2</v>
      </c>
      <c r="D48" s="6" t="s">
        <v>570</v>
      </c>
      <c r="E48">
        <f t="shared" si="15"/>
        <v>48</v>
      </c>
      <c r="F48">
        <v>2</v>
      </c>
      <c r="G48">
        <v>0.85996564057148195</v>
      </c>
      <c r="H48">
        <v>0.70591863129684396</v>
      </c>
      <c r="I48">
        <f t="shared" si="11"/>
        <v>8.5996564057148195</v>
      </c>
      <c r="J48">
        <f t="shared" si="12"/>
        <v>7.0591863129684391</v>
      </c>
      <c r="K48">
        <f t="shared" si="13"/>
        <v>5.9483823358329406</v>
      </c>
      <c r="L48">
        <f t="shared" si="14"/>
        <v>2.1763471402881698</v>
      </c>
      <c r="M48">
        <f t="shared" si="9"/>
        <v>8.1247294761211108</v>
      </c>
      <c r="N48">
        <v>1</v>
      </c>
    </row>
    <row r="49" spans="1:14" x14ac:dyDescent="0.35">
      <c r="A49" s="6" t="s">
        <v>565</v>
      </c>
      <c r="B49">
        <v>400</v>
      </c>
      <c r="C49">
        <v>3</v>
      </c>
      <c r="D49" s="6" t="s">
        <v>570</v>
      </c>
      <c r="E49">
        <f t="shared" si="15"/>
        <v>48</v>
      </c>
      <c r="F49">
        <v>2</v>
      </c>
      <c r="G49">
        <v>0.69614039514018</v>
      </c>
      <c r="H49">
        <v>0.59794110398372702</v>
      </c>
      <c r="I49">
        <f t="shared" si="11"/>
        <v>6.9614039514017998</v>
      </c>
      <c r="J49">
        <f t="shared" si="12"/>
        <v>5.9794110398372702</v>
      </c>
      <c r="K49">
        <f t="shared" si="13"/>
        <v>4.8152031131846247</v>
      </c>
      <c r="L49">
        <f t="shared" si="14"/>
        <v>1.8434524235818306</v>
      </c>
      <c r="M49">
        <f t="shared" si="9"/>
        <v>6.6586555367664548</v>
      </c>
      <c r="N49">
        <v>1</v>
      </c>
    </row>
    <row r="50" spans="1:14" x14ac:dyDescent="0.35">
      <c r="A50" s="6" t="s">
        <v>565</v>
      </c>
      <c r="B50">
        <v>800</v>
      </c>
      <c r="C50">
        <v>1</v>
      </c>
      <c r="D50" s="6" t="s">
        <v>569</v>
      </c>
      <c r="E50">
        <f t="shared" si="15"/>
        <v>48</v>
      </c>
      <c r="F50">
        <v>2</v>
      </c>
      <c r="G50">
        <v>3.2722036598532802</v>
      </c>
      <c r="H50">
        <v>3.1625313516865599</v>
      </c>
      <c r="I50">
        <f t="shared" si="11"/>
        <v>32.722036598532803</v>
      </c>
      <c r="J50">
        <f t="shared" si="12"/>
        <v>31.625313516865599</v>
      </c>
      <c r="K50">
        <f t="shared" si="13"/>
        <v>22.633832715205138</v>
      </c>
      <c r="L50">
        <f t="shared" si="14"/>
        <v>9.750084157249665</v>
      </c>
      <c r="M50">
        <f t="shared" si="9"/>
        <v>32.383916872454805</v>
      </c>
      <c r="N50">
        <v>1</v>
      </c>
    </row>
    <row r="51" spans="1:14" x14ac:dyDescent="0.35">
      <c r="A51" s="6" t="s">
        <v>565</v>
      </c>
      <c r="B51">
        <v>800</v>
      </c>
      <c r="C51">
        <v>2</v>
      </c>
      <c r="D51" s="6" t="s">
        <v>569</v>
      </c>
      <c r="E51">
        <f t="shared" si="15"/>
        <v>48</v>
      </c>
      <c r="F51">
        <v>2</v>
      </c>
      <c r="G51">
        <v>2.9826465143157401</v>
      </c>
      <c r="H51">
        <v>2.9082537988168502</v>
      </c>
      <c r="I51">
        <f t="shared" si="11"/>
        <v>29.826465143157399</v>
      </c>
      <c r="J51">
        <f t="shared" si="12"/>
        <v>29.082537988168504</v>
      </c>
      <c r="K51">
        <f t="shared" si="13"/>
        <v>20.630965939521971</v>
      </c>
      <c r="L51">
        <f t="shared" si="14"/>
        <v>8.9661464617523503</v>
      </c>
      <c r="M51">
        <f t="shared" si="9"/>
        <v>29.597112401274323</v>
      </c>
      <c r="N51">
        <v>1</v>
      </c>
    </row>
    <row r="52" spans="1:14" x14ac:dyDescent="0.35">
      <c r="A52" s="6" t="s">
        <v>565</v>
      </c>
      <c r="B52">
        <v>800</v>
      </c>
      <c r="C52">
        <v>3</v>
      </c>
      <c r="D52" s="6" t="s">
        <v>569</v>
      </c>
      <c r="E52">
        <f t="shared" si="15"/>
        <v>48</v>
      </c>
      <c r="F52">
        <v>2</v>
      </c>
      <c r="G52">
        <v>3.5023561169161299</v>
      </c>
      <c r="H52">
        <v>3.3579196281822998</v>
      </c>
      <c r="I52">
        <f t="shared" si="11"/>
        <v>35.023561169161297</v>
      </c>
      <c r="J52">
        <f t="shared" si="12"/>
        <v>33.579196281823002</v>
      </c>
      <c r="K52">
        <f t="shared" si="13"/>
        <v>24.22579726070887</v>
      </c>
      <c r="L52">
        <f t="shared" si="14"/>
        <v>10.352466213686032</v>
      </c>
      <c r="M52">
        <f t="shared" si="9"/>
        <v>34.578263474394902</v>
      </c>
      <c r="N52">
        <v>1</v>
      </c>
    </row>
    <row r="53" spans="1:14" x14ac:dyDescent="0.35">
      <c r="A53" s="6" t="s">
        <v>565</v>
      </c>
      <c r="B53">
        <v>800</v>
      </c>
      <c r="C53">
        <v>1</v>
      </c>
      <c r="D53" s="6" t="s">
        <v>570</v>
      </c>
      <c r="E53">
        <f t="shared" si="15"/>
        <v>48</v>
      </c>
      <c r="F53">
        <v>2</v>
      </c>
      <c r="G53">
        <v>2.3655404709880399</v>
      </c>
      <c r="H53">
        <v>2.2643982357554999</v>
      </c>
      <c r="I53">
        <f t="shared" si="11"/>
        <v>23.655404709880401</v>
      </c>
      <c r="J53">
        <f t="shared" si="12"/>
        <v>22.643982357555</v>
      </c>
      <c r="K53">
        <f t="shared" si="13"/>
        <v>16.362443437824272</v>
      </c>
      <c r="L53">
        <f t="shared" si="14"/>
        <v>6.981139760834207</v>
      </c>
      <c r="M53">
        <f t="shared" si="9"/>
        <v>23.343583198658479</v>
      </c>
      <c r="N53">
        <v>1</v>
      </c>
    </row>
    <row r="54" spans="1:14" ht="13.75" customHeight="1" x14ac:dyDescent="0.35">
      <c r="A54" s="6" t="s">
        <v>565</v>
      </c>
      <c r="B54">
        <v>800</v>
      </c>
      <c r="C54">
        <v>2</v>
      </c>
      <c r="D54" s="6" t="s">
        <v>570</v>
      </c>
      <c r="E54">
        <f t="shared" si="15"/>
        <v>48</v>
      </c>
      <c r="F54">
        <v>2</v>
      </c>
      <c r="G54">
        <v>2.1584592892840999</v>
      </c>
      <c r="H54">
        <v>1.9993617196228699</v>
      </c>
      <c r="I54">
        <f t="shared" si="11"/>
        <v>21.584592892840998</v>
      </c>
      <c r="J54">
        <f t="shared" si="12"/>
        <v>19.993617196228698</v>
      </c>
      <c r="K54">
        <f t="shared" si="13"/>
        <v>14.930062903978119</v>
      </c>
      <c r="L54">
        <f t="shared" si="14"/>
        <v>6.1640321815973076</v>
      </c>
      <c r="M54">
        <f t="shared" si="9"/>
        <v>21.094095085575425</v>
      </c>
      <c r="N54">
        <v>1</v>
      </c>
    </row>
    <row r="55" spans="1:14" ht="13.75" customHeight="1" x14ac:dyDescent="0.35">
      <c r="A55" s="6" t="s">
        <v>565</v>
      </c>
      <c r="B55">
        <v>800</v>
      </c>
      <c r="C55">
        <v>3</v>
      </c>
      <c r="D55" s="6" t="s">
        <v>570</v>
      </c>
      <c r="E55">
        <f t="shared" si="15"/>
        <v>48</v>
      </c>
      <c r="F55">
        <v>2</v>
      </c>
      <c r="G55">
        <v>2.3572019505299999</v>
      </c>
      <c r="H55">
        <v>2.26020856427981</v>
      </c>
      <c r="I55">
        <f t="shared" si="11"/>
        <v>23.572019505299998</v>
      </c>
      <c r="J55">
        <f t="shared" si="12"/>
        <v>22.602085642798102</v>
      </c>
      <c r="K55">
        <f t="shared" si="13"/>
        <v>16.304765891816007</v>
      </c>
      <c r="L55">
        <f t="shared" si="14"/>
        <v>6.9682230036746553</v>
      </c>
      <c r="M55">
        <f t="shared" si="9"/>
        <v>23.272988895490663</v>
      </c>
      <c r="N55">
        <v>1</v>
      </c>
    </row>
    <row r="56" spans="1:14" x14ac:dyDescent="0.35">
      <c r="A56" s="6" t="s">
        <v>565</v>
      </c>
      <c r="B56">
        <v>1200</v>
      </c>
      <c r="C56">
        <v>1</v>
      </c>
      <c r="D56" s="6" t="s">
        <v>569</v>
      </c>
      <c r="E56">
        <f t="shared" si="15"/>
        <v>48</v>
      </c>
      <c r="F56">
        <v>2</v>
      </c>
      <c r="G56">
        <v>25.784000236188898</v>
      </c>
      <c r="H56">
        <v>25.399677614995198</v>
      </c>
      <c r="I56">
        <f t="shared" ref="I56:I120" si="16">G56*10</f>
        <v>257.84000236188899</v>
      </c>
      <c r="J56">
        <f t="shared" ref="J56:J120" si="17">H56*10</f>
        <v>253.99677614995198</v>
      </c>
      <c r="K56">
        <f t="shared" si="13"/>
        <v>178.34792963371862</v>
      </c>
      <c r="L56">
        <f t="shared" si="14"/>
        <v>78.307206087030195</v>
      </c>
      <c r="M56">
        <f t="shared" si="9"/>
        <v>256.65513572074883</v>
      </c>
      <c r="N56">
        <v>1</v>
      </c>
    </row>
    <row r="57" spans="1:14" x14ac:dyDescent="0.35">
      <c r="A57" s="6" t="s">
        <v>565</v>
      </c>
      <c r="B57">
        <v>1200</v>
      </c>
      <c r="C57">
        <v>2</v>
      </c>
      <c r="D57" s="6" t="s">
        <v>569</v>
      </c>
      <c r="E57">
        <f t="shared" si="15"/>
        <v>48</v>
      </c>
      <c r="F57">
        <v>2</v>
      </c>
      <c r="G57">
        <v>27.336800494566202</v>
      </c>
      <c r="H57">
        <v>27.3097890518826</v>
      </c>
      <c r="I57">
        <f t="shared" si="16"/>
        <v>273.36800494566199</v>
      </c>
      <c r="J57">
        <f t="shared" si="17"/>
        <v>273.09789051882598</v>
      </c>
      <c r="K57">
        <f t="shared" si="13"/>
        <v>189.0886490209144</v>
      </c>
      <c r="L57">
        <f t="shared" si="14"/>
        <v>84.196079646954047</v>
      </c>
      <c r="M57">
        <f t="shared" si="9"/>
        <v>273.28472866786842</v>
      </c>
      <c r="N57">
        <v>1</v>
      </c>
    </row>
    <row r="58" spans="1:14" x14ac:dyDescent="0.35">
      <c r="A58" s="6" t="s">
        <v>565</v>
      </c>
      <c r="B58">
        <v>1200</v>
      </c>
      <c r="C58">
        <v>3</v>
      </c>
      <c r="D58" s="6" t="s">
        <v>569</v>
      </c>
      <c r="E58">
        <f t="shared" si="15"/>
        <v>48</v>
      </c>
      <c r="F58">
        <v>2</v>
      </c>
      <c r="G58">
        <v>41.183867303440103</v>
      </c>
      <c r="H58">
        <v>40.781119046379899</v>
      </c>
      <c r="I58">
        <f t="shared" si="16"/>
        <v>411.83867303440104</v>
      </c>
      <c r="J58">
        <f t="shared" si="17"/>
        <v>407.81119046379899</v>
      </c>
      <c r="K58">
        <f t="shared" si="13"/>
        <v>284.8688101378952</v>
      </c>
      <c r="L58">
        <f t="shared" si="14"/>
        <v>125.72819001998924</v>
      </c>
      <c r="M58">
        <f t="shared" si="9"/>
        <v>410.59700015788445</v>
      </c>
      <c r="N58">
        <v>1</v>
      </c>
    </row>
    <row r="59" spans="1:14" x14ac:dyDescent="0.35">
      <c r="A59" s="6" t="s">
        <v>565</v>
      </c>
      <c r="B59">
        <v>1200</v>
      </c>
      <c r="C59">
        <v>1</v>
      </c>
      <c r="D59" s="6" t="s">
        <v>570</v>
      </c>
      <c r="E59">
        <f t="shared" si="15"/>
        <v>48</v>
      </c>
      <c r="F59">
        <v>2</v>
      </c>
      <c r="G59">
        <v>16.367561494205201</v>
      </c>
      <c r="H59">
        <v>16.089343300600898</v>
      </c>
      <c r="I59">
        <f t="shared" si="16"/>
        <v>163.67561494205202</v>
      </c>
      <c r="J59">
        <f t="shared" si="17"/>
        <v>160.89343300600899</v>
      </c>
      <c r="K59">
        <f t="shared" si="13"/>
        <v>113.21442285541738</v>
      </c>
      <c r="L59">
        <f t="shared" si="14"/>
        <v>49.603445395752573</v>
      </c>
      <c r="M59">
        <f t="shared" si="9"/>
        <v>162.81786825116995</v>
      </c>
      <c r="N59">
        <v>1</v>
      </c>
    </row>
    <row r="60" spans="1:14" x14ac:dyDescent="0.35">
      <c r="A60" s="6" t="s">
        <v>565</v>
      </c>
      <c r="B60">
        <v>1200</v>
      </c>
      <c r="C60">
        <v>2</v>
      </c>
      <c r="D60" s="6" t="s">
        <v>570</v>
      </c>
      <c r="E60">
        <f t="shared" si="15"/>
        <v>48</v>
      </c>
      <c r="F60">
        <v>2</v>
      </c>
      <c r="G60">
        <v>12.6799623669487</v>
      </c>
      <c r="H60">
        <v>12.4597197178889</v>
      </c>
      <c r="I60">
        <f t="shared" si="16"/>
        <v>126.799623669487</v>
      </c>
      <c r="J60">
        <f t="shared" si="17"/>
        <v>124.597197178889</v>
      </c>
      <c r="K60">
        <f t="shared" si="13"/>
        <v>87.707299692184165</v>
      </c>
      <c r="L60">
        <f t="shared" si="14"/>
        <v>38.413315890251482</v>
      </c>
      <c r="M60">
        <f t="shared" si="9"/>
        <v>126.12061558243565</v>
      </c>
      <c r="N60">
        <v>1</v>
      </c>
    </row>
    <row r="61" spans="1:14" x14ac:dyDescent="0.35">
      <c r="A61" s="6" t="s">
        <v>565</v>
      </c>
      <c r="B61">
        <v>1200</v>
      </c>
      <c r="C61">
        <v>3</v>
      </c>
      <c r="D61" s="6" t="s">
        <v>570</v>
      </c>
      <c r="E61">
        <f t="shared" si="15"/>
        <v>48</v>
      </c>
      <c r="F61">
        <v>2</v>
      </c>
      <c r="G61">
        <v>27.763096133202101</v>
      </c>
      <c r="H61">
        <v>27.586904308718299</v>
      </c>
      <c r="I61">
        <f t="shared" si="16"/>
        <v>277.630961332021</v>
      </c>
      <c r="J61">
        <f t="shared" si="17"/>
        <v>275.869043087183</v>
      </c>
      <c r="K61">
        <f t="shared" si="13"/>
        <v>192.03733595335893</v>
      </c>
      <c r="L61">
        <f t="shared" si="14"/>
        <v>85.050425983778524</v>
      </c>
      <c r="M61">
        <f t="shared" si="9"/>
        <v>277.08776193713743</v>
      </c>
      <c r="N61">
        <v>1</v>
      </c>
    </row>
    <row r="62" spans="1:14" x14ac:dyDescent="0.35">
      <c r="A62" s="6" t="s">
        <v>565</v>
      </c>
      <c r="B62">
        <v>0</v>
      </c>
      <c r="C62">
        <v>1</v>
      </c>
      <c r="D62" s="6" t="s">
        <v>569</v>
      </c>
      <c r="E62">
        <f>F62*24</f>
        <v>72</v>
      </c>
      <c r="F62">
        <v>3</v>
      </c>
      <c r="G62">
        <v>0.187891054494712</v>
      </c>
      <c r="H62">
        <v>9.5520671272484606E-2</v>
      </c>
      <c r="I62">
        <f t="shared" si="16"/>
        <v>1.87891054494712</v>
      </c>
      <c r="J62">
        <f t="shared" si="17"/>
        <v>0.95520671272484603</v>
      </c>
      <c r="K62">
        <f t="shared" si="13"/>
        <v>1.2996424239399229</v>
      </c>
      <c r="L62">
        <f t="shared" si="14"/>
        <v>0.29449022953307002</v>
      </c>
      <c r="M62">
        <f t="shared" si="9"/>
        <v>1.5941326534729929</v>
      </c>
      <c r="N62">
        <v>1</v>
      </c>
    </row>
    <row r="63" spans="1:14" x14ac:dyDescent="0.35">
      <c r="A63" s="6" t="s">
        <v>565</v>
      </c>
      <c r="B63">
        <v>0</v>
      </c>
      <c r="C63">
        <v>2</v>
      </c>
      <c r="D63" s="6" t="s">
        <v>569</v>
      </c>
      <c r="E63">
        <f>F63*24</f>
        <v>72</v>
      </c>
      <c r="F63">
        <v>3</v>
      </c>
      <c r="G63">
        <v>0.19074305098615199</v>
      </c>
      <c r="H63">
        <v>9.8230954953631905E-2</v>
      </c>
      <c r="I63">
        <f t="shared" si="16"/>
        <v>1.9074305098615199</v>
      </c>
      <c r="J63">
        <f t="shared" si="17"/>
        <v>0.98230954953631899</v>
      </c>
      <c r="K63">
        <f t="shared" si="13"/>
        <v>1.3193696836712132</v>
      </c>
      <c r="L63">
        <f t="shared" si="14"/>
        <v>0.30284603412204714</v>
      </c>
      <c r="M63">
        <f t="shared" si="9"/>
        <v>1.6222157177932603</v>
      </c>
      <c r="N63">
        <v>1</v>
      </c>
    </row>
    <row r="64" spans="1:14" x14ac:dyDescent="0.35">
      <c r="A64" s="6" t="s">
        <v>565</v>
      </c>
      <c r="B64">
        <v>0</v>
      </c>
      <c r="C64">
        <v>3</v>
      </c>
      <c r="D64" s="6" t="s">
        <v>569</v>
      </c>
      <c r="E64">
        <f t="shared" ref="E64:E85" si="18">F64*24</f>
        <v>72</v>
      </c>
      <c r="F64">
        <v>3</v>
      </c>
      <c r="G64">
        <v>0.21243523575043699</v>
      </c>
      <c r="H64">
        <v>0.133188563801653</v>
      </c>
      <c r="I64">
        <f t="shared" si="16"/>
        <v>2.1243523575043701</v>
      </c>
      <c r="J64">
        <f t="shared" si="17"/>
        <v>1.33188563801653</v>
      </c>
      <c r="K64">
        <f t="shared" si="13"/>
        <v>1.4694145256857727</v>
      </c>
      <c r="L64">
        <f t="shared" si="14"/>
        <v>0.41062034220049626</v>
      </c>
      <c r="M64">
        <f t="shared" si="9"/>
        <v>1.8800348678862688</v>
      </c>
      <c r="N64">
        <v>1</v>
      </c>
    </row>
    <row r="65" spans="1:14" x14ac:dyDescent="0.35">
      <c r="A65" s="6" t="s">
        <v>565</v>
      </c>
      <c r="B65">
        <v>0</v>
      </c>
      <c r="C65">
        <v>1</v>
      </c>
      <c r="D65" s="6" t="s">
        <v>570</v>
      </c>
      <c r="E65">
        <f t="shared" si="18"/>
        <v>72</v>
      </c>
      <c r="F65">
        <v>3</v>
      </c>
      <c r="G65">
        <v>0.174110000043917</v>
      </c>
      <c r="H65">
        <v>7.0594746935060598E-2</v>
      </c>
      <c r="I65">
        <f t="shared" si="16"/>
        <v>1.7411000004391699</v>
      </c>
      <c r="J65">
        <f t="shared" si="17"/>
        <v>0.70594746935060604</v>
      </c>
      <c r="K65">
        <f t="shared" si="13"/>
        <v>1.2043188703037737</v>
      </c>
      <c r="L65">
        <f t="shared" si="14"/>
        <v>0.21764360480079187</v>
      </c>
      <c r="M65">
        <f t="shared" si="9"/>
        <v>1.4219624751045656</v>
      </c>
      <c r="N65">
        <v>1</v>
      </c>
    </row>
    <row r="66" spans="1:14" x14ac:dyDescent="0.35">
      <c r="A66" s="6" t="s">
        <v>565</v>
      </c>
      <c r="B66">
        <v>0</v>
      </c>
      <c r="C66">
        <v>2</v>
      </c>
      <c r="D66" s="6" t="s">
        <v>570</v>
      </c>
      <c r="E66">
        <f t="shared" si="18"/>
        <v>72</v>
      </c>
      <c r="F66">
        <v>3</v>
      </c>
      <c r="G66">
        <v>0.16102770344219</v>
      </c>
      <c r="H66">
        <v>7.6627432602425896E-2</v>
      </c>
      <c r="I66">
        <f t="shared" si="16"/>
        <v>1.6102770344219</v>
      </c>
      <c r="J66">
        <f t="shared" si="17"/>
        <v>0.76627432602425893</v>
      </c>
      <c r="K66">
        <f t="shared" si="13"/>
        <v>1.1138286247096281</v>
      </c>
      <c r="L66">
        <f t="shared" si="14"/>
        <v>0.23624237471327905</v>
      </c>
      <c r="M66">
        <f t="shared" si="9"/>
        <v>1.3500709994229072</v>
      </c>
      <c r="N66">
        <v>1</v>
      </c>
    </row>
    <row r="67" spans="1:14" x14ac:dyDescent="0.35">
      <c r="A67" s="6" t="s">
        <v>565</v>
      </c>
      <c r="B67">
        <v>0</v>
      </c>
      <c r="C67">
        <v>3</v>
      </c>
      <c r="D67" s="6" t="s">
        <v>570</v>
      </c>
      <c r="E67">
        <f t="shared" si="18"/>
        <v>72</v>
      </c>
      <c r="F67">
        <v>3</v>
      </c>
      <c r="G67">
        <v>0.18928721729702999</v>
      </c>
      <c r="H67">
        <v>9.7991473608533095E-2</v>
      </c>
      <c r="I67">
        <f t="shared" si="16"/>
        <v>1.8928721729703</v>
      </c>
      <c r="J67">
        <f t="shared" si="17"/>
        <v>0.97991473608533097</v>
      </c>
      <c r="K67">
        <f t="shared" si="13"/>
        <v>1.3092996820435565</v>
      </c>
      <c r="L67">
        <f t="shared" si="14"/>
        <v>0.30210771313510754</v>
      </c>
      <c r="M67">
        <f t="shared" si="9"/>
        <v>1.611407395178664</v>
      </c>
      <c r="N67">
        <v>1</v>
      </c>
    </row>
    <row r="68" spans="1:14" x14ac:dyDescent="0.35">
      <c r="A68" s="6" t="s">
        <v>565</v>
      </c>
      <c r="B68">
        <v>400</v>
      </c>
      <c r="C68">
        <v>1</v>
      </c>
      <c r="D68" s="6" t="s">
        <v>569</v>
      </c>
      <c r="E68">
        <f t="shared" si="18"/>
        <v>72</v>
      </c>
      <c r="F68">
        <v>3</v>
      </c>
      <c r="G68">
        <v>1.03118665837616</v>
      </c>
      <c r="H68">
        <v>0.88795995329605604</v>
      </c>
      <c r="I68">
        <f t="shared" si="16"/>
        <v>10.311866583761599</v>
      </c>
      <c r="J68">
        <f t="shared" si="17"/>
        <v>8.8795995329605599</v>
      </c>
      <c r="K68">
        <f t="shared" si="13"/>
        <v>7.1327181159878981</v>
      </c>
      <c r="L68">
        <f t="shared" si="14"/>
        <v>2.7375805360117407</v>
      </c>
      <c r="M68">
        <f t="shared" si="9"/>
        <v>9.8702986519996383</v>
      </c>
      <c r="N68">
        <v>1</v>
      </c>
    </row>
    <row r="69" spans="1:14" x14ac:dyDescent="0.35">
      <c r="A69" s="6" t="s">
        <v>565</v>
      </c>
      <c r="B69">
        <v>400</v>
      </c>
      <c r="C69">
        <v>2</v>
      </c>
      <c r="D69" s="6" t="s">
        <v>569</v>
      </c>
      <c r="E69">
        <f t="shared" si="18"/>
        <v>72</v>
      </c>
      <c r="F69">
        <v>3</v>
      </c>
      <c r="G69">
        <v>1.0439047517300599</v>
      </c>
      <c r="H69">
        <v>0.91387512586530795</v>
      </c>
      <c r="I69">
        <f t="shared" si="16"/>
        <v>10.439047517300599</v>
      </c>
      <c r="J69">
        <f t="shared" si="17"/>
        <v>9.1387512586530804</v>
      </c>
      <c r="K69">
        <f t="shared" si="13"/>
        <v>7.2206891677168246</v>
      </c>
      <c r="L69">
        <f t="shared" si="14"/>
        <v>2.8174770130427449</v>
      </c>
      <c r="M69">
        <f t="shared" si="9"/>
        <v>10.038166180759569</v>
      </c>
      <c r="N69">
        <v>1</v>
      </c>
    </row>
    <row r="70" spans="1:14" x14ac:dyDescent="0.35">
      <c r="A70" s="6" t="s">
        <v>565</v>
      </c>
      <c r="B70">
        <v>400</v>
      </c>
      <c r="C70">
        <v>3</v>
      </c>
      <c r="D70" s="6" t="s">
        <v>569</v>
      </c>
      <c r="E70">
        <f t="shared" si="18"/>
        <v>72</v>
      </c>
      <c r="F70">
        <v>3</v>
      </c>
      <c r="G70">
        <v>0.90135031390688602</v>
      </c>
      <c r="H70">
        <v>0.72950881703239001</v>
      </c>
      <c r="I70">
        <f t="shared" si="16"/>
        <v>9.0135031390688596</v>
      </c>
      <c r="J70">
        <f t="shared" si="17"/>
        <v>7.2950881703239006</v>
      </c>
      <c r="K70">
        <f t="shared" si="13"/>
        <v>6.2346401212939302</v>
      </c>
      <c r="L70">
        <f t="shared" si="14"/>
        <v>2.2490756829108585</v>
      </c>
      <c r="M70">
        <f t="shared" si="9"/>
        <v>8.4837158042047882</v>
      </c>
      <c r="N70">
        <v>1</v>
      </c>
    </row>
    <row r="71" spans="1:14" x14ac:dyDescent="0.35">
      <c r="A71" s="6" t="s">
        <v>565</v>
      </c>
      <c r="B71">
        <v>400</v>
      </c>
      <c r="C71">
        <v>1</v>
      </c>
      <c r="D71" s="6" t="s">
        <v>570</v>
      </c>
      <c r="E71">
        <f t="shared" si="18"/>
        <v>72</v>
      </c>
      <c r="F71">
        <v>3</v>
      </c>
      <c r="G71">
        <v>0.59224384561425503</v>
      </c>
      <c r="H71">
        <v>0.43475548839660699</v>
      </c>
      <c r="I71">
        <f t="shared" si="16"/>
        <v>5.92243845614255</v>
      </c>
      <c r="J71">
        <f t="shared" si="17"/>
        <v>4.3475548839660698</v>
      </c>
      <c r="K71">
        <f t="shared" si="13"/>
        <v>4.0965506801138014</v>
      </c>
      <c r="L71">
        <f t="shared" si="14"/>
        <v>1.3403511707267395</v>
      </c>
      <c r="M71">
        <f t="shared" si="9"/>
        <v>5.4369018508405409</v>
      </c>
      <c r="N71">
        <v>1</v>
      </c>
    </row>
    <row r="72" spans="1:14" x14ac:dyDescent="0.35">
      <c r="A72" s="6" t="s">
        <v>565</v>
      </c>
      <c r="B72">
        <v>400</v>
      </c>
      <c r="C72">
        <v>2</v>
      </c>
      <c r="D72" s="6" t="s">
        <v>570</v>
      </c>
      <c r="E72">
        <f t="shared" si="18"/>
        <v>72</v>
      </c>
      <c r="F72">
        <v>3</v>
      </c>
      <c r="G72">
        <v>0.74615172902478</v>
      </c>
      <c r="H72">
        <v>0.57827924039861001</v>
      </c>
      <c r="I72">
        <f t="shared" si="16"/>
        <v>7.4615172902477997</v>
      </c>
      <c r="J72">
        <f t="shared" si="17"/>
        <v>5.7827924039861003</v>
      </c>
      <c r="K72">
        <f t="shared" si="13"/>
        <v>5.1611315096644033</v>
      </c>
      <c r="L72">
        <f t="shared" si="14"/>
        <v>1.7828348981489148</v>
      </c>
      <c r="M72">
        <f t="shared" si="9"/>
        <v>6.9439664078133179</v>
      </c>
      <c r="N72">
        <v>1</v>
      </c>
    </row>
    <row r="73" spans="1:14" x14ac:dyDescent="0.35">
      <c r="A73" s="6" t="s">
        <v>565</v>
      </c>
      <c r="B73">
        <v>400</v>
      </c>
      <c r="C73">
        <v>3</v>
      </c>
      <c r="D73" s="6" t="s">
        <v>570</v>
      </c>
      <c r="E73">
        <f t="shared" si="18"/>
        <v>72</v>
      </c>
      <c r="F73">
        <v>3</v>
      </c>
      <c r="G73">
        <v>0.62440604514259002</v>
      </c>
      <c r="H73">
        <v>0.48283267513393202</v>
      </c>
      <c r="I73">
        <f t="shared" si="16"/>
        <v>6.2440604514259004</v>
      </c>
      <c r="J73">
        <f t="shared" si="17"/>
        <v>4.8283267513393202</v>
      </c>
      <c r="K73">
        <f t="shared" si="13"/>
        <v>4.3190166142512956</v>
      </c>
      <c r="L73">
        <f t="shared" si="14"/>
        <v>1.4885731374379125</v>
      </c>
      <c r="M73">
        <f t="shared" si="9"/>
        <v>5.8075897516892079</v>
      </c>
      <c r="N73">
        <v>1</v>
      </c>
    </row>
    <row r="74" spans="1:14" x14ac:dyDescent="0.35">
      <c r="A74" s="6" t="s">
        <v>565</v>
      </c>
      <c r="B74">
        <v>800</v>
      </c>
      <c r="C74">
        <v>1</v>
      </c>
      <c r="D74" s="6" t="s">
        <v>569</v>
      </c>
      <c r="E74">
        <f t="shared" si="18"/>
        <v>72</v>
      </c>
      <c r="F74">
        <v>3</v>
      </c>
      <c r="G74">
        <v>3.8571317036069002</v>
      </c>
      <c r="H74">
        <v>3.6789088817189</v>
      </c>
      <c r="I74">
        <f t="shared" si="16"/>
        <v>38.571317036069004</v>
      </c>
      <c r="J74">
        <f t="shared" si="17"/>
        <v>36.789088817188997</v>
      </c>
      <c r="K74">
        <f t="shared" si="13"/>
        <v>26.679779993848928</v>
      </c>
      <c r="L74">
        <f t="shared" si="14"/>
        <v>11.342076082339368</v>
      </c>
      <c r="M74">
        <f t="shared" si="9"/>
        <v>38.0218560761883</v>
      </c>
      <c r="N74">
        <v>1</v>
      </c>
    </row>
    <row r="75" spans="1:14" x14ac:dyDescent="0.35">
      <c r="A75" s="6" t="s">
        <v>565</v>
      </c>
      <c r="B75">
        <v>800</v>
      </c>
      <c r="C75">
        <v>2</v>
      </c>
      <c r="D75" s="6" t="s">
        <v>569</v>
      </c>
      <c r="E75">
        <f t="shared" si="18"/>
        <v>72</v>
      </c>
      <c r="F75">
        <v>3</v>
      </c>
      <c r="G75">
        <v>3.0584676958162702</v>
      </c>
      <c r="H75">
        <v>2.9189806758135699</v>
      </c>
      <c r="I75">
        <f t="shared" si="16"/>
        <v>30.584676958162703</v>
      </c>
      <c r="J75">
        <f t="shared" si="17"/>
        <v>29.189806758135699</v>
      </c>
      <c r="K75">
        <f t="shared" si="13"/>
        <v>21.155421051961142</v>
      </c>
      <c r="L75">
        <f t="shared" si="14"/>
        <v>8.9992174235332367</v>
      </c>
      <c r="M75">
        <f t="shared" si="9"/>
        <v>30.15463847549438</v>
      </c>
      <c r="N75">
        <v>1</v>
      </c>
    </row>
    <row r="76" spans="1:14" x14ac:dyDescent="0.35">
      <c r="A76" s="6" t="s">
        <v>565</v>
      </c>
      <c r="B76">
        <v>800</v>
      </c>
      <c r="C76">
        <v>3</v>
      </c>
      <c r="D76" s="6" t="s">
        <v>569</v>
      </c>
      <c r="E76">
        <f t="shared" si="18"/>
        <v>72</v>
      </c>
      <c r="F76">
        <v>3</v>
      </c>
      <c r="G76">
        <v>4.4042515600481904</v>
      </c>
      <c r="H76">
        <v>4.2357469819223699</v>
      </c>
      <c r="I76">
        <f t="shared" si="16"/>
        <v>44.042515600481906</v>
      </c>
      <c r="J76">
        <f t="shared" si="17"/>
        <v>42.357469819223695</v>
      </c>
      <c r="K76">
        <f t="shared" si="13"/>
        <v>30.464208040853332</v>
      </c>
      <c r="L76">
        <f t="shared" si="14"/>
        <v>13.058807945266667</v>
      </c>
      <c r="M76">
        <f t="shared" si="9"/>
        <v>43.523015986120001</v>
      </c>
      <c r="N76">
        <v>1</v>
      </c>
    </row>
    <row r="77" spans="1:14" x14ac:dyDescent="0.35">
      <c r="A77" s="6" t="s">
        <v>565</v>
      </c>
      <c r="B77">
        <v>800</v>
      </c>
      <c r="C77">
        <v>1</v>
      </c>
      <c r="D77" s="6" t="s">
        <v>570</v>
      </c>
      <c r="E77">
        <f t="shared" si="18"/>
        <v>72</v>
      </c>
      <c r="F77">
        <v>3</v>
      </c>
      <c r="G77">
        <v>2.08731305833936</v>
      </c>
      <c r="H77">
        <v>1.8921831139935099</v>
      </c>
      <c r="I77">
        <f t="shared" si="16"/>
        <v>20.8731305833936</v>
      </c>
      <c r="J77">
        <f t="shared" si="17"/>
        <v>18.921831139935101</v>
      </c>
      <c r="K77">
        <f t="shared" si="13"/>
        <v>14.437944424533352</v>
      </c>
      <c r="L77">
        <f t="shared" si="14"/>
        <v>5.8336005404419922</v>
      </c>
      <c r="M77">
        <f t="shared" si="9"/>
        <v>20.271544964975345</v>
      </c>
      <c r="N77">
        <v>1</v>
      </c>
    </row>
    <row r="78" spans="1:14" x14ac:dyDescent="0.35">
      <c r="A78" s="6" t="s">
        <v>565</v>
      </c>
      <c r="B78">
        <v>800</v>
      </c>
      <c r="C78">
        <v>2</v>
      </c>
      <c r="D78" s="6" t="s">
        <v>570</v>
      </c>
      <c r="E78">
        <f t="shared" si="18"/>
        <v>72</v>
      </c>
      <c r="F78">
        <v>3</v>
      </c>
      <c r="G78">
        <v>1.59293312779426</v>
      </c>
      <c r="H78">
        <v>1.4542576139227399</v>
      </c>
      <c r="I78">
        <f t="shared" si="16"/>
        <v>15.9293312779426</v>
      </c>
      <c r="J78">
        <f t="shared" si="17"/>
        <v>14.5425761392274</v>
      </c>
      <c r="K78">
        <f t="shared" si="13"/>
        <v>11.018318444952897</v>
      </c>
      <c r="L78">
        <f t="shared" si="14"/>
        <v>4.4834762237238079</v>
      </c>
      <c r="M78">
        <f t="shared" si="9"/>
        <v>15.501794668676705</v>
      </c>
      <c r="N78">
        <v>1</v>
      </c>
    </row>
    <row r="79" spans="1:14" x14ac:dyDescent="0.35">
      <c r="A79" s="6" t="s">
        <v>565</v>
      </c>
      <c r="B79">
        <v>800</v>
      </c>
      <c r="C79">
        <v>3</v>
      </c>
      <c r="D79" s="6" t="s">
        <v>570</v>
      </c>
      <c r="E79">
        <f t="shared" si="18"/>
        <v>72</v>
      </c>
      <c r="F79">
        <v>3</v>
      </c>
      <c r="G79">
        <v>2.00765407126047</v>
      </c>
      <c r="H79">
        <v>1.88624000159869</v>
      </c>
      <c r="I79">
        <f t="shared" si="16"/>
        <v>20.0765407126047</v>
      </c>
      <c r="J79">
        <f t="shared" si="17"/>
        <v>18.8624000159869</v>
      </c>
      <c r="K79">
        <f t="shared" si="13"/>
        <v>13.886943210908671</v>
      </c>
      <c r="L79">
        <f t="shared" si="14"/>
        <v>5.8152779249287612</v>
      </c>
      <c r="M79">
        <f t="shared" ref="M79:M143" si="19">L79+K79</f>
        <v>19.702221135837434</v>
      </c>
      <c r="N79">
        <v>1</v>
      </c>
    </row>
    <row r="80" spans="1:14" x14ac:dyDescent="0.35">
      <c r="A80" s="6" t="s">
        <v>565</v>
      </c>
      <c r="B80">
        <v>1200</v>
      </c>
      <c r="C80">
        <v>1</v>
      </c>
      <c r="D80" s="6" t="s">
        <v>569</v>
      </c>
      <c r="E80">
        <f t="shared" si="18"/>
        <v>72</v>
      </c>
      <c r="F80">
        <v>3</v>
      </c>
      <c r="G80">
        <v>43.951441317885198</v>
      </c>
      <c r="H80">
        <v>43.544277704153899</v>
      </c>
      <c r="I80">
        <f t="shared" si="16"/>
        <v>439.51441317885201</v>
      </c>
      <c r="J80">
        <f t="shared" si="17"/>
        <v>435.44277704153899</v>
      </c>
      <c r="K80">
        <f t="shared" si="13"/>
        <v>304.01211959581195</v>
      </c>
      <c r="L80">
        <f t="shared" si="14"/>
        <v>134.24700816190648</v>
      </c>
      <c r="M80">
        <f t="shared" si="19"/>
        <v>438.25912775771843</v>
      </c>
      <c r="N80">
        <v>1</v>
      </c>
    </row>
    <row r="81" spans="1:14" x14ac:dyDescent="0.35">
      <c r="A81" s="6" t="s">
        <v>565</v>
      </c>
      <c r="B81">
        <v>1200</v>
      </c>
      <c r="C81">
        <v>2</v>
      </c>
      <c r="D81" s="6" t="s">
        <v>569</v>
      </c>
      <c r="E81">
        <f t="shared" si="18"/>
        <v>72</v>
      </c>
      <c r="F81">
        <v>3</v>
      </c>
      <c r="G81">
        <v>22.4307215849668</v>
      </c>
      <c r="H81">
        <v>22.2422771967321</v>
      </c>
      <c r="I81">
        <f t="shared" si="16"/>
        <v>224.30721584966801</v>
      </c>
      <c r="J81">
        <f t="shared" si="17"/>
        <v>222.42277196732101</v>
      </c>
      <c r="K81">
        <f t="shared" si="13"/>
        <v>155.15330120321536</v>
      </c>
      <c r="L81">
        <f t="shared" si="14"/>
        <v>68.572940597525076</v>
      </c>
      <c r="M81">
        <f t="shared" si="19"/>
        <v>223.72624180074044</v>
      </c>
      <c r="N81">
        <v>1</v>
      </c>
    </row>
    <row r="82" spans="1:14" x14ac:dyDescent="0.35">
      <c r="A82" s="6" t="s">
        <v>565</v>
      </c>
      <c r="B82">
        <v>1200</v>
      </c>
      <c r="C82">
        <v>3</v>
      </c>
      <c r="D82" s="6" t="s">
        <v>569</v>
      </c>
      <c r="E82">
        <f t="shared" si="18"/>
        <v>72</v>
      </c>
      <c r="F82">
        <v>3</v>
      </c>
      <c r="G82">
        <v>90.858756737208907</v>
      </c>
      <c r="H82">
        <v>90.169924613674496</v>
      </c>
      <c r="I82">
        <f t="shared" si="16"/>
        <v>908.5875673720891</v>
      </c>
      <c r="J82">
        <f t="shared" si="17"/>
        <v>901.69924613674493</v>
      </c>
      <c r="K82">
        <f t="shared" si="13"/>
        <v>628.470020351274</v>
      </c>
      <c r="L82">
        <f t="shared" si="14"/>
        <v>277.99387758395847</v>
      </c>
      <c r="M82">
        <f t="shared" si="19"/>
        <v>906.46389793523247</v>
      </c>
      <c r="N82">
        <v>1</v>
      </c>
    </row>
    <row r="83" spans="1:14" x14ac:dyDescent="0.35">
      <c r="A83" s="6" t="s">
        <v>565</v>
      </c>
      <c r="B83">
        <v>1200</v>
      </c>
      <c r="C83">
        <v>1</v>
      </c>
      <c r="D83" s="6" t="s">
        <v>570</v>
      </c>
      <c r="E83">
        <f t="shared" si="18"/>
        <v>72</v>
      </c>
      <c r="F83">
        <v>3</v>
      </c>
      <c r="G83">
        <v>21.679679831983499</v>
      </c>
      <c r="H83">
        <v>21.376019066857101</v>
      </c>
      <c r="I83">
        <f t="shared" si="16"/>
        <v>216.79679831983498</v>
      </c>
      <c r="J83">
        <f t="shared" si="17"/>
        <v>213.760190668571</v>
      </c>
      <c r="K83">
        <f t="shared" si="13"/>
        <v>149.95834539782985</v>
      </c>
      <c r="L83">
        <f t="shared" si="14"/>
        <v>65.902266783120439</v>
      </c>
      <c r="M83">
        <f t="shared" si="19"/>
        <v>215.86061218095028</v>
      </c>
      <c r="N83">
        <v>1</v>
      </c>
    </row>
    <row r="84" spans="1:14" x14ac:dyDescent="0.35">
      <c r="A84" s="6" t="s">
        <v>565</v>
      </c>
      <c r="B84">
        <v>1200</v>
      </c>
      <c r="C84">
        <v>2</v>
      </c>
      <c r="D84" s="6" t="s">
        <v>570</v>
      </c>
      <c r="E84">
        <f t="shared" si="18"/>
        <v>72</v>
      </c>
      <c r="F84">
        <v>3</v>
      </c>
      <c r="G84">
        <v>9.6631327879590891</v>
      </c>
      <c r="H84">
        <v>9.5002450781254204</v>
      </c>
      <c r="I84">
        <f t="shared" si="16"/>
        <v>96.631327879590884</v>
      </c>
      <c r="J84">
        <f t="shared" si="17"/>
        <v>95.002450781254197</v>
      </c>
      <c r="K84">
        <f t="shared" si="13"/>
        <v>66.839889494313013</v>
      </c>
      <c r="L84">
        <f t="shared" si="14"/>
        <v>29.289255575860672</v>
      </c>
      <c r="M84">
        <f t="shared" si="19"/>
        <v>96.129145070173678</v>
      </c>
      <c r="N84">
        <v>1</v>
      </c>
    </row>
    <row r="85" spans="1:14" x14ac:dyDescent="0.35">
      <c r="A85" s="6" t="s">
        <v>565</v>
      </c>
      <c r="B85">
        <v>1200</v>
      </c>
      <c r="C85">
        <v>3</v>
      </c>
      <c r="D85" s="6" t="s">
        <v>570</v>
      </c>
      <c r="E85">
        <f t="shared" si="18"/>
        <v>72</v>
      </c>
      <c r="F85">
        <v>3</v>
      </c>
      <c r="G85">
        <v>31.137863498286301</v>
      </c>
      <c r="H85">
        <v>30.9779786980307</v>
      </c>
      <c r="I85">
        <f t="shared" si="16"/>
        <v>311.37863498286299</v>
      </c>
      <c r="J85">
        <f t="shared" si="17"/>
        <v>309.77978698030699</v>
      </c>
      <c r="K85">
        <f t="shared" si="13"/>
        <v>215.38060181764632</v>
      </c>
      <c r="L85">
        <f t="shared" si="14"/>
        <v>95.505108326028648</v>
      </c>
      <c r="M85">
        <f t="shared" si="19"/>
        <v>310.88571014367494</v>
      </c>
      <c r="N85">
        <v>1</v>
      </c>
    </row>
    <row r="86" spans="1:14" x14ac:dyDescent="0.35">
      <c r="A86" s="6" t="s">
        <v>565</v>
      </c>
      <c r="B86">
        <v>0</v>
      </c>
      <c r="C86">
        <v>1</v>
      </c>
      <c r="D86" s="6" t="s">
        <v>569</v>
      </c>
      <c r="E86">
        <f>F86*24</f>
        <v>96</v>
      </c>
      <c r="F86">
        <v>4</v>
      </c>
      <c r="G86">
        <v>0.17944993033238801</v>
      </c>
      <c r="H86">
        <v>8.8482734177334599E-2</v>
      </c>
      <c r="I86">
        <f t="shared" si="16"/>
        <v>1.7944993033238801</v>
      </c>
      <c r="J86">
        <f t="shared" si="17"/>
        <v>0.88482734177334599</v>
      </c>
      <c r="K86">
        <f t="shared" si="13"/>
        <v>1.2412551681091277</v>
      </c>
      <c r="L86">
        <f t="shared" si="14"/>
        <v>0.27279226946872259</v>
      </c>
      <c r="M86">
        <f t="shared" si="19"/>
        <v>1.5140474375778503</v>
      </c>
      <c r="N86">
        <v>1</v>
      </c>
    </row>
    <row r="87" spans="1:14" x14ac:dyDescent="0.35">
      <c r="A87" s="6" t="s">
        <v>565</v>
      </c>
      <c r="B87">
        <v>0</v>
      </c>
      <c r="C87">
        <v>2</v>
      </c>
      <c r="D87" s="6" t="s">
        <v>569</v>
      </c>
      <c r="E87">
        <f>F87*24</f>
        <v>96</v>
      </c>
      <c r="F87">
        <v>4</v>
      </c>
      <c r="G87">
        <v>0.19461841556451401</v>
      </c>
      <c r="H87">
        <v>0.109065053782953</v>
      </c>
      <c r="I87">
        <f t="shared" si="16"/>
        <v>1.94618415564514</v>
      </c>
      <c r="J87">
        <f t="shared" si="17"/>
        <v>1.0906505378295299</v>
      </c>
      <c r="K87">
        <f t="shared" si="13"/>
        <v>1.3461755804597433</v>
      </c>
      <c r="L87">
        <f t="shared" si="14"/>
        <v>0.33624756081284407</v>
      </c>
      <c r="M87">
        <f t="shared" si="19"/>
        <v>1.6824231412725874</v>
      </c>
      <c r="N87">
        <v>1</v>
      </c>
    </row>
    <row r="88" spans="1:14" x14ac:dyDescent="0.35">
      <c r="A88" s="6" t="s">
        <v>565</v>
      </c>
      <c r="B88">
        <v>0</v>
      </c>
      <c r="C88">
        <v>3</v>
      </c>
      <c r="D88" s="6" t="s">
        <v>569</v>
      </c>
      <c r="E88">
        <f t="shared" ref="E88:E110" si="20">F88*24</f>
        <v>96</v>
      </c>
      <c r="F88">
        <v>4</v>
      </c>
      <c r="G88">
        <v>0.22897408934260799</v>
      </c>
      <c r="H88">
        <v>0.122946369960046</v>
      </c>
      <c r="I88">
        <f t="shared" si="16"/>
        <v>2.2897408934260799</v>
      </c>
      <c r="J88">
        <f t="shared" si="17"/>
        <v>1.22946369960046</v>
      </c>
      <c r="K88">
        <f t="shared" si="13"/>
        <v>1.5838137759828195</v>
      </c>
      <c r="L88">
        <f t="shared" si="14"/>
        <v>0.37904365858682182</v>
      </c>
      <c r="M88">
        <f t="shared" si="19"/>
        <v>1.9628574345696412</v>
      </c>
      <c r="N88">
        <v>1</v>
      </c>
    </row>
    <row r="89" spans="1:14" x14ac:dyDescent="0.35">
      <c r="A89" s="6" t="s">
        <v>565</v>
      </c>
      <c r="B89">
        <v>0</v>
      </c>
      <c r="C89">
        <v>1</v>
      </c>
      <c r="D89" s="6" t="s">
        <v>570</v>
      </c>
      <c r="E89">
        <f t="shared" si="20"/>
        <v>96</v>
      </c>
      <c r="F89">
        <v>4</v>
      </c>
      <c r="G89">
        <v>0.17740202201576399</v>
      </c>
      <c r="H89">
        <v>7.6237257845687606E-2</v>
      </c>
      <c r="I89">
        <f t="shared" si="16"/>
        <v>1.7740202201576398</v>
      </c>
      <c r="J89">
        <f t="shared" si="17"/>
        <v>0.762372578456876</v>
      </c>
      <c r="K89">
        <f t="shared" si="13"/>
        <v>1.2270897862830394</v>
      </c>
      <c r="L89">
        <f t="shared" si="14"/>
        <v>0.23503946593825489</v>
      </c>
      <c r="M89">
        <f t="shared" si="19"/>
        <v>1.4621292522212943</v>
      </c>
      <c r="N89">
        <v>1</v>
      </c>
    </row>
    <row r="90" spans="1:14" x14ac:dyDescent="0.35">
      <c r="A90" s="6" t="s">
        <v>565</v>
      </c>
      <c r="B90">
        <v>0</v>
      </c>
      <c r="C90">
        <v>2</v>
      </c>
      <c r="D90" s="6" t="s">
        <v>570</v>
      </c>
      <c r="E90">
        <f t="shared" si="20"/>
        <v>96</v>
      </c>
      <c r="F90">
        <v>4</v>
      </c>
      <c r="G90">
        <v>0.19791394753344299</v>
      </c>
      <c r="H90">
        <v>9.6566606552158499E-2</v>
      </c>
      <c r="I90">
        <f t="shared" si="16"/>
        <v>1.97913947533443</v>
      </c>
      <c r="J90">
        <f t="shared" si="17"/>
        <v>0.96566606552158496</v>
      </c>
      <c r="K90">
        <f t="shared" si="13"/>
        <v>1.3689707750888251</v>
      </c>
      <c r="L90">
        <f t="shared" si="14"/>
        <v>0.29771484800030468</v>
      </c>
      <c r="M90">
        <f t="shared" si="19"/>
        <v>1.6666856230891298</v>
      </c>
      <c r="N90">
        <v>1</v>
      </c>
    </row>
    <row r="91" spans="1:14" x14ac:dyDescent="0.35">
      <c r="A91" s="6" t="s">
        <v>565</v>
      </c>
      <c r="B91">
        <v>0</v>
      </c>
      <c r="C91">
        <v>3</v>
      </c>
      <c r="D91" s="6" t="s">
        <v>570</v>
      </c>
      <c r="E91">
        <f t="shared" si="20"/>
        <v>96</v>
      </c>
      <c r="F91">
        <v>4</v>
      </c>
      <c r="G91">
        <v>0.18476895952884101</v>
      </c>
      <c r="H91">
        <v>9.7203717030323503E-2</v>
      </c>
      <c r="I91">
        <f t="shared" si="16"/>
        <v>1.84768959528841</v>
      </c>
      <c r="J91">
        <f t="shared" si="17"/>
        <v>0.972037170303235</v>
      </c>
      <c r="K91">
        <f t="shared" si="13"/>
        <v>1.2780468930609932</v>
      </c>
      <c r="L91">
        <f t="shared" si="14"/>
        <v>0.29967905960448737</v>
      </c>
      <c r="M91">
        <f t="shared" si="19"/>
        <v>1.5777259526654805</v>
      </c>
      <c r="N91">
        <v>1</v>
      </c>
    </row>
    <row r="92" spans="1:14" x14ac:dyDescent="0.35">
      <c r="A92" s="6" t="s">
        <v>565</v>
      </c>
      <c r="B92">
        <v>400</v>
      </c>
      <c r="C92">
        <v>1</v>
      </c>
      <c r="D92" s="6" t="s">
        <v>569</v>
      </c>
      <c r="E92">
        <f t="shared" si="20"/>
        <v>96</v>
      </c>
      <c r="F92">
        <v>4</v>
      </c>
      <c r="G92">
        <v>1.2147125144112501</v>
      </c>
      <c r="H92">
        <v>1.03547465329757</v>
      </c>
      <c r="I92">
        <f t="shared" si="16"/>
        <v>12.147125144112501</v>
      </c>
      <c r="J92">
        <f t="shared" si="17"/>
        <v>10.3547465329757</v>
      </c>
      <c r="K92">
        <f t="shared" si="13"/>
        <v>8.4021664621826169</v>
      </c>
      <c r="L92">
        <f t="shared" si="14"/>
        <v>3.1923683561164085</v>
      </c>
      <c r="M92">
        <f t="shared" si="19"/>
        <v>11.594534818299024</v>
      </c>
      <c r="N92">
        <v>1</v>
      </c>
    </row>
    <row r="93" spans="1:14" x14ac:dyDescent="0.35">
      <c r="A93" s="6" t="s">
        <v>565</v>
      </c>
      <c r="B93">
        <v>400</v>
      </c>
      <c r="C93">
        <v>2</v>
      </c>
      <c r="D93" s="6" t="s">
        <v>569</v>
      </c>
      <c r="E93">
        <f t="shared" si="20"/>
        <v>96</v>
      </c>
      <c r="F93">
        <v>4</v>
      </c>
      <c r="G93">
        <v>1.09764406493654</v>
      </c>
      <c r="H93">
        <v>0.94098855436603601</v>
      </c>
      <c r="I93">
        <f t="shared" si="16"/>
        <v>10.976440649365401</v>
      </c>
      <c r="J93">
        <f t="shared" si="17"/>
        <v>9.4098855436603603</v>
      </c>
      <c r="K93">
        <f t="shared" si="13"/>
        <v>7.5924039971660475</v>
      </c>
      <c r="L93">
        <f t="shared" si="14"/>
        <v>2.9010677131104892</v>
      </c>
      <c r="M93">
        <f t="shared" si="19"/>
        <v>10.493471710276538</v>
      </c>
      <c r="N93">
        <v>1</v>
      </c>
    </row>
    <row r="94" spans="1:14" x14ac:dyDescent="0.35">
      <c r="A94" s="6" t="s">
        <v>565</v>
      </c>
      <c r="B94">
        <v>400</v>
      </c>
      <c r="C94">
        <v>3</v>
      </c>
      <c r="D94" s="6" t="s">
        <v>569</v>
      </c>
      <c r="E94">
        <f t="shared" si="20"/>
        <v>96</v>
      </c>
      <c r="F94">
        <v>4</v>
      </c>
      <c r="G94">
        <v>0.90990425919967599</v>
      </c>
      <c r="H94">
        <v>0.75067916589684103</v>
      </c>
      <c r="I94">
        <f t="shared" si="16"/>
        <v>9.0990425919967599</v>
      </c>
      <c r="J94">
        <f t="shared" si="17"/>
        <v>7.5067916589684103</v>
      </c>
      <c r="K94">
        <f t="shared" si="13"/>
        <v>6.2938077608841585</v>
      </c>
      <c r="L94">
        <f t="shared" si="14"/>
        <v>2.3143438684599609</v>
      </c>
      <c r="M94">
        <f t="shared" si="19"/>
        <v>8.6081516293441194</v>
      </c>
      <c r="N94">
        <v>1</v>
      </c>
    </row>
    <row r="95" spans="1:14" x14ac:dyDescent="0.35">
      <c r="A95" s="6" t="s">
        <v>565</v>
      </c>
      <c r="B95">
        <v>400</v>
      </c>
      <c r="C95">
        <v>1</v>
      </c>
      <c r="D95" s="6" t="s">
        <v>570</v>
      </c>
      <c r="E95">
        <f t="shared" si="20"/>
        <v>96</v>
      </c>
      <c r="F95">
        <v>4</v>
      </c>
      <c r="G95">
        <v>0.773225805443853</v>
      </c>
      <c r="H95">
        <v>0.61078795049679002</v>
      </c>
      <c r="I95">
        <f t="shared" si="16"/>
        <v>7.73225805443853</v>
      </c>
      <c r="J95">
        <f t="shared" si="17"/>
        <v>6.1078795049679</v>
      </c>
      <c r="K95">
        <f t="shared" si="13"/>
        <v>5.3484028962551307</v>
      </c>
      <c r="L95">
        <f t="shared" si="14"/>
        <v>1.8830592513816036</v>
      </c>
      <c r="M95">
        <f t="shared" si="19"/>
        <v>7.2314621476367344</v>
      </c>
      <c r="N95">
        <v>1</v>
      </c>
    </row>
    <row r="96" spans="1:14" x14ac:dyDescent="0.35">
      <c r="A96" s="6" t="s">
        <v>565</v>
      </c>
      <c r="B96">
        <v>400</v>
      </c>
      <c r="C96">
        <v>2</v>
      </c>
      <c r="D96" s="6" t="s">
        <v>570</v>
      </c>
      <c r="E96">
        <f t="shared" si="20"/>
        <v>96</v>
      </c>
      <c r="F96">
        <v>4</v>
      </c>
      <c r="G96">
        <v>0.973216184791456</v>
      </c>
      <c r="H96">
        <v>0.81117601952243801</v>
      </c>
      <c r="I96">
        <f t="shared" si="16"/>
        <v>9.7321618479145595</v>
      </c>
      <c r="J96">
        <f t="shared" si="17"/>
        <v>8.111760195224381</v>
      </c>
      <c r="K96">
        <f t="shared" si="13"/>
        <v>6.7317363502025005</v>
      </c>
      <c r="L96">
        <f t="shared" si="14"/>
        <v>2.5008556681876768</v>
      </c>
      <c r="M96">
        <f t="shared" si="19"/>
        <v>9.2325920183901768</v>
      </c>
      <c r="N96">
        <v>1</v>
      </c>
    </row>
    <row r="97" spans="1:14" x14ac:dyDescent="0.35">
      <c r="A97" s="6" t="s">
        <v>565</v>
      </c>
      <c r="B97">
        <v>400</v>
      </c>
      <c r="C97">
        <v>3</v>
      </c>
      <c r="D97" s="6" t="s">
        <v>570</v>
      </c>
      <c r="E97">
        <f t="shared" si="20"/>
        <v>96</v>
      </c>
      <c r="F97">
        <v>4</v>
      </c>
      <c r="G97">
        <v>0.83012819230703805</v>
      </c>
      <c r="H97">
        <v>0.64692042188088805</v>
      </c>
      <c r="I97">
        <f t="shared" si="16"/>
        <v>8.3012819230703805</v>
      </c>
      <c r="J97">
        <f t="shared" si="17"/>
        <v>6.4692042188088807</v>
      </c>
      <c r="K97">
        <f t="shared" si="13"/>
        <v>5.7419967061877824</v>
      </c>
      <c r="L97">
        <f t="shared" si="14"/>
        <v>1.994455660658778</v>
      </c>
      <c r="M97">
        <f t="shared" si="19"/>
        <v>7.7364523668465601</v>
      </c>
      <c r="N97">
        <v>1</v>
      </c>
    </row>
    <row r="98" spans="1:14" x14ac:dyDescent="0.35">
      <c r="A98" s="6" t="s">
        <v>565</v>
      </c>
      <c r="B98">
        <v>800</v>
      </c>
      <c r="C98">
        <v>1</v>
      </c>
      <c r="D98" s="6" t="s">
        <v>569</v>
      </c>
      <c r="E98">
        <f t="shared" si="20"/>
        <v>96</v>
      </c>
      <c r="F98">
        <v>4</v>
      </c>
      <c r="G98">
        <v>4.9541441628059903</v>
      </c>
      <c r="H98">
        <v>4.79545005580606</v>
      </c>
      <c r="I98">
        <f t="shared" si="16"/>
        <v>49.5414416280599</v>
      </c>
      <c r="J98">
        <f t="shared" si="17"/>
        <v>47.954500558060602</v>
      </c>
      <c r="K98">
        <f t="shared" si="13"/>
        <v>34.267815174129034</v>
      </c>
      <c r="L98">
        <f t="shared" si="14"/>
        <v>14.784372522050084</v>
      </c>
      <c r="M98">
        <f t="shared" si="19"/>
        <v>49.052187696179118</v>
      </c>
      <c r="N98">
        <v>1</v>
      </c>
    </row>
    <row r="99" spans="1:14" x14ac:dyDescent="0.35">
      <c r="A99" s="6" t="s">
        <v>565</v>
      </c>
      <c r="B99">
        <v>800</v>
      </c>
      <c r="C99">
        <v>2</v>
      </c>
      <c r="D99" s="6" t="s">
        <v>569</v>
      </c>
      <c r="E99">
        <f t="shared" si="20"/>
        <v>96</v>
      </c>
      <c r="F99">
        <v>4</v>
      </c>
      <c r="G99">
        <v>4.7408667549616803</v>
      </c>
      <c r="H99">
        <v>4.5825985678203001</v>
      </c>
      <c r="I99">
        <f t="shared" si="16"/>
        <v>47.408667549616801</v>
      </c>
      <c r="J99">
        <f t="shared" si="17"/>
        <v>45.825985678202997</v>
      </c>
      <c r="K99">
        <f t="shared" si="13"/>
        <v>32.792575344069938</v>
      </c>
      <c r="L99">
        <f t="shared" si="14"/>
        <v>14.128151384589986</v>
      </c>
      <c r="M99">
        <f t="shared" si="19"/>
        <v>46.920726728659922</v>
      </c>
      <c r="N99">
        <v>1</v>
      </c>
    </row>
    <row r="100" spans="1:14" x14ac:dyDescent="0.35">
      <c r="A100" s="6" t="s">
        <v>565</v>
      </c>
      <c r="B100">
        <v>800</v>
      </c>
      <c r="C100">
        <v>3</v>
      </c>
      <c r="D100" s="6" t="s">
        <v>569</v>
      </c>
      <c r="E100">
        <f t="shared" si="20"/>
        <v>96</v>
      </c>
      <c r="F100">
        <v>4</v>
      </c>
      <c r="G100">
        <v>7.07603266892741</v>
      </c>
      <c r="H100">
        <v>6.9128717471201302</v>
      </c>
      <c r="I100">
        <f t="shared" si="16"/>
        <v>70.760326689274095</v>
      </c>
      <c r="J100">
        <f t="shared" si="17"/>
        <v>69.128717471201298</v>
      </c>
      <c r="K100">
        <f t="shared" si="13"/>
        <v>48.944917970970891</v>
      </c>
      <c r="L100">
        <f t="shared" si="14"/>
        <v>21.312383596371362</v>
      </c>
      <c r="M100">
        <f t="shared" si="19"/>
        <v>70.257301567342253</v>
      </c>
      <c r="N100">
        <v>1</v>
      </c>
    </row>
    <row r="101" spans="1:14" x14ac:dyDescent="0.35">
      <c r="A101" s="6" t="s">
        <v>565</v>
      </c>
      <c r="B101">
        <v>800</v>
      </c>
      <c r="C101">
        <v>1</v>
      </c>
      <c r="D101" s="6" t="s">
        <v>570</v>
      </c>
      <c r="E101">
        <f t="shared" si="20"/>
        <v>96</v>
      </c>
      <c r="F101">
        <v>4</v>
      </c>
      <c r="G101">
        <v>2.3250508424012799</v>
      </c>
      <c r="H101">
        <v>2.1804676025429099</v>
      </c>
      <c r="I101">
        <f t="shared" si="16"/>
        <v>23.2505084240128</v>
      </c>
      <c r="J101">
        <f t="shared" si="17"/>
        <v>21.804676025429099</v>
      </c>
      <c r="K101">
        <f t="shared" si="13"/>
        <v>16.082376676889652</v>
      </c>
      <c r="L101">
        <f t="shared" si="14"/>
        <v>6.7223816186397913</v>
      </c>
      <c r="M101">
        <f t="shared" si="19"/>
        <v>22.804758295529442</v>
      </c>
      <c r="N101">
        <v>1</v>
      </c>
    </row>
    <row r="102" spans="1:14" x14ac:dyDescent="0.35">
      <c r="A102" s="6" t="s">
        <v>565</v>
      </c>
      <c r="B102">
        <v>800</v>
      </c>
      <c r="C102">
        <v>2</v>
      </c>
      <c r="D102" s="6" t="s">
        <v>570</v>
      </c>
      <c r="E102">
        <f t="shared" si="20"/>
        <v>96</v>
      </c>
      <c r="F102">
        <v>4</v>
      </c>
      <c r="G102">
        <v>2.2541637382312101</v>
      </c>
      <c r="H102">
        <v>2.13304840902794</v>
      </c>
      <c r="I102">
        <f t="shared" si="16"/>
        <v>22.5416373823121</v>
      </c>
      <c r="J102">
        <f t="shared" si="17"/>
        <v>21.330484090279398</v>
      </c>
      <c r="K102">
        <f t="shared" ref="K102:K166" si="21">I102*0.6917</f>
        <v>15.59205057734528</v>
      </c>
      <c r="L102">
        <f t="shared" ref="L102:L166" si="22">J102*0.3083</f>
        <v>6.5761882450331388</v>
      </c>
      <c r="M102">
        <f t="shared" si="19"/>
        <v>22.16823882237842</v>
      </c>
      <c r="N102">
        <v>1</v>
      </c>
    </row>
    <row r="103" spans="1:14" x14ac:dyDescent="0.35">
      <c r="A103" s="6" t="s">
        <v>565</v>
      </c>
      <c r="B103">
        <v>800</v>
      </c>
      <c r="C103">
        <v>3</v>
      </c>
      <c r="D103" s="6" t="s">
        <v>570</v>
      </c>
      <c r="E103">
        <f t="shared" si="20"/>
        <v>96</v>
      </c>
      <c r="F103">
        <v>4</v>
      </c>
      <c r="G103">
        <v>3.3646196831313202</v>
      </c>
      <c r="H103">
        <v>3.22742643949229</v>
      </c>
      <c r="I103">
        <f t="shared" si="16"/>
        <v>33.646196831313205</v>
      </c>
      <c r="J103">
        <f t="shared" si="17"/>
        <v>32.274264394922902</v>
      </c>
      <c r="K103">
        <f t="shared" si="21"/>
        <v>23.273074348219343</v>
      </c>
      <c r="L103">
        <f t="shared" si="22"/>
        <v>9.9501557129547304</v>
      </c>
      <c r="M103">
        <f t="shared" si="19"/>
        <v>33.223230061174071</v>
      </c>
      <c r="N103">
        <v>1</v>
      </c>
    </row>
    <row r="104" spans="1:14" x14ac:dyDescent="0.35">
      <c r="A104" s="6" t="s">
        <v>565</v>
      </c>
      <c r="B104">
        <v>1200</v>
      </c>
      <c r="C104">
        <v>1</v>
      </c>
      <c r="D104" s="6" t="s">
        <v>569</v>
      </c>
      <c r="E104">
        <f t="shared" si="20"/>
        <v>96</v>
      </c>
      <c r="F104">
        <v>4</v>
      </c>
      <c r="G104">
        <v>48.642129250454403</v>
      </c>
      <c r="H104">
        <v>48.009649676831401</v>
      </c>
      <c r="I104">
        <f t="shared" si="16"/>
        <v>486.421292504544</v>
      </c>
      <c r="J104">
        <f t="shared" si="17"/>
        <v>480.09649676831401</v>
      </c>
      <c r="K104">
        <f t="shared" si="21"/>
        <v>336.45760802539309</v>
      </c>
      <c r="L104">
        <f t="shared" si="22"/>
        <v>148.01374995367121</v>
      </c>
      <c r="M104">
        <f t="shared" si="19"/>
        <v>484.47135797906429</v>
      </c>
      <c r="N104">
        <v>1</v>
      </c>
    </row>
    <row r="105" spans="1:14" x14ac:dyDescent="0.35">
      <c r="A105" s="6" t="s">
        <v>565</v>
      </c>
      <c r="B105">
        <v>1200</v>
      </c>
      <c r="C105">
        <v>2</v>
      </c>
      <c r="D105" s="6" t="s">
        <v>569</v>
      </c>
      <c r="E105">
        <f t="shared" si="20"/>
        <v>96</v>
      </c>
      <c r="F105">
        <v>4</v>
      </c>
      <c r="G105">
        <v>20.944189490270301</v>
      </c>
      <c r="H105">
        <v>20.723583150482899</v>
      </c>
      <c r="I105">
        <f t="shared" si="16"/>
        <v>209.44189490270301</v>
      </c>
      <c r="J105">
        <f t="shared" si="17"/>
        <v>207.23583150482898</v>
      </c>
      <c r="K105">
        <f t="shared" si="21"/>
        <v>144.87095870419967</v>
      </c>
      <c r="L105">
        <f t="shared" si="22"/>
        <v>63.89080685293878</v>
      </c>
      <c r="M105">
        <f t="shared" si="19"/>
        <v>208.76176555713846</v>
      </c>
      <c r="N105">
        <v>1</v>
      </c>
    </row>
    <row r="106" spans="1:14" x14ac:dyDescent="0.35">
      <c r="A106" s="9" t="s">
        <v>565</v>
      </c>
      <c r="B106" s="2">
        <v>1200</v>
      </c>
      <c r="C106" s="2">
        <v>3</v>
      </c>
      <c r="D106" s="9" t="s">
        <v>569</v>
      </c>
      <c r="E106" s="2">
        <v>96</v>
      </c>
      <c r="F106" s="2">
        <v>4</v>
      </c>
      <c r="G106" s="2">
        <v>728.62567184556497</v>
      </c>
      <c r="H106" s="2">
        <v>563.34371996320101</v>
      </c>
      <c r="I106">
        <v>7286.2567184556501</v>
      </c>
      <c r="J106">
        <v>5633.4371996320097</v>
      </c>
      <c r="K106">
        <v>5039.9037721557734</v>
      </c>
      <c r="L106">
        <v>1736.7886886465487</v>
      </c>
      <c r="M106">
        <v>677.66924608023203</v>
      </c>
      <c r="N106">
        <v>1</v>
      </c>
    </row>
    <row r="107" spans="1:14" s="2" customFormat="1" x14ac:dyDescent="0.35">
      <c r="A107" s="9" t="s">
        <v>565</v>
      </c>
      <c r="B107" s="2">
        <v>1200</v>
      </c>
      <c r="C107" s="2">
        <v>3</v>
      </c>
      <c r="D107" s="9" t="s">
        <v>569</v>
      </c>
      <c r="E107" s="2">
        <f t="shared" si="20"/>
        <v>96</v>
      </c>
      <c r="F107" s="2">
        <v>4</v>
      </c>
      <c r="G107" s="2">
        <v>728.62567184556497</v>
      </c>
      <c r="H107" s="2">
        <v>563.34371996320101</v>
      </c>
      <c r="I107">
        <f t="shared" si="16"/>
        <v>7286.2567184556501</v>
      </c>
      <c r="J107">
        <f t="shared" si="17"/>
        <v>5633.4371996320097</v>
      </c>
      <c r="K107">
        <f t="shared" si="21"/>
        <v>5039.9037721557734</v>
      </c>
      <c r="L107">
        <f t="shared" si="22"/>
        <v>1736.7886886465487</v>
      </c>
      <c r="M107">
        <f t="shared" si="19"/>
        <v>6776.6924608023219</v>
      </c>
      <c r="N107">
        <v>0</v>
      </c>
    </row>
    <row r="108" spans="1:14" x14ac:dyDescent="0.35">
      <c r="A108" s="6" t="s">
        <v>565</v>
      </c>
      <c r="B108">
        <v>1200</v>
      </c>
      <c r="C108">
        <v>1</v>
      </c>
      <c r="D108" s="6" t="s">
        <v>570</v>
      </c>
      <c r="E108">
        <f t="shared" si="20"/>
        <v>96</v>
      </c>
      <c r="F108">
        <v>4</v>
      </c>
      <c r="G108">
        <v>16.4210915278736</v>
      </c>
      <c r="H108">
        <v>16.295351561788902</v>
      </c>
      <c r="I108">
        <f t="shared" si="16"/>
        <v>164.210915278736</v>
      </c>
      <c r="J108">
        <f t="shared" si="17"/>
        <v>162.95351561788902</v>
      </c>
      <c r="K108">
        <f t="shared" si="21"/>
        <v>113.58469009830169</v>
      </c>
      <c r="L108">
        <f t="shared" si="22"/>
        <v>50.238568864995187</v>
      </c>
      <c r="M108">
        <f t="shared" si="19"/>
        <v>163.82325896329689</v>
      </c>
      <c r="N108">
        <v>1</v>
      </c>
    </row>
    <row r="109" spans="1:14" x14ac:dyDescent="0.35">
      <c r="A109" s="6" t="s">
        <v>565</v>
      </c>
      <c r="B109">
        <v>1200</v>
      </c>
      <c r="C109">
        <v>2</v>
      </c>
      <c r="D109" s="6" t="s">
        <v>570</v>
      </c>
      <c r="E109">
        <f t="shared" si="20"/>
        <v>96</v>
      </c>
      <c r="F109">
        <v>4</v>
      </c>
      <c r="G109">
        <v>9.4864744672184305</v>
      </c>
      <c r="H109">
        <v>9.4094888989868295</v>
      </c>
      <c r="I109">
        <f t="shared" si="16"/>
        <v>94.864744672184301</v>
      </c>
      <c r="J109">
        <f t="shared" si="17"/>
        <v>94.094888989868295</v>
      </c>
      <c r="K109">
        <f t="shared" si="21"/>
        <v>65.617943889749881</v>
      </c>
      <c r="L109">
        <f t="shared" si="22"/>
        <v>29.009454275576395</v>
      </c>
      <c r="M109">
        <f t="shared" si="19"/>
        <v>94.627398165326269</v>
      </c>
      <c r="N109">
        <v>1</v>
      </c>
    </row>
    <row r="110" spans="1:14" x14ac:dyDescent="0.35">
      <c r="A110" s="6" t="s">
        <v>565</v>
      </c>
      <c r="B110">
        <v>1200</v>
      </c>
      <c r="C110">
        <v>3</v>
      </c>
      <c r="D110" s="6" t="s">
        <v>570</v>
      </c>
      <c r="E110">
        <f t="shared" si="20"/>
        <v>96</v>
      </c>
      <c r="F110">
        <v>4</v>
      </c>
      <c r="G110">
        <v>27.924721167128901</v>
      </c>
      <c r="H110">
        <v>27.8832179994534</v>
      </c>
      <c r="I110">
        <f t="shared" si="16"/>
        <v>279.24721167128899</v>
      </c>
      <c r="J110">
        <f t="shared" si="17"/>
        <v>278.83217999453399</v>
      </c>
      <c r="K110">
        <f t="shared" si="21"/>
        <v>193.15529631303059</v>
      </c>
      <c r="L110">
        <f t="shared" si="22"/>
        <v>85.963961092314833</v>
      </c>
      <c r="M110">
        <f t="shared" si="19"/>
        <v>279.11925740534542</v>
      </c>
      <c r="N110">
        <v>1</v>
      </c>
    </row>
    <row r="111" spans="1:14" x14ac:dyDescent="0.35">
      <c r="A111" s="6" t="s">
        <v>565</v>
      </c>
      <c r="B111">
        <v>0</v>
      </c>
      <c r="C111">
        <v>1</v>
      </c>
      <c r="D111" s="6" t="s">
        <v>569</v>
      </c>
      <c r="E111">
        <f>F111*24</f>
        <v>120</v>
      </c>
      <c r="F111">
        <v>5</v>
      </c>
      <c r="G111">
        <v>0.22500993940296199</v>
      </c>
      <c r="H111">
        <v>0.13202709387155101</v>
      </c>
      <c r="I111">
        <f t="shared" si="16"/>
        <v>2.2500993940296201</v>
      </c>
      <c r="J111">
        <f t="shared" si="17"/>
        <v>1.32027093871551</v>
      </c>
      <c r="K111">
        <f t="shared" si="21"/>
        <v>1.5563937508502881</v>
      </c>
      <c r="L111">
        <f t="shared" si="22"/>
        <v>0.40703953040599178</v>
      </c>
      <c r="M111">
        <f t="shared" si="19"/>
        <v>1.9634332812562798</v>
      </c>
      <c r="N111">
        <v>1</v>
      </c>
    </row>
    <row r="112" spans="1:14" x14ac:dyDescent="0.35">
      <c r="A112" s="6" t="s">
        <v>565</v>
      </c>
      <c r="B112">
        <v>0</v>
      </c>
      <c r="C112">
        <v>2</v>
      </c>
      <c r="D112" s="6" t="s">
        <v>569</v>
      </c>
      <c r="E112">
        <f>F112*24</f>
        <v>120</v>
      </c>
      <c r="F112">
        <v>5</v>
      </c>
      <c r="G112">
        <v>0.22896408868479901</v>
      </c>
      <c r="H112">
        <v>0.119389547872332</v>
      </c>
      <c r="I112">
        <f t="shared" si="16"/>
        <v>2.2896408868479901</v>
      </c>
      <c r="J112">
        <f t="shared" si="17"/>
        <v>1.19389547872332</v>
      </c>
      <c r="K112">
        <f t="shared" si="21"/>
        <v>1.5837446014327548</v>
      </c>
      <c r="L112">
        <f t="shared" si="22"/>
        <v>0.36807797609039961</v>
      </c>
      <c r="M112">
        <f t="shared" si="19"/>
        <v>1.9518225775231544</v>
      </c>
      <c r="N112">
        <v>1</v>
      </c>
    </row>
    <row r="113" spans="1:14" x14ac:dyDescent="0.35">
      <c r="A113" s="6" t="s">
        <v>565</v>
      </c>
      <c r="B113">
        <v>0</v>
      </c>
      <c r="C113">
        <v>3</v>
      </c>
      <c r="D113" s="6" t="s">
        <v>569</v>
      </c>
      <c r="E113">
        <f t="shared" ref="E113:E134" si="23">F113*24</f>
        <v>120</v>
      </c>
      <c r="F113">
        <v>5</v>
      </c>
      <c r="G113">
        <v>0.27426917906829801</v>
      </c>
      <c r="H113">
        <v>0.174270397771532</v>
      </c>
      <c r="I113">
        <f t="shared" si="16"/>
        <v>2.7426917906829802</v>
      </c>
      <c r="J113">
        <f t="shared" si="17"/>
        <v>1.7427039777153199</v>
      </c>
      <c r="K113">
        <f t="shared" si="21"/>
        <v>1.8971199116154174</v>
      </c>
      <c r="L113">
        <f t="shared" si="22"/>
        <v>0.53727563632963315</v>
      </c>
      <c r="M113">
        <f t="shared" si="19"/>
        <v>2.4343955479450505</v>
      </c>
      <c r="N113">
        <v>1</v>
      </c>
    </row>
    <row r="114" spans="1:14" x14ac:dyDescent="0.35">
      <c r="A114" s="6" t="s">
        <v>565</v>
      </c>
      <c r="B114">
        <v>0</v>
      </c>
      <c r="C114">
        <v>1</v>
      </c>
      <c r="D114" s="6" t="s">
        <v>570</v>
      </c>
      <c r="E114">
        <f t="shared" si="23"/>
        <v>120</v>
      </c>
      <c r="F114">
        <v>5</v>
      </c>
      <c r="G114">
        <v>0.19558601595573899</v>
      </c>
      <c r="H114">
        <v>7.24770167293739E-2</v>
      </c>
      <c r="I114">
        <f t="shared" si="16"/>
        <v>1.9558601595573899</v>
      </c>
      <c r="J114">
        <f t="shared" si="17"/>
        <v>0.724770167293739</v>
      </c>
      <c r="K114">
        <f t="shared" si="21"/>
        <v>1.3528684723658466</v>
      </c>
      <c r="L114">
        <f t="shared" si="22"/>
        <v>0.22344664257665975</v>
      </c>
      <c r="M114">
        <f t="shared" si="19"/>
        <v>1.5763151149425063</v>
      </c>
      <c r="N114">
        <v>1</v>
      </c>
    </row>
    <row r="115" spans="1:14" x14ac:dyDescent="0.35">
      <c r="A115" s="6" t="s">
        <v>565</v>
      </c>
      <c r="B115">
        <v>0</v>
      </c>
      <c r="C115">
        <v>2</v>
      </c>
      <c r="D115" s="6" t="s">
        <v>570</v>
      </c>
      <c r="E115">
        <f t="shared" si="23"/>
        <v>120</v>
      </c>
      <c r="F115">
        <v>5</v>
      </c>
      <c r="G115">
        <v>0.20840342544604201</v>
      </c>
      <c r="H115">
        <v>9.1944033495667293E-2</v>
      </c>
      <c r="I115">
        <f t="shared" si="16"/>
        <v>2.0840342544604202</v>
      </c>
      <c r="J115">
        <f t="shared" si="17"/>
        <v>0.91944033495667288</v>
      </c>
      <c r="K115">
        <f t="shared" si="21"/>
        <v>1.4415264938102725</v>
      </c>
      <c r="L115">
        <f t="shared" si="22"/>
        <v>0.28346345526714228</v>
      </c>
      <c r="M115">
        <f t="shared" si="19"/>
        <v>1.7249899490774148</v>
      </c>
      <c r="N115">
        <v>1</v>
      </c>
    </row>
    <row r="116" spans="1:14" x14ac:dyDescent="0.35">
      <c r="A116" s="6" t="s">
        <v>565</v>
      </c>
      <c r="B116">
        <v>0</v>
      </c>
      <c r="C116">
        <v>3</v>
      </c>
      <c r="D116" s="6" t="s">
        <v>570</v>
      </c>
      <c r="E116">
        <f t="shared" si="23"/>
        <v>120</v>
      </c>
      <c r="F116">
        <v>5</v>
      </c>
      <c r="G116">
        <v>0.202994392849251</v>
      </c>
      <c r="H116">
        <v>9.3075871553165296E-2</v>
      </c>
      <c r="I116">
        <f t="shared" si="16"/>
        <v>2.0299439284925098</v>
      </c>
      <c r="J116">
        <f t="shared" si="17"/>
        <v>0.93075871553165301</v>
      </c>
      <c r="K116">
        <f t="shared" si="21"/>
        <v>1.404112215338269</v>
      </c>
      <c r="L116">
        <f t="shared" si="22"/>
        <v>0.28695291199840867</v>
      </c>
      <c r="M116">
        <f t="shared" si="19"/>
        <v>1.6910651273366777</v>
      </c>
      <c r="N116">
        <v>1</v>
      </c>
    </row>
    <row r="117" spans="1:14" x14ac:dyDescent="0.35">
      <c r="A117" s="6" t="s">
        <v>565</v>
      </c>
      <c r="B117">
        <v>400</v>
      </c>
      <c r="C117">
        <v>1</v>
      </c>
      <c r="D117" s="6" t="s">
        <v>569</v>
      </c>
      <c r="E117">
        <f t="shared" si="23"/>
        <v>120</v>
      </c>
      <c r="F117">
        <v>5</v>
      </c>
      <c r="G117">
        <v>1.4422971627226799</v>
      </c>
      <c r="H117">
        <v>1.26244406901727</v>
      </c>
      <c r="I117">
        <f t="shared" si="16"/>
        <v>14.422971627226799</v>
      </c>
      <c r="J117">
        <f t="shared" si="17"/>
        <v>12.624440690172701</v>
      </c>
      <c r="K117">
        <f t="shared" si="21"/>
        <v>9.9763694745527758</v>
      </c>
      <c r="L117">
        <f t="shared" si="22"/>
        <v>3.8921150647802438</v>
      </c>
      <c r="M117">
        <f t="shared" si="19"/>
        <v>13.86848453933302</v>
      </c>
      <c r="N117">
        <v>1</v>
      </c>
    </row>
    <row r="118" spans="1:14" x14ac:dyDescent="0.35">
      <c r="A118" s="6" t="s">
        <v>565</v>
      </c>
      <c r="B118">
        <v>400</v>
      </c>
      <c r="C118">
        <v>2</v>
      </c>
      <c r="D118" s="6" t="s">
        <v>569</v>
      </c>
      <c r="E118">
        <f t="shared" si="23"/>
        <v>120</v>
      </c>
      <c r="F118">
        <v>5</v>
      </c>
      <c r="G118">
        <v>1.28651086367391</v>
      </c>
      <c r="H118">
        <v>1.16210119943542</v>
      </c>
      <c r="I118">
        <f t="shared" si="16"/>
        <v>12.8651086367391</v>
      </c>
      <c r="J118">
        <f t="shared" si="17"/>
        <v>11.6210119943542</v>
      </c>
      <c r="K118">
        <f t="shared" si="21"/>
        <v>8.8987956440324343</v>
      </c>
      <c r="L118">
        <f t="shared" si="22"/>
        <v>3.5827579978594</v>
      </c>
      <c r="M118">
        <f t="shared" si="19"/>
        <v>12.481553641891834</v>
      </c>
      <c r="N118">
        <v>1</v>
      </c>
    </row>
    <row r="119" spans="1:14" x14ac:dyDescent="0.35">
      <c r="A119" s="6" t="s">
        <v>565</v>
      </c>
      <c r="B119">
        <v>400</v>
      </c>
      <c r="C119">
        <v>3</v>
      </c>
      <c r="D119" s="6" t="s">
        <v>569</v>
      </c>
      <c r="E119">
        <f t="shared" si="23"/>
        <v>120</v>
      </c>
      <c r="F119">
        <v>5</v>
      </c>
      <c r="G119">
        <v>1.08117576258813</v>
      </c>
      <c r="H119">
        <v>0.90775516716843396</v>
      </c>
      <c r="I119">
        <f t="shared" si="16"/>
        <v>10.811757625881299</v>
      </c>
      <c r="J119">
        <f t="shared" si="17"/>
        <v>9.0775516716843399</v>
      </c>
      <c r="K119">
        <f t="shared" si="21"/>
        <v>7.4784927498220943</v>
      </c>
      <c r="L119">
        <f t="shared" si="22"/>
        <v>2.7986091803802822</v>
      </c>
      <c r="M119">
        <f t="shared" si="19"/>
        <v>10.277101930202377</v>
      </c>
      <c r="N119">
        <v>1</v>
      </c>
    </row>
    <row r="120" spans="1:14" x14ac:dyDescent="0.35">
      <c r="A120" s="6" t="s">
        <v>565</v>
      </c>
      <c r="B120">
        <v>400</v>
      </c>
      <c r="C120">
        <v>1</v>
      </c>
      <c r="D120" s="6" t="s">
        <v>570</v>
      </c>
      <c r="E120">
        <f t="shared" si="23"/>
        <v>120</v>
      </c>
      <c r="F120">
        <v>5</v>
      </c>
      <c r="G120">
        <v>0.89800802061721796</v>
      </c>
      <c r="H120">
        <v>0.71658782656822895</v>
      </c>
      <c r="I120">
        <f t="shared" si="16"/>
        <v>8.9800802061721789</v>
      </c>
      <c r="J120">
        <f t="shared" si="17"/>
        <v>7.1658782656822897</v>
      </c>
      <c r="K120">
        <f t="shared" si="21"/>
        <v>6.2115214786092956</v>
      </c>
      <c r="L120">
        <f t="shared" si="22"/>
        <v>2.2092402693098498</v>
      </c>
      <c r="M120">
        <f t="shared" si="19"/>
        <v>8.4207617479191459</v>
      </c>
      <c r="N120">
        <v>1</v>
      </c>
    </row>
    <row r="121" spans="1:14" x14ac:dyDescent="0.35">
      <c r="A121" s="6" t="s">
        <v>565</v>
      </c>
      <c r="B121">
        <v>400</v>
      </c>
      <c r="C121">
        <v>2</v>
      </c>
      <c r="D121" s="6" t="s">
        <v>570</v>
      </c>
      <c r="E121">
        <f t="shared" si="23"/>
        <v>120</v>
      </c>
      <c r="F121">
        <v>5</v>
      </c>
      <c r="G121">
        <v>0.81790193365959696</v>
      </c>
      <c r="H121">
        <v>0.65466847318805299</v>
      </c>
      <c r="I121">
        <f t="shared" ref="I121:I184" si="24">G121*10</f>
        <v>8.1790193365959691</v>
      </c>
      <c r="J121">
        <f t="shared" ref="J121:J184" si="25">H121*10</f>
        <v>6.5466847318805304</v>
      </c>
      <c r="K121">
        <f t="shared" si="21"/>
        <v>5.657427675123432</v>
      </c>
      <c r="L121">
        <f t="shared" si="22"/>
        <v>2.0183429028387678</v>
      </c>
      <c r="M121">
        <f t="shared" si="19"/>
        <v>7.6757705779621999</v>
      </c>
      <c r="N121">
        <v>1</v>
      </c>
    </row>
    <row r="122" spans="1:14" x14ac:dyDescent="0.35">
      <c r="A122" s="6" t="s">
        <v>565</v>
      </c>
      <c r="B122">
        <v>400</v>
      </c>
      <c r="C122">
        <v>3</v>
      </c>
      <c r="D122" s="6" t="s">
        <v>570</v>
      </c>
      <c r="E122">
        <f t="shared" si="23"/>
        <v>120</v>
      </c>
      <c r="F122">
        <v>5</v>
      </c>
      <c r="G122">
        <v>0.63362811761676496</v>
      </c>
      <c r="H122">
        <v>0.46781579430773501</v>
      </c>
      <c r="I122">
        <f t="shared" si="24"/>
        <v>6.3362811761676499</v>
      </c>
      <c r="J122">
        <f t="shared" si="25"/>
        <v>4.6781579430773501</v>
      </c>
      <c r="K122">
        <f t="shared" si="21"/>
        <v>4.3828056895551635</v>
      </c>
      <c r="L122">
        <f t="shared" si="22"/>
        <v>1.4422760938507471</v>
      </c>
      <c r="M122">
        <f t="shared" si="19"/>
        <v>5.8250817834059108</v>
      </c>
      <c r="N122">
        <v>1</v>
      </c>
    </row>
    <row r="123" spans="1:14" x14ac:dyDescent="0.35">
      <c r="A123" s="6" t="s">
        <v>565</v>
      </c>
      <c r="B123">
        <v>800</v>
      </c>
      <c r="C123">
        <v>1</v>
      </c>
      <c r="D123" s="6" t="s">
        <v>569</v>
      </c>
      <c r="E123">
        <f t="shared" si="23"/>
        <v>120</v>
      </c>
      <c r="F123">
        <v>5</v>
      </c>
      <c r="G123">
        <v>4.0135739806295296</v>
      </c>
      <c r="H123">
        <v>3.8405519001589199</v>
      </c>
      <c r="I123">
        <f t="shared" si="24"/>
        <v>40.135739806295298</v>
      </c>
      <c r="J123">
        <f t="shared" si="25"/>
        <v>38.405519001589198</v>
      </c>
      <c r="K123">
        <f t="shared" si="21"/>
        <v>27.761891224014455</v>
      </c>
      <c r="L123">
        <f t="shared" si="22"/>
        <v>11.84042150818995</v>
      </c>
      <c r="M123">
        <f t="shared" si="19"/>
        <v>39.602312732204403</v>
      </c>
      <c r="N123">
        <v>1</v>
      </c>
    </row>
    <row r="124" spans="1:14" x14ac:dyDescent="0.35">
      <c r="A124" s="6" t="s">
        <v>565</v>
      </c>
      <c r="B124">
        <v>800</v>
      </c>
      <c r="C124">
        <v>2</v>
      </c>
      <c r="D124" s="6" t="s">
        <v>569</v>
      </c>
      <c r="E124">
        <f t="shared" si="23"/>
        <v>120</v>
      </c>
      <c r="F124">
        <v>5</v>
      </c>
      <c r="G124">
        <v>4.1164423410286197</v>
      </c>
      <c r="H124">
        <v>3.9624443484670602</v>
      </c>
      <c r="I124">
        <f t="shared" si="24"/>
        <v>41.164423410286197</v>
      </c>
      <c r="J124">
        <f t="shared" si="25"/>
        <v>39.6244434846706</v>
      </c>
      <c r="K124">
        <f t="shared" si="21"/>
        <v>28.473431672894961</v>
      </c>
      <c r="L124">
        <f t="shared" si="22"/>
        <v>12.216215926323947</v>
      </c>
      <c r="M124">
        <f t="shared" si="19"/>
        <v>40.689647599218908</v>
      </c>
      <c r="N124">
        <v>1</v>
      </c>
    </row>
    <row r="125" spans="1:14" x14ac:dyDescent="0.35">
      <c r="A125" s="6" t="s">
        <v>565</v>
      </c>
      <c r="B125">
        <v>800</v>
      </c>
      <c r="C125">
        <v>3</v>
      </c>
      <c r="D125" s="6" t="s">
        <v>569</v>
      </c>
      <c r="E125">
        <f t="shared" si="23"/>
        <v>120</v>
      </c>
      <c r="F125">
        <v>5</v>
      </c>
      <c r="G125">
        <v>5.3707565691227996</v>
      </c>
      <c r="H125">
        <v>5.1661872050535704</v>
      </c>
      <c r="I125">
        <f t="shared" si="24"/>
        <v>53.707565691227998</v>
      </c>
      <c r="J125">
        <f t="shared" si="25"/>
        <v>51.661872050535706</v>
      </c>
      <c r="K125">
        <f t="shared" si="21"/>
        <v>37.149523188622403</v>
      </c>
      <c r="L125">
        <f t="shared" si="22"/>
        <v>15.927355153180159</v>
      </c>
      <c r="M125">
        <f t="shared" si="19"/>
        <v>53.076878341802562</v>
      </c>
      <c r="N125">
        <v>1</v>
      </c>
    </row>
    <row r="126" spans="1:14" x14ac:dyDescent="0.35">
      <c r="A126" s="6" t="s">
        <v>565</v>
      </c>
      <c r="B126">
        <v>800</v>
      </c>
      <c r="C126">
        <v>1</v>
      </c>
      <c r="D126" s="6" t="s">
        <v>570</v>
      </c>
      <c r="E126">
        <f t="shared" si="23"/>
        <v>120</v>
      </c>
      <c r="F126">
        <v>5</v>
      </c>
      <c r="G126">
        <v>1.9955058817387801</v>
      </c>
      <c r="H126">
        <v>1.8203166023612101</v>
      </c>
      <c r="I126">
        <f t="shared" si="24"/>
        <v>19.955058817387801</v>
      </c>
      <c r="J126">
        <f t="shared" si="25"/>
        <v>18.203166023612102</v>
      </c>
      <c r="K126">
        <f t="shared" si="21"/>
        <v>13.802914183987141</v>
      </c>
      <c r="L126">
        <f t="shared" si="22"/>
        <v>5.6120360850796116</v>
      </c>
      <c r="M126">
        <f t="shared" si="19"/>
        <v>19.414950269066754</v>
      </c>
      <c r="N126">
        <v>1</v>
      </c>
    </row>
    <row r="127" spans="1:14" x14ac:dyDescent="0.35">
      <c r="A127" s="6" t="s">
        <v>565</v>
      </c>
      <c r="B127">
        <v>800</v>
      </c>
      <c r="C127">
        <v>2</v>
      </c>
      <c r="D127" s="6" t="s">
        <v>570</v>
      </c>
      <c r="E127">
        <f t="shared" si="23"/>
        <v>120</v>
      </c>
      <c r="F127">
        <v>5</v>
      </c>
      <c r="G127">
        <v>2.1396905125166898</v>
      </c>
      <c r="H127">
        <v>1.9677777584306499</v>
      </c>
      <c r="I127">
        <f t="shared" si="24"/>
        <v>21.396905125166899</v>
      </c>
      <c r="J127">
        <f t="shared" si="25"/>
        <v>19.677777584306501</v>
      </c>
      <c r="K127">
        <f t="shared" si="21"/>
        <v>14.800239275077944</v>
      </c>
      <c r="L127">
        <f t="shared" si="22"/>
        <v>6.0666588292416943</v>
      </c>
      <c r="M127">
        <f t="shared" si="19"/>
        <v>20.866898104319638</v>
      </c>
      <c r="N127">
        <v>1</v>
      </c>
    </row>
    <row r="128" spans="1:14" x14ac:dyDescent="0.35">
      <c r="A128" s="6" t="s">
        <v>565</v>
      </c>
      <c r="B128">
        <v>800</v>
      </c>
      <c r="C128">
        <v>3</v>
      </c>
      <c r="D128" s="6" t="s">
        <v>570</v>
      </c>
      <c r="E128">
        <f t="shared" si="23"/>
        <v>120</v>
      </c>
      <c r="F128">
        <v>5</v>
      </c>
      <c r="G128">
        <v>2.4621246685010401</v>
      </c>
      <c r="H128">
        <v>2.3243070958416698</v>
      </c>
      <c r="I128">
        <f t="shared" si="24"/>
        <v>24.621246685010401</v>
      </c>
      <c r="J128">
        <f t="shared" si="25"/>
        <v>23.243070958416698</v>
      </c>
      <c r="K128">
        <f t="shared" si="21"/>
        <v>17.030516332021694</v>
      </c>
      <c r="L128">
        <f t="shared" si="22"/>
        <v>7.1658387764798688</v>
      </c>
      <c r="M128">
        <f t="shared" si="19"/>
        <v>24.196355108501564</v>
      </c>
      <c r="N128">
        <v>1</v>
      </c>
    </row>
    <row r="129" spans="1:14" x14ac:dyDescent="0.35">
      <c r="A129" s="6" t="s">
        <v>565</v>
      </c>
      <c r="B129">
        <v>1200</v>
      </c>
      <c r="C129">
        <v>1</v>
      </c>
      <c r="D129" s="6" t="s">
        <v>569</v>
      </c>
      <c r="E129">
        <f t="shared" si="23"/>
        <v>120</v>
      </c>
      <c r="F129">
        <v>5</v>
      </c>
      <c r="G129">
        <v>42.661748701808001</v>
      </c>
      <c r="H129">
        <v>42.470342484071402</v>
      </c>
      <c r="I129">
        <f t="shared" si="24"/>
        <v>426.61748701808</v>
      </c>
      <c r="J129">
        <f t="shared" si="25"/>
        <v>424.70342484071404</v>
      </c>
      <c r="K129">
        <f t="shared" si="21"/>
        <v>295.09131577040591</v>
      </c>
      <c r="L129">
        <f t="shared" si="22"/>
        <v>130.93606587839216</v>
      </c>
      <c r="M129">
        <f t="shared" si="19"/>
        <v>426.02738164879804</v>
      </c>
      <c r="N129">
        <v>1</v>
      </c>
    </row>
    <row r="130" spans="1:14" x14ac:dyDescent="0.35">
      <c r="A130" s="6" t="s">
        <v>565</v>
      </c>
      <c r="B130">
        <v>1200</v>
      </c>
      <c r="C130">
        <v>2</v>
      </c>
      <c r="D130" s="6" t="s">
        <v>569</v>
      </c>
      <c r="E130">
        <f t="shared" si="23"/>
        <v>120</v>
      </c>
      <c r="F130">
        <v>5</v>
      </c>
      <c r="G130">
        <v>99.310522067283699</v>
      </c>
      <c r="H130">
        <v>99.059926125659501</v>
      </c>
      <c r="I130">
        <f t="shared" si="24"/>
        <v>993.10522067283705</v>
      </c>
      <c r="J130">
        <f t="shared" si="25"/>
        <v>990.59926125659501</v>
      </c>
      <c r="K130">
        <f t="shared" si="21"/>
        <v>686.93088113940132</v>
      </c>
      <c r="L130">
        <f t="shared" si="22"/>
        <v>305.40175224540826</v>
      </c>
      <c r="M130">
        <f t="shared" si="19"/>
        <v>992.33263338480958</v>
      </c>
      <c r="N130">
        <v>1</v>
      </c>
    </row>
    <row r="131" spans="1:14" x14ac:dyDescent="0.35">
      <c r="A131" s="6" t="s">
        <v>565</v>
      </c>
      <c r="B131">
        <v>1200</v>
      </c>
      <c r="C131">
        <v>3</v>
      </c>
      <c r="D131" s="6" t="s">
        <v>569</v>
      </c>
      <c r="E131">
        <f t="shared" si="23"/>
        <v>120</v>
      </c>
      <c r="F131">
        <v>5</v>
      </c>
      <c r="G131">
        <v>65.126874782240904</v>
      </c>
      <c r="H131">
        <v>64.5939724238944</v>
      </c>
      <c r="I131">
        <f t="shared" si="24"/>
        <v>651.26874782240907</v>
      </c>
      <c r="J131">
        <f t="shared" si="25"/>
        <v>645.939724238944</v>
      </c>
      <c r="K131">
        <f t="shared" si="21"/>
        <v>450.48259286876032</v>
      </c>
      <c r="L131">
        <f t="shared" si="22"/>
        <v>199.14321698286645</v>
      </c>
      <c r="M131">
        <f t="shared" si="19"/>
        <v>649.62580985162674</v>
      </c>
      <c r="N131">
        <v>1</v>
      </c>
    </row>
    <row r="132" spans="1:14" x14ac:dyDescent="0.35">
      <c r="A132" s="6" t="s">
        <v>565</v>
      </c>
      <c r="B132">
        <v>1200</v>
      </c>
      <c r="C132">
        <v>1</v>
      </c>
      <c r="D132" s="6" t="s">
        <v>570</v>
      </c>
      <c r="E132">
        <f t="shared" si="23"/>
        <v>120</v>
      </c>
      <c r="F132">
        <v>5</v>
      </c>
      <c r="G132">
        <v>17.091427211903799</v>
      </c>
      <c r="H132">
        <v>16.971766617562199</v>
      </c>
      <c r="I132">
        <f t="shared" si="24"/>
        <v>170.914272119038</v>
      </c>
      <c r="J132">
        <f t="shared" si="25"/>
        <v>169.71766617562199</v>
      </c>
      <c r="K132">
        <f t="shared" si="21"/>
        <v>118.22140202473858</v>
      </c>
      <c r="L132">
        <f t="shared" si="22"/>
        <v>52.323956481944265</v>
      </c>
      <c r="M132">
        <f t="shared" si="19"/>
        <v>170.54535850668285</v>
      </c>
      <c r="N132">
        <v>1</v>
      </c>
    </row>
    <row r="133" spans="1:14" x14ac:dyDescent="0.35">
      <c r="A133" s="6" t="s">
        <v>565</v>
      </c>
      <c r="B133">
        <v>1200</v>
      </c>
      <c r="C133">
        <v>2</v>
      </c>
      <c r="D133" s="6" t="s">
        <v>570</v>
      </c>
      <c r="E133">
        <f t="shared" si="23"/>
        <v>120</v>
      </c>
      <c r="F133">
        <v>5</v>
      </c>
      <c r="G133">
        <v>33.600488572360703</v>
      </c>
      <c r="H133">
        <v>33.3536238825317</v>
      </c>
      <c r="I133">
        <f t="shared" si="24"/>
        <v>336.004885723607</v>
      </c>
      <c r="J133">
        <f t="shared" si="25"/>
        <v>333.53623882531701</v>
      </c>
      <c r="K133">
        <f t="shared" si="21"/>
        <v>232.41457945501895</v>
      </c>
      <c r="L133">
        <f t="shared" si="22"/>
        <v>102.82922242984525</v>
      </c>
      <c r="M133">
        <f t="shared" si="19"/>
        <v>335.24380188486418</v>
      </c>
      <c r="N133">
        <v>1</v>
      </c>
    </row>
    <row r="134" spans="1:14" x14ac:dyDescent="0.35">
      <c r="A134" s="6" t="s">
        <v>565</v>
      </c>
      <c r="B134">
        <v>1200</v>
      </c>
      <c r="C134">
        <v>3</v>
      </c>
      <c r="D134" s="6" t="s">
        <v>570</v>
      </c>
      <c r="E134">
        <f t="shared" si="23"/>
        <v>120</v>
      </c>
      <c r="F134">
        <v>5</v>
      </c>
      <c r="G134">
        <v>19.306346002989098</v>
      </c>
      <c r="H134">
        <v>19.043736276783299</v>
      </c>
      <c r="I134">
        <f t="shared" si="24"/>
        <v>193.06346002989099</v>
      </c>
      <c r="J134">
        <f t="shared" si="25"/>
        <v>190.43736276783301</v>
      </c>
      <c r="K134">
        <f t="shared" si="21"/>
        <v>133.54199530267559</v>
      </c>
      <c r="L134">
        <f t="shared" si="22"/>
        <v>58.711838941322917</v>
      </c>
      <c r="M134">
        <f t="shared" si="19"/>
        <v>192.25383424399851</v>
      </c>
      <c r="N134">
        <v>1</v>
      </c>
    </row>
    <row r="135" spans="1:14" x14ac:dyDescent="0.35">
      <c r="A135" s="6" t="s">
        <v>565</v>
      </c>
      <c r="B135">
        <v>0</v>
      </c>
      <c r="C135">
        <v>1</v>
      </c>
      <c r="D135" s="6" t="s">
        <v>569</v>
      </c>
      <c r="E135">
        <f>F135*24</f>
        <v>144</v>
      </c>
      <c r="F135">
        <v>6</v>
      </c>
      <c r="G135">
        <v>0.19349343672329999</v>
      </c>
      <c r="H135">
        <v>7.5084085157912497E-2</v>
      </c>
      <c r="I135">
        <f t="shared" si="24"/>
        <v>1.9349343672329999</v>
      </c>
      <c r="J135">
        <f t="shared" si="25"/>
        <v>0.75084085157912495</v>
      </c>
      <c r="K135">
        <f t="shared" si="21"/>
        <v>1.338394101815066</v>
      </c>
      <c r="L135">
        <f t="shared" si="22"/>
        <v>0.23148423454184425</v>
      </c>
      <c r="M135">
        <f t="shared" si="19"/>
        <v>1.5698783363569102</v>
      </c>
      <c r="N135">
        <v>1</v>
      </c>
    </row>
    <row r="136" spans="1:14" x14ac:dyDescent="0.35">
      <c r="A136" s="6" t="s">
        <v>565</v>
      </c>
      <c r="B136">
        <v>0</v>
      </c>
      <c r="C136">
        <v>2</v>
      </c>
      <c r="D136" s="6" t="s">
        <v>569</v>
      </c>
      <c r="E136">
        <f>F136*24</f>
        <v>144</v>
      </c>
      <c r="F136">
        <v>6</v>
      </c>
      <c r="G136">
        <v>0.219674581511557</v>
      </c>
      <c r="H136">
        <v>0.106164945260889</v>
      </c>
      <c r="I136">
        <f t="shared" si="24"/>
        <v>2.1967458151155701</v>
      </c>
      <c r="J136">
        <f t="shared" si="25"/>
        <v>1.06164945260889</v>
      </c>
      <c r="K136">
        <f t="shared" si="21"/>
        <v>1.5194890803154397</v>
      </c>
      <c r="L136">
        <f t="shared" si="22"/>
        <v>0.32730652623932083</v>
      </c>
      <c r="M136">
        <f t="shared" si="19"/>
        <v>1.8467956065547606</v>
      </c>
      <c r="N136">
        <v>1</v>
      </c>
    </row>
    <row r="137" spans="1:14" x14ac:dyDescent="0.35">
      <c r="A137" s="6" t="s">
        <v>565</v>
      </c>
      <c r="B137">
        <v>0</v>
      </c>
      <c r="C137">
        <v>3</v>
      </c>
      <c r="D137" s="6" t="s">
        <v>569</v>
      </c>
      <c r="E137">
        <f t="shared" ref="E137:E155" si="26">F137*24</f>
        <v>144</v>
      </c>
      <c r="F137">
        <v>6</v>
      </c>
      <c r="G137">
        <v>0.246708212421068</v>
      </c>
      <c r="H137">
        <v>0.104711756565186</v>
      </c>
      <c r="I137">
        <f t="shared" si="24"/>
        <v>2.46708212421068</v>
      </c>
      <c r="J137">
        <f t="shared" si="25"/>
        <v>1.0471175656518601</v>
      </c>
      <c r="K137">
        <f t="shared" si="21"/>
        <v>1.7064807053165272</v>
      </c>
      <c r="L137">
        <f t="shared" si="22"/>
        <v>0.32282634549046851</v>
      </c>
      <c r="M137">
        <f t="shared" si="19"/>
        <v>2.0293070508069957</v>
      </c>
      <c r="N137">
        <v>1</v>
      </c>
    </row>
    <row r="138" spans="1:14" x14ac:dyDescent="0.35">
      <c r="A138" s="6" t="s">
        <v>565</v>
      </c>
      <c r="B138">
        <v>0</v>
      </c>
      <c r="C138">
        <v>1</v>
      </c>
      <c r="D138" s="6" t="s">
        <v>570</v>
      </c>
      <c r="E138">
        <f t="shared" si="26"/>
        <v>144</v>
      </c>
      <c r="F138">
        <v>6</v>
      </c>
      <c r="G138">
        <v>0.17667923882448999</v>
      </c>
      <c r="H138">
        <v>6.1481058213697801E-2</v>
      </c>
      <c r="I138">
        <f t="shared" si="24"/>
        <v>1.7667923882448999</v>
      </c>
      <c r="J138">
        <f t="shared" si="25"/>
        <v>0.61481058213697803</v>
      </c>
      <c r="K138">
        <f t="shared" si="21"/>
        <v>1.2220902949489973</v>
      </c>
      <c r="L138">
        <f t="shared" si="22"/>
        <v>0.18954610247283035</v>
      </c>
      <c r="M138">
        <f t="shared" si="19"/>
        <v>1.4116363974218278</v>
      </c>
      <c r="N138">
        <v>1</v>
      </c>
    </row>
    <row r="139" spans="1:14" x14ac:dyDescent="0.35">
      <c r="A139" s="6" t="s">
        <v>565</v>
      </c>
      <c r="B139">
        <v>0</v>
      </c>
      <c r="C139">
        <v>2</v>
      </c>
      <c r="D139" s="6" t="s">
        <v>570</v>
      </c>
      <c r="E139">
        <f t="shared" si="26"/>
        <v>144</v>
      </c>
      <c r="F139">
        <v>6</v>
      </c>
      <c r="G139">
        <v>0.27246352510028699</v>
      </c>
      <c r="H139">
        <v>0.13793085445133099</v>
      </c>
      <c r="I139">
        <f t="shared" si="24"/>
        <v>2.7246352510028697</v>
      </c>
      <c r="J139">
        <f t="shared" si="25"/>
        <v>1.37930854451331</v>
      </c>
      <c r="K139">
        <f t="shared" si="21"/>
        <v>1.884630203118685</v>
      </c>
      <c r="L139">
        <f t="shared" si="22"/>
        <v>0.4252408242734535</v>
      </c>
      <c r="M139">
        <f t="shared" si="19"/>
        <v>2.3098710273921386</v>
      </c>
      <c r="N139">
        <v>1</v>
      </c>
    </row>
    <row r="140" spans="1:14" x14ac:dyDescent="0.35">
      <c r="A140" s="6" t="s">
        <v>565</v>
      </c>
      <c r="B140">
        <v>0</v>
      </c>
      <c r="C140">
        <v>3</v>
      </c>
      <c r="D140" s="6" t="s">
        <v>570</v>
      </c>
      <c r="E140">
        <f t="shared" si="26"/>
        <v>144</v>
      </c>
      <c r="F140">
        <v>6</v>
      </c>
      <c r="G140">
        <v>0.23947219350288501</v>
      </c>
      <c r="H140">
        <v>0.100046527036997</v>
      </c>
      <c r="I140">
        <f t="shared" si="24"/>
        <v>2.39472193502885</v>
      </c>
      <c r="J140">
        <f t="shared" si="25"/>
        <v>1.0004652703699699</v>
      </c>
      <c r="K140">
        <f t="shared" si="21"/>
        <v>1.6564291624594556</v>
      </c>
      <c r="L140">
        <f t="shared" si="22"/>
        <v>0.30844344285506176</v>
      </c>
      <c r="M140">
        <f t="shared" si="19"/>
        <v>1.9648726053145174</v>
      </c>
      <c r="N140">
        <v>1</v>
      </c>
    </row>
    <row r="141" spans="1:14" x14ac:dyDescent="0.35">
      <c r="A141" s="6" t="s">
        <v>565</v>
      </c>
      <c r="B141">
        <v>400</v>
      </c>
      <c r="C141">
        <v>1</v>
      </c>
      <c r="D141" s="6" t="s">
        <v>569</v>
      </c>
      <c r="E141">
        <f t="shared" si="26"/>
        <v>144</v>
      </c>
      <c r="F141">
        <v>6</v>
      </c>
      <c r="G141">
        <v>1.0569570803087001</v>
      </c>
      <c r="H141">
        <v>0.94410924106857896</v>
      </c>
      <c r="I141">
        <f t="shared" si="24"/>
        <v>10.569570803087</v>
      </c>
      <c r="J141">
        <f t="shared" si="25"/>
        <v>9.4410924106857905</v>
      </c>
      <c r="K141">
        <f t="shared" si="21"/>
        <v>7.3109721244952777</v>
      </c>
      <c r="L141">
        <f t="shared" si="22"/>
        <v>2.9106887902144294</v>
      </c>
      <c r="M141">
        <f t="shared" si="19"/>
        <v>10.221660914709707</v>
      </c>
      <c r="N141">
        <v>1</v>
      </c>
    </row>
    <row r="142" spans="1:14" x14ac:dyDescent="0.35">
      <c r="A142" s="6" t="s">
        <v>565</v>
      </c>
      <c r="B142">
        <v>400</v>
      </c>
      <c r="C142">
        <v>2</v>
      </c>
      <c r="D142" s="6" t="s">
        <v>569</v>
      </c>
      <c r="E142">
        <f t="shared" si="26"/>
        <v>144</v>
      </c>
      <c r="F142">
        <v>6</v>
      </c>
      <c r="G142">
        <v>1.0297792713584799</v>
      </c>
      <c r="H142">
        <v>0.90463829504714599</v>
      </c>
      <c r="I142">
        <f t="shared" si="24"/>
        <v>10.2977927135848</v>
      </c>
      <c r="J142">
        <f t="shared" si="25"/>
        <v>9.0463829504714592</v>
      </c>
      <c r="K142">
        <f t="shared" si="21"/>
        <v>7.1229832199866054</v>
      </c>
      <c r="L142">
        <f t="shared" si="22"/>
        <v>2.7889998636303512</v>
      </c>
      <c r="M142">
        <f t="shared" si="19"/>
        <v>9.9119830836169562</v>
      </c>
      <c r="N142">
        <v>1</v>
      </c>
    </row>
    <row r="143" spans="1:14" x14ac:dyDescent="0.35">
      <c r="A143" s="6" t="s">
        <v>565</v>
      </c>
      <c r="B143">
        <v>400</v>
      </c>
      <c r="C143">
        <v>3</v>
      </c>
      <c r="D143" s="6" t="s">
        <v>569</v>
      </c>
      <c r="E143">
        <f t="shared" si="26"/>
        <v>144</v>
      </c>
      <c r="F143">
        <v>6</v>
      </c>
      <c r="G143">
        <v>1.00978032825696</v>
      </c>
      <c r="H143">
        <v>0.84774763710414502</v>
      </c>
      <c r="I143">
        <f t="shared" si="24"/>
        <v>10.0978032825696</v>
      </c>
      <c r="J143">
        <f t="shared" si="25"/>
        <v>8.4774763710414511</v>
      </c>
      <c r="K143">
        <f t="shared" si="21"/>
        <v>6.9846505305533926</v>
      </c>
      <c r="L143">
        <f t="shared" si="22"/>
        <v>2.6136059651920793</v>
      </c>
      <c r="M143">
        <f t="shared" si="19"/>
        <v>9.5982564957454723</v>
      </c>
      <c r="N143">
        <v>1</v>
      </c>
    </row>
    <row r="144" spans="1:14" x14ac:dyDescent="0.35">
      <c r="A144" s="6" t="s">
        <v>565</v>
      </c>
      <c r="B144">
        <v>400</v>
      </c>
      <c r="C144">
        <v>1</v>
      </c>
      <c r="D144" s="6" t="s">
        <v>570</v>
      </c>
      <c r="E144">
        <f t="shared" si="26"/>
        <v>144</v>
      </c>
      <c r="F144">
        <v>6</v>
      </c>
      <c r="G144">
        <v>0.79261409215780798</v>
      </c>
      <c r="H144">
        <v>0.64277384343515898</v>
      </c>
      <c r="I144">
        <f t="shared" si="24"/>
        <v>7.9261409215780798</v>
      </c>
      <c r="J144">
        <f t="shared" si="25"/>
        <v>6.42773843435159</v>
      </c>
      <c r="K144">
        <f t="shared" si="21"/>
        <v>5.4825116754555578</v>
      </c>
      <c r="L144">
        <f t="shared" si="22"/>
        <v>1.9816717593105952</v>
      </c>
      <c r="M144">
        <f t="shared" ref="M144:M207" si="27">L144+K144</f>
        <v>7.4641834347661531</v>
      </c>
      <c r="N144">
        <v>1</v>
      </c>
    </row>
    <row r="145" spans="1:14" x14ac:dyDescent="0.35">
      <c r="A145" s="6" t="s">
        <v>565</v>
      </c>
      <c r="B145">
        <v>400</v>
      </c>
      <c r="C145">
        <v>2</v>
      </c>
      <c r="D145" s="6" t="s">
        <v>570</v>
      </c>
      <c r="E145">
        <f t="shared" si="26"/>
        <v>144</v>
      </c>
      <c r="F145">
        <v>6</v>
      </c>
      <c r="G145">
        <v>0.88733857862031396</v>
      </c>
      <c r="H145">
        <v>0.72229630251787602</v>
      </c>
      <c r="I145">
        <f t="shared" si="24"/>
        <v>8.8733857862031389</v>
      </c>
      <c r="J145">
        <f t="shared" si="25"/>
        <v>7.2229630251787604</v>
      </c>
      <c r="K145">
        <f t="shared" si="21"/>
        <v>6.1377209483167112</v>
      </c>
      <c r="L145">
        <f t="shared" si="22"/>
        <v>2.2268395006626118</v>
      </c>
      <c r="M145">
        <f t="shared" si="27"/>
        <v>8.3645604489793222</v>
      </c>
      <c r="N145">
        <v>1</v>
      </c>
    </row>
    <row r="146" spans="1:14" x14ac:dyDescent="0.35">
      <c r="A146" s="6" t="s">
        <v>565</v>
      </c>
      <c r="B146">
        <v>400</v>
      </c>
      <c r="C146">
        <v>3</v>
      </c>
      <c r="D146" s="6" t="s">
        <v>570</v>
      </c>
      <c r="E146">
        <f t="shared" si="26"/>
        <v>144</v>
      </c>
      <c r="F146">
        <v>6</v>
      </c>
      <c r="G146">
        <v>0.724249667714433</v>
      </c>
      <c r="H146">
        <v>0.57796472638208196</v>
      </c>
      <c r="I146">
        <f t="shared" si="24"/>
        <v>7.24249667714433</v>
      </c>
      <c r="J146">
        <f t="shared" si="25"/>
        <v>5.7796472638208201</v>
      </c>
      <c r="K146">
        <f t="shared" si="21"/>
        <v>5.0096349515807326</v>
      </c>
      <c r="L146">
        <f t="shared" si="22"/>
        <v>1.781865251435959</v>
      </c>
      <c r="M146">
        <f t="shared" si="27"/>
        <v>6.7915002030166916</v>
      </c>
      <c r="N146">
        <v>1</v>
      </c>
    </row>
    <row r="147" spans="1:14" x14ac:dyDescent="0.35">
      <c r="A147" s="6" t="s">
        <v>565</v>
      </c>
      <c r="B147">
        <v>800</v>
      </c>
      <c r="C147">
        <v>1</v>
      </c>
      <c r="D147" s="6" t="s">
        <v>569</v>
      </c>
      <c r="E147">
        <f t="shared" si="26"/>
        <v>144</v>
      </c>
      <c r="F147">
        <v>6</v>
      </c>
      <c r="G147">
        <v>3.3490192394261098</v>
      </c>
      <c r="H147">
        <v>3.2893226241223901</v>
      </c>
      <c r="I147">
        <f t="shared" si="24"/>
        <v>33.490192394261101</v>
      </c>
      <c r="J147">
        <f t="shared" si="25"/>
        <v>32.8932262412239</v>
      </c>
      <c r="K147">
        <f t="shared" si="21"/>
        <v>23.165166079110403</v>
      </c>
      <c r="L147">
        <f t="shared" si="22"/>
        <v>10.140981650169328</v>
      </c>
      <c r="M147">
        <f t="shared" si="27"/>
        <v>33.306147729279729</v>
      </c>
      <c r="N147">
        <v>1</v>
      </c>
    </row>
    <row r="148" spans="1:14" x14ac:dyDescent="0.35">
      <c r="A148" s="6" t="s">
        <v>565</v>
      </c>
      <c r="B148">
        <v>800</v>
      </c>
      <c r="C148">
        <v>2</v>
      </c>
      <c r="D148" s="6" t="s">
        <v>569</v>
      </c>
      <c r="E148">
        <f t="shared" si="26"/>
        <v>144</v>
      </c>
      <c r="F148">
        <v>6</v>
      </c>
      <c r="G148">
        <v>3.6100118253471201</v>
      </c>
      <c r="H148">
        <v>3.5156393818061602</v>
      </c>
      <c r="I148">
        <f t="shared" si="24"/>
        <v>36.100118253471202</v>
      </c>
      <c r="J148">
        <f t="shared" si="25"/>
        <v>35.156393818061602</v>
      </c>
      <c r="K148">
        <f t="shared" si="21"/>
        <v>24.970451795926028</v>
      </c>
      <c r="L148">
        <f t="shared" si="22"/>
        <v>10.838716214108393</v>
      </c>
      <c r="M148">
        <f t="shared" si="27"/>
        <v>35.809168010034419</v>
      </c>
      <c r="N148">
        <v>1</v>
      </c>
    </row>
    <row r="149" spans="1:14" x14ac:dyDescent="0.35">
      <c r="A149" s="6" t="s">
        <v>565</v>
      </c>
      <c r="B149">
        <v>800</v>
      </c>
      <c r="C149">
        <v>3</v>
      </c>
      <c r="D149" s="6" t="s">
        <v>569</v>
      </c>
      <c r="E149">
        <f t="shared" si="26"/>
        <v>144</v>
      </c>
      <c r="F149">
        <v>6</v>
      </c>
      <c r="G149">
        <v>4.0217334103451803</v>
      </c>
      <c r="H149">
        <v>3.91613381235035</v>
      </c>
      <c r="I149">
        <f t="shared" si="24"/>
        <v>40.217334103451805</v>
      </c>
      <c r="J149">
        <f t="shared" si="25"/>
        <v>39.161338123503498</v>
      </c>
      <c r="K149">
        <f t="shared" si="21"/>
        <v>27.818329999357612</v>
      </c>
      <c r="L149">
        <f t="shared" si="22"/>
        <v>12.07344054347613</v>
      </c>
      <c r="M149">
        <f t="shared" si="27"/>
        <v>39.89177054283374</v>
      </c>
      <c r="N149">
        <v>1</v>
      </c>
    </row>
    <row r="150" spans="1:14" x14ac:dyDescent="0.35">
      <c r="A150" s="6" t="s">
        <v>565</v>
      </c>
      <c r="B150">
        <v>800</v>
      </c>
      <c r="C150">
        <v>1</v>
      </c>
      <c r="D150" s="6" t="s">
        <v>570</v>
      </c>
      <c r="E150">
        <f t="shared" si="26"/>
        <v>144</v>
      </c>
      <c r="F150">
        <v>6</v>
      </c>
      <c r="G150">
        <v>1.8609569870823699</v>
      </c>
      <c r="H150">
        <v>1.74792939485368</v>
      </c>
      <c r="I150">
        <f t="shared" si="24"/>
        <v>18.609569870823698</v>
      </c>
      <c r="J150">
        <f t="shared" si="25"/>
        <v>17.4792939485368</v>
      </c>
      <c r="K150">
        <f t="shared" si="21"/>
        <v>12.872239479648751</v>
      </c>
      <c r="L150">
        <f t="shared" si="22"/>
        <v>5.3888663243338959</v>
      </c>
      <c r="M150">
        <f t="shared" si="27"/>
        <v>18.261105803982648</v>
      </c>
      <c r="N150">
        <v>1</v>
      </c>
    </row>
    <row r="151" spans="1:14" x14ac:dyDescent="0.35">
      <c r="A151" s="6" t="s">
        <v>565</v>
      </c>
      <c r="B151">
        <v>800</v>
      </c>
      <c r="C151">
        <v>2</v>
      </c>
      <c r="D151" s="6" t="s">
        <v>570</v>
      </c>
      <c r="E151">
        <f t="shared" si="26"/>
        <v>144</v>
      </c>
      <c r="F151">
        <v>6</v>
      </c>
      <c r="G151">
        <v>2.58107740907746</v>
      </c>
      <c r="H151">
        <v>2.46814505765572</v>
      </c>
      <c r="I151">
        <f t="shared" si="24"/>
        <v>25.810774090774601</v>
      </c>
      <c r="J151">
        <f t="shared" si="25"/>
        <v>24.6814505765572</v>
      </c>
      <c r="K151">
        <f t="shared" si="21"/>
        <v>17.853312438588791</v>
      </c>
      <c r="L151">
        <f t="shared" si="22"/>
        <v>7.6092912127525851</v>
      </c>
      <c r="M151">
        <f t="shared" si="27"/>
        <v>25.462603651341375</v>
      </c>
      <c r="N151">
        <v>1</v>
      </c>
    </row>
    <row r="152" spans="1:14" x14ac:dyDescent="0.35">
      <c r="A152" s="6" t="s">
        <v>565</v>
      </c>
      <c r="B152">
        <v>800</v>
      </c>
      <c r="C152">
        <v>3</v>
      </c>
      <c r="D152" s="6" t="s">
        <v>570</v>
      </c>
      <c r="E152">
        <f t="shared" si="26"/>
        <v>144</v>
      </c>
      <c r="F152">
        <v>6</v>
      </c>
      <c r="G152">
        <v>2.9001042102141801</v>
      </c>
      <c r="H152">
        <v>2.77697197032168</v>
      </c>
      <c r="I152">
        <f t="shared" si="24"/>
        <v>29.001042102141803</v>
      </c>
      <c r="J152">
        <f t="shared" si="25"/>
        <v>27.769719703216801</v>
      </c>
      <c r="K152">
        <f t="shared" si="21"/>
        <v>20.060020822051484</v>
      </c>
      <c r="L152">
        <f t="shared" si="22"/>
        <v>8.5614045845017408</v>
      </c>
      <c r="M152">
        <f t="shared" si="27"/>
        <v>28.621425406553225</v>
      </c>
      <c r="N152">
        <v>1</v>
      </c>
    </row>
    <row r="153" spans="1:14" x14ac:dyDescent="0.35">
      <c r="A153" s="6" t="s">
        <v>565</v>
      </c>
      <c r="B153">
        <v>1200</v>
      </c>
      <c r="C153">
        <v>1</v>
      </c>
      <c r="D153" s="6" t="s">
        <v>569</v>
      </c>
      <c r="E153">
        <f t="shared" si="26"/>
        <v>144</v>
      </c>
      <c r="F153">
        <v>6</v>
      </c>
      <c r="G153">
        <v>15.506302922186499</v>
      </c>
      <c r="H153">
        <v>15.1822684356744</v>
      </c>
      <c r="I153">
        <f t="shared" si="24"/>
        <v>155.06302922186501</v>
      </c>
      <c r="J153">
        <f t="shared" si="25"/>
        <v>151.82268435674399</v>
      </c>
      <c r="K153">
        <f t="shared" si="21"/>
        <v>107.25709731276402</v>
      </c>
      <c r="L153">
        <f t="shared" si="22"/>
        <v>46.806933587184176</v>
      </c>
      <c r="M153">
        <f t="shared" si="27"/>
        <v>154.06403089994819</v>
      </c>
      <c r="N153">
        <v>1</v>
      </c>
    </row>
    <row r="154" spans="1:14" x14ac:dyDescent="0.35">
      <c r="A154" s="6" t="s">
        <v>565</v>
      </c>
      <c r="B154">
        <v>1200</v>
      </c>
      <c r="C154">
        <v>2</v>
      </c>
      <c r="D154" s="6" t="s">
        <v>569</v>
      </c>
      <c r="E154">
        <f t="shared" si="26"/>
        <v>144</v>
      </c>
      <c r="F154">
        <v>6</v>
      </c>
      <c r="G154">
        <v>18.9738508831609</v>
      </c>
      <c r="H154">
        <v>18.850324699004801</v>
      </c>
      <c r="I154">
        <f t="shared" si="24"/>
        <v>189.73850883160901</v>
      </c>
      <c r="J154">
        <f t="shared" si="25"/>
        <v>188.50324699004801</v>
      </c>
      <c r="K154">
        <f t="shared" si="21"/>
        <v>131.24212655882394</v>
      </c>
      <c r="L154">
        <f t="shared" si="22"/>
        <v>58.115551047031808</v>
      </c>
      <c r="M154">
        <f t="shared" si="27"/>
        <v>189.35767760585574</v>
      </c>
      <c r="N154">
        <v>1</v>
      </c>
    </row>
    <row r="155" spans="1:14" x14ac:dyDescent="0.35">
      <c r="A155" s="6" t="s">
        <v>565</v>
      </c>
      <c r="B155">
        <v>1200</v>
      </c>
      <c r="C155">
        <v>3</v>
      </c>
      <c r="D155" s="6" t="s">
        <v>569</v>
      </c>
      <c r="E155">
        <f t="shared" si="26"/>
        <v>144</v>
      </c>
      <c r="F155">
        <v>6</v>
      </c>
      <c r="G155">
        <v>16.318865205393401</v>
      </c>
      <c r="H155">
        <v>16.061880916351601</v>
      </c>
      <c r="I155">
        <f t="shared" si="24"/>
        <v>163.18865205393399</v>
      </c>
      <c r="J155">
        <f t="shared" si="25"/>
        <v>160.618809163516</v>
      </c>
      <c r="K155">
        <f t="shared" si="21"/>
        <v>112.87759062570613</v>
      </c>
      <c r="L155">
        <f t="shared" si="22"/>
        <v>49.51877886511199</v>
      </c>
      <c r="M155">
        <f t="shared" si="27"/>
        <v>162.39636949081813</v>
      </c>
      <c r="N155">
        <v>1</v>
      </c>
    </row>
    <row r="156" spans="1:14" x14ac:dyDescent="0.35">
      <c r="A156" s="6" t="s">
        <v>565</v>
      </c>
      <c r="B156">
        <v>0</v>
      </c>
      <c r="C156">
        <v>1</v>
      </c>
      <c r="D156" s="6" t="s">
        <v>569</v>
      </c>
      <c r="E156">
        <f>F156*24</f>
        <v>168</v>
      </c>
      <c r="F156">
        <v>7</v>
      </c>
      <c r="G156">
        <v>0.20251021495142599</v>
      </c>
      <c r="H156">
        <v>8.5220106247400396E-2</v>
      </c>
      <c r="I156">
        <f t="shared" si="24"/>
        <v>2.02510214951426</v>
      </c>
      <c r="J156">
        <f t="shared" si="25"/>
        <v>0.85220106247400396</v>
      </c>
      <c r="K156">
        <f t="shared" si="21"/>
        <v>1.4007631568190135</v>
      </c>
      <c r="L156">
        <f t="shared" si="22"/>
        <v>0.26273358756073545</v>
      </c>
      <c r="M156">
        <f t="shared" si="27"/>
        <v>1.663496744379749</v>
      </c>
      <c r="N156">
        <v>1</v>
      </c>
    </row>
    <row r="157" spans="1:14" x14ac:dyDescent="0.35">
      <c r="A157" s="6" t="s">
        <v>565</v>
      </c>
      <c r="B157">
        <v>0</v>
      </c>
      <c r="C157">
        <v>2</v>
      </c>
      <c r="D157" s="6" t="s">
        <v>569</v>
      </c>
      <c r="E157">
        <f>F157*24</f>
        <v>168</v>
      </c>
      <c r="F157">
        <v>7</v>
      </c>
      <c r="G157">
        <v>0.20056614848165499</v>
      </c>
      <c r="H157">
        <v>8.0374605636451102E-2</v>
      </c>
      <c r="I157">
        <f t="shared" si="24"/>
        <v>2.0056614848165499</v>
      </c>
      <c r="J157">
        <f t="shared" si="25"/>
        <v>0.80374605636451102</v>
      </c>
      <c r="K157">
        <f t="shared" si="21"/>
        <v>1.3873160490476075</v>
      </c>
      <c r="L157">
        <f t="shared" si="22"/>
        <v>0.24779490917717875</v>
      </c>
      <c r="M157">
        <f t="shared" si="27"/>
        <v>1.6351109582247862</v>
      </c>
      <c r="N157">
        <v>1</v>
      </c>
    </row>
    <row r="158" spans="1:14" x14ac:dyDescent="0.35">
      <c r="A158" s="6" t="s">
        <v>565</v>
      </c>
      <c r="B158">
        <v>0</v>
      </c>
      <c r="C158">
        <v>3</v>
      </c>
      <c r="D158" s="6" t="s">
        <v>569</v>
      </c>
      <c r="E158">
        <f t="shared" ref="E158:E173" si="28">F158*24</f>
        <v>168</v>
      </c>
      <c r="F158">
        <v>7</v>
      </c>
      <c r="G158">
        <v>0.24010279246094501</v>
      </c>
      <c r="H158">
        <v>0.12069425899450099</v>
      </c>
      <c r="I158">
        <f t="shared" si="24"/>
        <v>2.4010279246094504</v>
      </c>
      <c r="J158">
        <f t="shared" si="25"/>
        <v>1.2069425899450099</v>
      </c>
      <c r="K158">
        <f t="shared" si="21"/>
        <v>1.6607910154523569</v>
      </c>
      <c r="L158">
        <f t="shared" si="22"/>
        <v>0.37210040048004656</v>
      </c>
      <c r="M158">
        <f t="shared" si="27"/>
        <v>2.0328914159324034</v>
      </c>
      <c r="N158">
        <v>1</v>
      </c>
    </row>
    <row r="159" spans="1:14" x14ac:dyDescent="0.35">
      <c r="A159" s="6" t="s">
        <v>565</v>
      </c>
      <c r="B159">
        <v>0</v>
      </c>
      <c r="C159">
        <v>1</v>
      </c>
      <c r="D159" s="6" t="s">
        <v>570</v>
      </c>
      <c r="E159">
        <f t="shared" si="28"/>
        <v>168</v>
      </c>
      <c r="F159">
        <v>7</v>
      </c>
      <c r="G159">
        <v>0.25339618966586402</v>
      </c>
      <c r="H159">
        <v>0.11252900409496799</v>
      </c>
      <c r="I159">
        <f t="shared" si="24"/>
        <v>2.5339618966586404</v>
      </c>
      <c r="J159">
        <f t="shared" si="25"/>
        <v>1.12529004094968</v>
      </c>
      <c r="K159">
        <f t="shared" si="21"/>
        <v>1.7527414439187814</v>
      </c>
      <c r="L159">
        <f t="shared" si="22"/>
        <v>0.34692691962478639</v>
      </c>
      <c r="M159">
        <f t="shared" si="27"/>
        <v>2.099668363543568</v>
      </c>
      <c r="N159">
        <v>1</v>
      </c>
    </row>
    <row r="160" spans="1:14" x14ac:dyDescent="0.35">
      <c r="A160" s="6" t="s">
        <v>565</v>
      </c>
      <c r="B160">
        <v>0</v>
      </c>
      <c r="C160">
        <v>2</v>
      </c>
      <c r="D160" s="6" t="s">
        <v>570</v>
      </c>
      <c r="E160">
        <f t="shared" si="28"/>
        <v>168</v>
      </c>
      <c r="F160">
        <v>7</v>
      </c>
      <c r="G160">
        <v>0.22258452183697</v>
      </c>
      <c r="H160">
        <v>8.6239955892192702E-2</v>
      </c>
      <c r="I160">
        <f t="shared" si="24"/>
        <v>2.2258452183697002</v>
      </c>
      <c r="J160">
        <f t="shared" si="25"/>
        <v>0.86239955892192699</v>
      </c>
      <c r="K160">
        <f t="shared" si="21"/>
        <v>1.5396171375463217</v>
      </c>
      <c r="L160">
        <f t="shared" si="22"/>
        <v>0.26587778401563011</v>
      </c>
      <c r="M160">
        <f t="shared" si="27"/>
        <v>1.8054949215619518</v>
      </c>
      <c r="N160">
        <v>1</v>
      </c>
    </row>
    <row r="161" spans="1:14" x14ac:dyDescent="0.35">
      <c r="A161" s="6" t="s">
        <v>565</v>
      </c>
      <c r="B161">
        <v>0</v>
      </c>
      <c r="C161">
        <v>3</v>
      </c>
      <c r="D161" s="6" t="s">
        <v>570</v>
      </c>
      <c r="E161">
        <f t="shared" si="28"/>
        <v>168</v>
      </c>
      <c r="F161">
        <v>7</v>
      </c>
      <c r="G161">
        <v>0.22340924475817101</v>
      </c>
      <c r="H161">
        <v>0.101923895134236</v>
      </c>
      <c r="I161">
        <f t="shared" si="24"/>
        <v>2.2340924475817099</v>
      </c>
      <c r="J161">
        <f t="shared" si="25"/>
        <v>1.0192389513423601</v>
      </c>
      <c r="K161">
        <f t="shared" si="21"/>
        <v>1.5453217459922688</v>
      </c>
      <c r="L161">
        <f t="shared" si="22"/>
        <v>0.31423136869884966</v>
      </c>
      <c r="M161">
        <f t="shared" si="27"/>
        <v>1.8595531146911184</v>
      </c>
      <c r="N161">
        <v>1</v>
      </c>
    </row>
    <row r="162" spans="1:14" x14ac:dyDescent="0.35">
      <c r="A162" s="6" t="s">
        <v>565</v>
      </c>
      <c r="B162">
        <v>400</v>
      </c>
      <c r="C162">
        <v>1</v>
      </c>
      <c r="D162" s="6" t="s">
        <v>569</v>
      </c>
      <c r="E162">
        <f t="shared" si="28"/>
        <v>168</v>
      </c>
      <c r="F162">
        <v>7</v>
      </c>
      <c r="G162">
        <v>0.226880694956718</v>
      </c>
      <c r="H162">
        <v>0.10015094022840799</v>
      </c>
      <c r="I162">
        <f t="shared" si="24"/>
        <v>2.2688069495671801</v>
      </c>
      <c r="J162">
        <f t="shared" si="25"/>
        <v>1.00150940228408</v>
      </c>
      <c r="K162">
        <f t="shared" si="21"/>
        <v>1.5693337670156184</v>
      </c>
      <c r="L162">
        <f t="shared" si="22"/>
        <v>0.30876534872418188</v>
      </c>
      <c r="M162">
        <f t="shared" si="27"/>
        <v>1.8780991157398004</v>
      </c>
      <c r="N162">
        <v>1</v>
      </c>
    </row>
    <row r="163" spans="1:14" x14ac:dyDescent="0.35">
      <c r="A163" s="6" t="s">
        <v>565</v>
      </c>
      <c r="B163">
        <v>400</v>
      </c>
      <c r="C163">
        <v>2</v>
      </c>
      <c r="D163" s="6" t="s">
        <v>569</v>
      </c>
      <c r="E163">
        <f t="shared" si="28"/>
        <v>168</v>
      </c>
      <c r="F163">
        <v>7</v>
      </c>
      <c r="G163">
        <v>1.1176446994312901</v>
      </c>
      <c r="H163">
        <v>0.95212884612739501</v>
      </c>
      <c r="I163">
        <f t="shared" si="24"/>
        <v>11.176446994312901</v>
      </c>
      <c r="J163">
        <f t="shared" si="25"/>
        <v>9.5212884612739508</v>
      </c>
      <c r="K163">
        <f t="shared" si="21"/>
        <v>7.7307483859662334</v>
      </c>
      <c r="L163">
        <f t="shared" si="22"/>
        <v>2.9354132326107591</v>
      </c>
      <c r="M163">
        <f t="shared" si="27"/>
        <v>10.666161618576993</v>
      </c>
      <c r="N163">
        <v>1</v>
      </c>
    </row>
    <row r="164" spans="1:14" x14ac:dyDescent="0.35">
      <c r="A164" s="6" t="s">
        <v>565</v>
      </c>
      <c r="B164">
        <v>400</v>
      </c>
      <c r="C164">
        <v>3</v>
      </c>
      <c r="D164" s="6" t="s">
        <v>569</v>
      </c>
      <c r="E164">
        <f t="shared" si="28"/>
        <v>168</v>
      </c>
      <c r="F164">
        <v>7</v>
      </c>
      <c r="G164">
        <v>1.14622930294273</v>
      </c>
      <c r="H164">
        <v>1.01236618726429</v>
      </c>
      <c r="I164">
        <f t="shared" si="24"/>
        <v>11.4622930294273</v>
      </c>
      <c r="J164">
        <f t="shared" si="25"/>
        <v>10.123661872642899</v>
      </c>
      <c r="K164">
        <f t="shared" si="21"/>
        <v>7.9284680884548635</v>
      </c>
      <c r="L164">
        <f t="shared" si="22"/>
        <v>3.121124955335806</v>
      </c>
      <c r="M164">
        <f t="shared" si="27"/>
        <v>11.049593043790669</v>
      </c>
      <c r="N164">
        <v>1</v>
      </c>
    </row>
    <row r="165" spans="1:14" x14ac:dyDescent="0.35">
      <c r="A165" s="6" t="s">
        <v>565</v>
      </c>
      <c r="B165">
        <v>400</v>
      </c>
      <c r="C165">
        <v>1</v>
      </c>
      <c r="D165" s="6" t="s">
        <v>570</v>
      </c>
      <c r="E165">
        <f t="shared" si="28"/>
        <v>168</v>
      </c>
      <c r="F165">
        <v>7</v>
      </c>
      <c r="G165">
        <v>0.82228997291966199</v>
      </c>
      <c r="H165">
        <v>0.65041468272405401</v>
      </c>
      <c r="I165">
        <f t="shared" si="24"/>
        <v>8.2228997291966195</v>
      </c>
      <c r="J165">
        <f t="shared" si="25"/>
        <v>6.5041468272405396</v>
      </c>
      <c r="K165">
        <f t="shared" si="21"/>
        <v>5.6877797426853016</v>
      </c>
      <c r="L165">
        <f t="shared" si="22"/>
        <v>2.0052284668382585</v>
      </c>
      <c r="M165">
        <f t="shared" si="27"/>
        <v>7.6930082095235601</v>
      </c>
      <c r="N165">
        <v>1</v>
      </c>
    </row>
    <row r="166" spans="1:14" x14ac:dyDescent="0.35">
      <c r="A166" s="6" t="s">
        <v>565</v>
      </c>
      <c r="B166">
        <v>400</v>
      </c>
      <c r="C166">
        <v>2</v>
      </c>
      <c r="D166" s="6" t="s">
        <v>570</v>
      </c>
      <c r="E166">
        <f t="shared" si="28"/>
        <v>168</v>
      </c>
      <c r="F166">
        <v>7</v>
      </c>
      <c r="G166">
        <v>0.68590418011474796</v>
      </c>
      <c r="H166">
        <v>0.55805204543928399</v>
      </c>
      <c r="I166">
        <f t="shared" si="24"/>
        <v>6.8590418011474794</v>
      </c>
      <c r="J166">
        <f t="shared" si="25"/>
        <v>5.5805204543928397</v>
      </c>
      <c r="K166">
        <f t="shared" si="21"/>
        <v>4.7443992138537112</v>
      </c>
      <c r="L166">
        <f t="shared" si="22"/>
        <v>1.7204744560893126</v>
      </c>
      <c r="M166">
        <f t="shared" si="27"/>
        <v>6.4648736699430236</v>
      </c>
      <c r="N166">
        <v>1</v>
      </c>
    </row>
    <row r="167" spans="1:14" x14ac:dyDescent="0.35">
      <c r="A167" s="6" t="s">
        <v>565</v>
      </c>
      <c r="B167">
        <v>400</v>
      </c>
      <c r="C167">
        <v>3</v>
      </c>
      <c r="D167" s="6" t="s">
        <v>570</v>
      </c>
      <c r="E167">
        <f t="shared" si="28"/>
        <v>168</v>
      </c>
      <c r="F167">
        <v>7</v>
      </c>
      <c r="G167">
        <v>0.673080509613877</v>
      </c>
      <c r="H167">
        <v>0.4939149014184</v>
      </c>
      <c r="I167">
        <f t="shared" si="24"/>
        <v>6.73080509613877</v>
      </c>
      <c r="J167">
        <f t="shared" si="25"/>
        <v>4.9391490141840002</v>
      </c>
      <c r="K167">
        <f t="shared" ref="K167:K218" si="29">I167*0.6917</f>
        <v>4.6556978849991868</v>
      </c>
      <c r="L167">
        <f t="shared" ref="L167:L218" si="30">J167*0.3083</f>
        <v>1.5227396410729273</v>
      </c>
      <c r="M167">
        <f t="shared" si="27"/>
        <v>6.1784375260721145</v>
      </c>
      <c r="N167">
        <v>1</v>
      </c>
    </row>
    <row r="168" spans="1:14" x14ac:dyDescent="0.35">
      <c r="A168" s="6" t="s">
        <v>565</v>
      </c>
      <c r="B168">
        <v>800</v>
      </c>
      <c r="C168">
        <v>1</v>
      </c>
      <c r="D168" s="6" t="s">
        <v>569</v>
      </c>
      <c r="E168">
        <f t="shared" si="28"/>
        <v>168</v>
      </c>
      <c r="F168">
        <v>7</v>
      </c>
      <c r="G168">
        <v>3.4312010604804599</v>
      </c>
      <c r="H168">
        <v>3.33102600662329</v>
      </c>
      <c r="I168">
        <f t="shared" si="24"/>
        <v>34.312010604804598</v>
      </c>
      <c r="J168">
        <f t="shared" si="25"/>
        <v>33.3102600662329</v>
      </c>
      <c r="K168">
        <f t="shared" si="29"/>
        <v>23.733617735343341</v>
      </c>
      <c r="L168">
        <f t="shared" si="30"/>
        <v>10.269553178419603</v>
      </c>
      <c r="M168">
        <f t="shared" si="27"/>
        <v>34.003170913762943</v>
      </c>
      <c r="N168">
        <v>1</v>
      </c>
    </row>
    <row r="169" spans="1:14" x14ac:dyDescent="0.35">
      <c r="A169" s="6" t="s">
        <v>565</v>
      </c>
      <c r="B169">
        <v>800</v>
      </c>
      <c r="C169">
        <v>2</v>
      </c>
      <c r="D169" s="6" t="s">
        <v>569</v>
      </c>
      <c r="E169">
        <f t="shared" si="28"/>
        <v>168</v>
      </c>
      <c r="F169">
        <v>7</v>
      </c>
      <c r="G169">
        <v>3.1618673885266202</v>
      </c>
      <c r="H169">
        <v>3.03182288608929</v>
      </c>
      <c r="I169">
        <f t="shared" si="24"/>
        <v>31.618673885266201</v>
      </c>
      <c r="J169">
        <f t="shared" si="25"/>
        <v>30.318228860892901</v>
      </c>
      <c r="K169">
        <f t="shared" si="29"/>
        <v>21.870636726438629</v>
      </c>
      <c r="L169">
        <f t="shared" si="30"/>
        <v>9.3471099578132826</v>
      </c>
      <c r="M169">
        <f t="shared" si="27"/>
        <v>31.217746684251914</v>
      </c>
      <c r="N169">
        <v>1</v>
      </c>
    </row>
    <row r="170" spans="1:14" x14ac:dyDescent="0.35">
      <c r="A170" s="6" t="s">
        <v>565</v>
      </c>
      <c r="B170">
        <v>800</v>
      </c>
      <c r="C170">
        <v>3</v>
      </c>
      <c r="D170" s="6" t="s">
        <v>569</v>
      </c>
      <c r="E170">
        <f t="shared" si="28"/>
        <v>168</v>
      </c>
      <c r="F170">
        <v>7</v>
      </c>
      <c r="G170">
        <v>3.5858121375498699</v>
      </c>
      <c r="H170">
        <v>3.49939511171738</v>
      </c>
      <c r="I170">
        <f t="shared" si="24"/>
        <v>35.858121375498698</v>
      </c>
      <c r="J170">
        <f t="shared" si="25"/>
        <v>34.9939511171738</v>
      </c>
      <c r="K170">
        <f t="shared" si="29"/>
        <v>24.803062555432447</v>
      </c>
      <c r="L170">
        <f t="shared" si="30"/>
        <v>10.788635129424684</v>
      </c>
      <c r="M170">
        <f t="shared" si="27"/>
        <v>35.591697684857131</v>
      </c>
      <c r="N170">
        <v>1</v>
      </c>
    </row>
    <row r="171" spans="1:14" x14ac:dyDescent="0.35">
      <c r="A171" s="6" t="s">
        <v>565</v>
      </c>
      <c r="B171">
        <v>800</v>
      </c>
      <c r="C171">
        <v>1</v>
      </c>
      <c r="D171" s="6" t="s">
        <v>570</v>
      </c>
      <c r="E171">
        <f t="shared" si="28"/>
        <v>168</v>
      </c>
      <c r="F171">
        <v>7</v>
      </c>
      <c r="G171">
        <v>1.62206593412516</v>
      </c>
      <c r="H171">
        <v>1.4442866431263299</v>
      </c>
      <c r="I171">
        <f t="shared" si="24"/>
        <v>16.220659341251601</v>
      </c>
      <c r="J171">
        <f t="shared" si="25"/>
        <v>14.442866431263299</v>
      </c>
      <c r="K171">
        <f t="shared" si="29"/>
        <v>11.219830066343732</v>
      </c>
      <c r="L171">
        <f t="shared" si="30"/>
        <v>4.4527357207584757</v>
      </c>
      <c r="M171">
        <f t="shared" si="27"/>
        <v>15.672565787102208</v>
      </c>
      <c r="N171">
        <v>1</v>
      </c>
    </row>
    <row r="172" spans="1:14" x14ac:dyDescent="0.35">
      <c r="A172" s="6" t="s">
        <v>565</v>
      </c>
      <c r="B172">
        <v>800</v>
      </c>
      <c r="C172">
        <v>2</v>
      </c>
      <c r="D172" s="6" t="s">
        <v>570</v>
      </c>
      <c r="E172">
        <f t="shared" si="28"/>
        <v>168</v>
      </c>
      <c r="F172">
        <v>7</v>
      </c>
      <c r="G172">
        <v>1.8155564464462099</v>
      </c>
      <c r="H172">
        <v>1.7218196110669299</v>
      </c>
      <c r="I172">
        <f t="shared" si="24"/>
        <v>18.155564464462099</v>
      </c>
      <c r="J172">
        <f t="shared" si="25"/>
        <v>17.2181961106693</v>
      </c>
      <c r="K172">
        <f t="shared" si="29"/>
        <v>12.558203940068434</v>
      </c>
      <c r="L172">
        <f t="shared" si="30"/>
        <v>5.3083698609193455</v>
      </c>
      <c r="M172">
        <f t="shared" si="27"/>
        <v>17.86657380098778</v>
      </c>
      <c r="N172">
        <v>1</v>
      </c>
    </row>
    <row r="173" spans="1:14" x14ac:dyDescent="0.35">
      <c r="A173" s="6" t="s">
        <v>565</v>
      </c>
      <c r="B173">
        <v>800</v>
      </c>
      <c r="C173">
        <v>3</v>
      </c>
      <c r="D173" s="6" t="s">
        <v>570</v>
      </c>
      <c r="E173">
        <f t="shared" si="28"/>
        <v>168</v>
      </c>
      <c r="F173">
        <v>7</v>
      </c>
      <c r="G173">
        <v>1.8495594096308901</v>
      </c>
      <c r="H173">
        <v>1.6776960880729399</v>
      </c>
      <c r="I173">
        <f t="shared" si="24"/>
        <v>18.495594096308899</v>
      </c>
      <c r="J173">
        <f t="shared" si="25"/>
        <v>16.776960880729398</v>
      </c>
      <c r="K173">
        <f t="shared" si="29"/>
        <v>12.793402436416866</v>
      </c>
      <c r="L173">
        <f t="shared" si="30"/>
        <v>5.1723370395288732</v>
      </c>
      <c r="M173">
        <f t="shared" si="27"/>
        <v>17.965739475945739</v>
      </c>
      <c r="N173">
        <v>1</v>
      </c>
    </row>
    <row r="174" spans="1:14" x14ac:dyDescent="0.35">
      <c r="A174" s="6" t="s">
        <v>565</v>
      </c>
      <c r="B174">
        <v>0</v>
      </c>
      <c r="C174">
        <v>1</v>
      </c>
      <c r="D174" s="6" t="s">
        <v>569</v>
      </c>
      <c r="E174">
        <f>F174*24</f>
        <v>192</v>
      </c>
      <c r="F174">
        <v>8</v>
      </c>
      <c r="G174">
        <v>0.22715928158000201</v>
      </c>
      <c r="H174">
        <v>8.3951710797298101E-2</v>
      </c>
      <c r="I174">
        <f t="shared" si="24"/>
        <v>2.27159281580002</v>
      </c>
      <c r="J174">
        <f t="shared" si="25"/>
        <v>0.83951710797298107</v>
      </c>
      <c r="K174">
        <f t="shared" si="29"/>
        <v>1.5712607506888738</v>
      </c>
      <c r="L174">
        <f t="shared" si="30"/>
        <v>0.25882312438807009</v>
      </c>
      <c r="M174">
        <f t="shared" si="27"/>
        <v>1.8300838750769439</v>
      </c>
      <c r="N174">
        <v>1</v>
      </c>
    </row>
    <row r="175" spans="1:14" x14ac:dyDescent="0.35">
      <c r="A175" s="6" t="s">
        <v>565</v>
      </c>
      <c r="B175">
        <v>0</v>
      </c>
      <c r="C175">
        <v>2</v>
      </c>
      <c r="D175" s="6" t="s">
        <v>569</v>
      </c>
      <c r="E175">
        <f>F175*24</f>
        <v>192</v>
      </c>
      <c r="F175">
        <v>8</v>
      </c>
      <c r="G175">
        <v>0.214771552413764</v>
      </c>
      <c r="H175">
        <v>8.3281407058017495E-2</v>
      </c>
      <c r="I175">
        <f t="shared" si="24"/>
        <v>2.1477155241376398</v>
      </c>
      <c r="J175">
        <f t="shared" si="25"/>
        <v>0.83281407058017498</v>
      </c>
      <c r="K175">
        <f t="shared" si="29"/>
        <v>1.4855748280460055</v>
      </c>
      <c r="L175">
        <f t="shared" si="30"/>
        <v>0.25675657795986795</v>
      </c>
      <c r="M175">
        <f t="shared" si="27"/>
        <v>1.7423314060058734</v>
      </c>
      <c r="N175">
        <v>1</v>
      </c>
    </row>
    <row r="176" spans="1:14" x14ac:dyDescent="0.35">
      <c r="A176" s="6" t="s">
        <v>565</v>
      </c>
      <c r="B176">
        <v>0</v>
      </c>
      <c r="C176">
        <v>3</v>
      </c>
      <c r="D176" s="6" t="s">
        <v>569</v>
      </c>
      <c r="E176">
        <f t="shared" ref="E176:E191" si="31">F176*24</f>
        <v>192</v>
      </c>
      <c r="F176">
        <v>8</v>
      </c>
      <c r="G176">
        <v>0.24633757185946201</v>
      </c>
      <c r="H176">
        <v>0.112324252185855</v>
      </c>
      <c r="I176">
        <f t="shared" si="24"/>
        <v>2.4633757185946199</v>
      </c>
      <c r="J176">
        <f t="shared" si="25"/>
        <v>1.12324252185855</v>
      </c>
      <c r="K176">
        <f t="shared" si="29"/>
        <v>1.7039169845518984</v>
      </c>
      <c r="L176">
        <f t="shared" si="30"/>
        <v>0.34629566948899099</v>
      </c>
      <c r="M176">
        <f t="shared" si="27"/>
        <v>2.0502126540408896</v>
      </c>
      <c r="N176">
        <v>1</v>
      </c>
    </row>
    <row r="177" spans="1:14" x14ac:dyDescent="0.35">
      <c r="A177" s="6" t="s">
        <v>565</v>
      </c>
      <c r="B177">
        <v>0</v>
      </c>
      <c r="C177">
        <v>1</v>
      </c>
      <c r="D177" s="6" t="s">
        <v>570</v>
      </c>
      <c r="E177">
        <f t="shared" si="31"/>
        <v>192</v>
      </c>
      <c r="F177">
        <v>8</v>
      </c>
      <c r="G177">
        <v>0.19988019173982199</v>
      </c>
      <c r="H177">
        <v>6.7830154116895497E-2</v>
      </c>
      <c r="I177">
        <f t="shared" si="24"/>
        <v>1.9988019173982199</v>
      </c>
      <c r="J177">
        <f t="shared" si="25"/>
        <v>0.67830154116895502</v>
      </c>
      <c r="K177">
        <f t="shared" si="29"/>
        <v>1.3825712862643487</v>
      </c>
      <c r="L177">
        <f t="shared" si="30"/>
        <v>0.20912036514238885</v>
      </c>
      <c r="M177">
        <f t="shared" si="27"/>
        <v>1.5916916514067374</v>
      </c>
      <c r="N177">
        <v>1</v>
      </c>
    </row>
    <row r="178" spans="1:14" x14ac:dyDescent="0.35">
      <c r="A178" s="6" t="s">
        <v>565</v>
      </c>
      <c r="B178">
        <v>0</v>
      </c>
      <c r="C178">
        <v>2</v>
      </c>
      <c r="D178" s="6" t="s">
        <v>570</v>
      </c>
      <c r="E178">
        <f t="shared" si="31"/>
        <v>192</v>
      </c>
      <c r="F178">
        <v>8</v>
      </c>
      <c r="G178">
        <v>0.21546535956316801</v>
      </c>
      <c r="H178">
        <v>8.0488843647639904E-2</v>
      </c>
      <c r="I178">
        <f t="shared" si="24"/>
        <v>2.1546535956316801</v>
      </c>
      <c r="J178">
        <f t="shared" si="25"/>
        <v>0.80488843647639907</v>
      </c>
      <c r="K178">
        <f t="shared" si="29"/>
        <v>1.4903738920984331</v>
      </c>
      <c r="L178">
        <f t="shared" si="30"/>
        <v>0.24814710496567385</v>
      </c>
      <c r="M178">
        <f t="shared" si="27"/>
        <v>1.7385209970641069</v>
      </c>
      <c r="N178">
        <v>1</v>
      </c>
    </row>
    <row r="179" spans="1:14" x14ac:dyDescent="0.35">
      <c r="A179" s="6" t="s">
        <v>565</v>
      </c>
      <c r="B179">
        <v>0</v>
      </c>
      <c r="C179">
        <v>3</v>
      </c>
      <c r="D179" s="6" t="s">
        <v>570</v>
      </c>
      <c r="E179">
        <f t="shared" si="31"/>
        <v>192</v>
      </c>
      <c r="F179">
        <v>8</v>
      </c>
      <c r="G179">
        <v>0.23422828833359299</v>
      </c>
      <c r="H179">
        <v>9.1698765228930001E-2</v>
      </c>
      <c r="I179">
        <f t="shared" si="24"/>
        <v>2.3422828833359297</v>
      </c>
      <c r="J179">
        <f t="shared" si="25"/>
        <v>0.91698765228930001</v>
      </c>
      <c r="K179">
        <f t="shared" si="29"/>
        <v>1.6201570704034625</v>
      </c>
      <c r="L179">
        <f t="shared" si="30"/>
        <v>0.28270729320079119</v>
      </c>
      <c r="M179">
        <f t="shared" si="27"/>
        <v>1.9028643636042537</v>
      </c>
      <c r="N179">
        <v>1</v>
      </c>
    </row>
    <row r="180" spans="1:14" x14ac:dyDescent="0.35">
      <c r="A180" s="6" t="s">
        <v>565</v>
      </c>
      <c r="B180">
        <v>400</v>
      </c>
      <c r="C180">
        <v>1</v>
      </c>
      <c r="D180" s="6" t="s">
        <v>569</v>
      </c>
      <c r="E180">
        <f t="shared" si="31"/>
        <v>192</v>
      </c>
      <c r="F180">
        <v>8</v>
      </c>
      <c r="G180">
        <v>1.3884670049780901</v>
      </c>
      <c r="H180">
        <v>1.2521866630998899</v>
      </c>
      <c r="I180">
        <f t="shared" si="24"/>
        <v>13.884670049780901</v>
      </c>
      <c r="J180">
        <f t="shared" si="25"/>
        <v>12.521866630998899</v>
      </c>
      <c r="K180">
        <f t="shared" si="29"/>
        <v>9.6040262734334494</v>
      </c>
      <c r="L180">
        <f t="shared" si="30"/>
        <v>3.8604914823369607</v>
      </c>
      <c r="M180">
        <f t="shared" si="27"/>
        <v>13.464517755770411</v>
      </c>
      <c r="N180">
        <v>1</v>
      </c>
    </row>
    <row r="181" spans="1:14" x14ac:dyDescent="0.35">
      <c r="A181" s="6" t="s">
        <v>565</v>
      </c>
      <c r="B181">
        <v>400</v>
      </c>
      <c r="C181">
        <v>2</v>
      </c>
      <c r="D181" s="6" t="s">
        <v>569</v>
      </c>
      <c r="E181">
        <f t="shared" si="31"/>
        <v>192</v>
      </c>
      <c r="F181">
        <v>8</v>
      </c>
      <c r="G181">
        <v>1.04022074940809</v>
      </c>
      <c r="H181">
        <v>0.84586131045894197</v>
      </c>
      <c r="I181">
        <f t="shared" si="24"/>
        <v>10.4022074940809</v>
      </c>
      <c r="J181">
        <f t="shared" si="25"/>
        <v>8.4586131045894195</v>
      </c>
      <c r="K181">
        <f t="shared" si="29"/>
        <v>7.1952069236557579</v>
      </c>
      <c r="L181">
        <f t="shared" si="30"/>
        <v>2.607790420144918</v>
      </c>
      <c r="M181">
        <f t="shared" si="27"/>
        <v>9.8029973438006763</v>
      </c>
      <c r="N181">
        <v>1</v>
      </c>
    </row>
    <row r="182" spans="1:14" x14ac:dyDescent="0.35">
      <c r="A182" s="6" t="s">
        <v>565</v>
      </c>
      <c r="B182">
        <v>400</v>
      </c>
      <c r="C182">
        <v>3</v>
      </c>
      <c r="D182" s="6" t="s">
        <v>569</v>
      </c>
      <c r="E182">
        <f t="shared" si="31"/>
        <v>192</v>
      </c>
      <c r="F182">
        <v>8</v>
      </c>
      <c r="G182">
        <v>1.1655720081254399</v>
      </c>
      <c r="H182">
        <v>1.01890082610704</v>
      </c>
      <c r="I182">
        <f t="shared" si="24"/>
        <v>11.655720081254399</v>
      </c>
      <c r="J182">
        <f t="shared" si="25"/>
        <v>10.1890082610704</v>
      </c>
      <c r="K182">
        <f t="shared" si="29"/>
        <v>8.0622615802036677</v>
      </c>
      <c r="L182">
        <f t="shared" si="30"/>
        <v>3.1412712468880044</v>
      </c>
      <c r="M182">
        <f t="shared" si="27"/>
        <v>11.203532827091673</v>
      </c>
      <c r="N182">
        <v>1</v>
      </c>
    </row>
    <row r="183" spans="1:14" x14ac:dyDescent="0.35">
      <c r="A183" s="6" t="s">
        <v>565</v>
      </c>
      <c r="B183">
        <v>400</v>
      </c>
      <c r="C183">
        <v>1</v>
      </c>
      <c r="D183" s="6" t="s">
        <v>570</v>
      </c>
      <c r="E183">
        <f t="shared" si="31"/>
        <v>192</v>
      </c>
      <c r="F183">
        <v>8</v>
      </c>
      <c r="G183">
        <v>1.0173657583695499</v>
      </c>
      <c r="H183">
        <v>0.81377122235483501</v>
      </c>
      <c r="I183">
        <f t="shared" si="24"/>
        <v>10.173657583695499</v>
      </c>
      <c r="J183">
        <f t="shared" si="25"/>
        <v>8.1377122235483501</v>
      </c>
      <c r="K183">
        <f t="shared" si="29"/>
        <v>7.037118950642177</v>
      </c>
      <c r="L183">
        <f t="shared" si="30"/>
        <v>2.5088566785199564</v>
      </c>
      <c r="M183">
        <f t="shared" si="27"/>
        <v>9.5459756291621325</v>
      </c>
      <c r="N183">
        <v>1</v>
      </c>
    </row>
    <row r="184" spans="1:14" x14ac:dyDescent="0.35">
      <c r="A184" s="6" t="s">
        <v>565</v>
      </c>
      <c r="B184">
        <v>400</v>
      </c>
      <c r="C184">
        <v>2</v>
      </c>
      <c r="D184" s="6" t="s">
        <v>570</v>
      </c>
      <c r="E184">
        <f t="shared" si="31"/>
        <v>192</v>
      </c>
      <c r="F184">
        <v>8</v>
      </c>
      <c r="G184">
        <v>0.84747095170755804</v>
      </c>
      <c r="H184">
        <v>0.685540890814341</v>
      </c>
      <c r="I184">
        <f t="shared" si="24"/>
        <v>8.4747095170755813</v>
      </c>
      <c r="J184">
        <f t="shared" si="25"/>
        <v>6.85540890814341</v>
      </c>
      <c r="K184">
        <f t="shared" si="29"/>
        <v>5.8619565729611791</v>
      </c>
      <c r="L184">
        <f t="shared" si="30"/>
        <v>2.1135225663806136</v>
      </c>
      <c r="M184">
        <f t="shared" si="27"/>
        <v>7.9754791393417932</v>
      </c>
      <c r="N184">
        <v>1</v>
      </c>
    </row>
    <row r="185" spans="1:14" x14ac:dyDescent="0.35">
      <c r="A185" s="6" t="s">
        <v>565</v>
      </c>
      <c r="B185">
        <v>400</v>
      </c>
      <c r="C185">
        <v>3</v>
      </c>
      <c r="D185" s="6" t="s">
        <v>570</v>
      </c>
      <c r="E185">
        <f t="shared" si="31"/>
        <v>192</v>
      </c>
      <c r="F185">
        <v>8</v>
      </c>
      <c r="G185">
        <v>0.94598452435629798</v>
      </c>
      <c r="H185">
        <v>0.81554499922260104</v>
      </c>
      <c r="I185">
        <f t="shared" ref="I185:I218" si="32">G185*10</f>
        <v>9.4598452435629792</v>
      </c>
      <c r="J185">
        <f t="shared" ref="J185:J218" si="33">H185*10</f>
        <v>8.1554499922260106</v>
      </c>
      <c r="K185">
        <f t="shared" si="29"/>
        <v>6.5433749549725126</v>
      </c>
      <c r="L185">
        <f t="shared" si="30"/>
        <v>2.5143252326032792</v>
      </c>
      <c r="M185">
        <f t="shared" si="27"/>
        <v>9.0577001875757919</v>
      </c>
      <c r="N185">
        <v>1</v>
      </c>
    </row>
    <row r="186" spans="1:14" x14ac:dyDescent="0.35">
      <c r="A186" s="6" t="s">
        <v>565</v>
      </c>
      <c r="B186">
        <v>800</v>
      </c>
      <c r="C186">
        <v>1</v>
      </c>
      <c r="D186" s="6" t="s">
        <v>569</v>
      </c>
      <c r="E186">
        <f t="shared" si="31"/>
        <v>192</v>
      </c>
      <c r="F186">
        <v>8</v>
      </c>
      <c r="G186">
        <v>3.50773313942274</v>
      </c>
      <c r="H186">
        <v>3.36812334676477</v>
      </c>
      <c r="I186">
        <f t="shared" si="32"/>
        <v>35.0773313942274</v>
      </c>
      <c r="J186">
        <f t="shared" si="33"/>
        <v>33.681233467647701</v>
      </c>
      <c r="K186">
        <f t="shared" si="29"/>
        <v>24.262990125387091</v>
      </c>
      <c r="L186">
        <f t="shared" si="30"/>
        <v>10.383924278075787</v>
      </c>
      <c r="M186">
        <f t="shared" si="27"/>
        <v>34.64691440346288</v>
      </c>
      <c r="N186">
        <v>1</v>
      </c>
    </row>
    <row r="187" spans="1:14" x14ac:dyDescent="0.35">
      <c r="A187" s="6" t="s">
        <v>565</v>
      </c>
      <c r="B187">
        <v>800</v>
      </c>
      <c r="C187">
        <v>2</v>
      </c>
      <c r="D187" s="6" t="s">
        <v>569</v>
      </c>
      <c r="E187">
        <f t="shared" si="31"/>
        <v>192</v>
      </c>
      <c r="F187">
        <v>8</v>
      </c>
      <c r="G187">
        <v>3.8563110844833401</v>
      </c>
      <c r="H187">
        <v>3.784996323169</v>
      </c>
      <c r="I187">
        <f t="shared" si="32"/>
        <v>38.563110844833403</v>
      </c>
      <c r="J187">
        <f t="shared" si="33"/>
        <v>37.849963231689998</v>
      </c>
      <c r="K187">
        <f t="shared" si="29"/>
        <v>26.674103771371264</v>
      </c>
      <c r="L187">
        <f t="shared" si="30"/>
        <v>11.669143664330027</v>
      </c>
      <c r="M187">
        <f t="shared" si="27"/>
        <v>38.343247435701294</v>
      </c>
      <c r="N187">
        <v>1</v>
      </c>
    </row>
    <row r="188" spans="1:14" x14ac:dyDescent="0.35">
      <c r="A188" s="6" t="s">
        <v>565</v>
      </c>
      <c r="B188">
        <v>800</v>
      </c>
      <c r="C188">
        <v>3</v>
      </c>
      <c r="D188" s="6" t="s">
        <v>569</v>
      </c>
      <c r="E188">
        <f t="shared" si="31"/>
        <v>192</v>
      </c>
      <c r="F188">
        <v>8</v>
      </c>
      <c r="G188">
        <v>5.5567226245305701</v>
      </c>
      <c r="H188">
        <v>5.4049967966747499</v>
      </c>
      <c r="I188">
        <f t="shared" si="32"/>
        <v>55.567226245305704</v>
      </c>
      <c r="J188">
        <f t="shared" si="33"/>
        <v>54.049967966747502</v>
      </c>
      <c r="K188">
        <f t="shared" si="29"/>
        <v>38.435850393877956</v>
      </c>
      <c r="L188">
        <f t="shared" si="30"/>
        <v>16.663605124148255</v>
      </c>
      <c r="M188">
        <f t="shared" si="27"/>
        <v>55.099455518026211</v>
      </c>
      <c r="N188">
        <v>1</v>
      </c>
    </row>
    <row r="189" spans="1:14" x14ac:dyDescent="0.35">
      <c r="A189" s="6" t="s">
        <v>565</v>
      </c>
      <c r="B189">
        <v>800</v>
      </c>
      <c r="C189">
        <v>1</v>
      </c>
      <c r="D189" s="6" t="s">
        <v>570</v>
      </c>
      <c r="E189">
        <f t="shared" si="31"/>
        <v>192</v>
      </c>
      <c r="F189">
        <v>8</v>
      </c>
      <c r="G189">
        <v>1.92831201940124</v>
      </c>
      <c r="H189">
        <v>1.7752948252087</v>
      </c>
      <c r="I189">
        <f t="shared" si="32"/>
        <v>19.283120194012401</v>
      </c>
      <c r="J189">
        <f t="shared" si="33"/>
        <v>17.752948252086998</v>
      </c>
      <c r="K189">
        <f t="shared" si="29"/>
        <v>13.338134238198377</v>
      </c>
      <c r="L189">
        <f t="shared" si="30"/>
        <v>5.4732339461184223</v>
      </c>
      <c r="M189">
        <f t="shared" si="27"/>
        <v>18.811368184316798</v>
      </c>
      <c r="N189">
        <v>1</v>
      </c>
    </row>
    <row r="190" spans="1:14" x14ac:dyDescent="0.35">
      <c r="A190" s="6" t="s">
        <v>565</v>
      </c>
      <c r="B190">
        <v>800</v>
      </c>
      <c r="C190">
        <v>2</v>
      </c>
      <c r="D190" s="6" t="s">
        <v>570</v>
      </c>
      <c r="E190">
        <f t="shared" si="31"/>
        <v>192</v>
      </c>
      <c r="F190">
        <v>8</v>
      </c>
      <c r="G190">
        <v>2.1491550005861999</v>
      </c>
      <c r="H190">
        <v>2.0350335186523298</v>
      </c>
      <c r="I190">
        <f t="shared" si="32"/>
        <v>21.491550005861999</v>
      </c>
      <c r="J190">
        <f t="shared" si="33"/>
        <v>20.350335186523299</v>
      </c>
      <c r="K190">
        <f t="shared" si="29"/>
        <v>14.865705139054745</v>
      </c>
      <c r="L190">
        <f t="shared" si="30"/>
        <v>6.2740083380051335</v>
      </c>
      <c r="M190">
        <f t="shared" si="27"/>
        <v>21.139713477059878</v>
      </c>
      <c r="N190">
        <v>1</v>
      </c>
    </row>
    <row r="191" spans="1:14" x14ac:dyDescent="0.35">
      <c r="A191" s="6" t="s">
        <v>565</v>
      </c>
      <c r="B191">
        <v>800</v>
      </c>
      <c r="C191">
        <v>3</v>
      </c>
      <c r="D191" s="6" t="s">
        <v>570</v>
      </c>
      <c r="E191">
        <f t="shared" si="31"/>
        <v>192</v>
      </c>
      <c r="F191">
        <v>8</v>
      </c>
      <c r="G191">
        <v>3.5710715363921599</v>
      </c>
      <c r="H191">
        <v>3.4673655542298798</v>
      </c>
      <c r="I191">
        <f t="shared" si="32"/>
        <v>35.710715363921601</v>
      </c>
      <c r="J191">
        <f t="shared" si="33"/>
        <v>34.673655542298796</v>
      </c>
      <c r="K191">
        <f t="shared" si="29"/>
        <v>24.701101817224572</v>
      </c>
      <c r="L191">
        <f t="shared" si="30"/>
        <v>10.689888003690719</v>
      </c>
      <c r="M191">
        <f t="shared" si="27"/>
        <v>35.390989820915294</v>
      </c>
      <c r="N191">
        <v>1</v>
      </c>
    </row>
    <row r="192" spans="1:14" x14ac:dyDescent="0.35">
      <c r="A192" s="6" t="s">
        <v>565</v>
      </c>
      <c r="B192">
        <v>0</v>
      </c>
      <c r="C192">
        <v>1</v>
      </c>
      <c r="D192" s="6" t="s">
        <v>569</v>
      </c>
      <c r="E192">
        <v>216</v>
      </c>
      <c r="F192">
        <v>9</v>
      </c>
      <c r="G192">
        <v>0.22918011851353901</v>
      </c>
      <c r="H192">
        <v>0.102008216076687</v>
      </c>
      <c r="I192">
        <f t="shared" si="32"/>
        <v>2.2918011851353901</v>
      </c>
      <c r="J192">
        <f t="shared" si="33"/>
        <v>1.02008216076687</v>
      </c>
      <c r="K192">
        <f t="shared" si="29"/>
        <v>1.5852388797581494</v>
      </c>
      <c r="L192">
        <f t="shared" si="30"/>
        <v>0.31449133016442604</v>
      </c>
      <c r="M192">
        <f t="shared" si="27"/>
        <v>1.8997302099225755</v>
      </c>
      <c r="N192">
        <v>1</v>
      </c>
    </row>
    <row r="193" spans="1:14" x14ac:dyDescent="0.35">
      <c r="A193" s="6" t="s">
        <v>565</v>
      </c>
      <c r="B193">
        <v>0</v>
      </c>
      <c r="C193">
        <v>2</v>
      </c>
      <c r="D193" s="6" t="s">
        <v>569</v>
      </c>
      <c r="E193">
        <v>216</v>
      </c>
      <c r="F193">
        <v>9</v>
      </c>
      <c r="G193">
        <v>0.26617861361925399</v>
      </c>
      <c r="H193">
        <v>0.122256092906408</v>
      </c>
      <c r="I193">
        <f t="shared" si="32"/>
        <v>2.6617861361925401</v>
      </c>
      <c r="J193">
        <f t="shared" si="33"/>
        <v>1.22256092906408</v>
      </c>
      <c r="K193">
        <f t="shared" si="29"/>
        <v>1.84115747040438</v>
      </c>
      <c r="L193">
        <f t="shared" si="30"/>
        <v>0.37691553443045589</v>
      </c>
      <c r="M193">
        <f t="shared" si="27"/>
        <v>2.218073004834836</v>
      </c>
      <c r="N193">
        <v>1</v>
      </c>
    </row>
    <row r="194" spans="1:14" x14ac:dyDescent="0.35">
      <c r="A194" s="6" t="s">
        <v>565</v>
      </c>
      <c r="B194">
        <v>0</v>
      </c>
      <c r="C194">
        <v>3</v>
      </c>
      <c r="D194" s="6" t="s">
        <v>569</v>
      </c>
      <c r="E194">
        <v>216</v>
      </c>
      <c r="F194">
        <v>9</v>
      </c>
      <c r="G194">
        <v>0.26905034643528097</v>
      </c>
      <c r="H194">
        <v>0.150304551297295</v>
      </c>
      <c r="I194">
        <f t="shared" si="32"/>
        <v>2.6905034643528096</v>
      </c>
      <c r="J194">
        <f t="shared" si="33"/>
        <v>1.5030455129729501</v>
      </c>
      <c r="K194">
        <f t="shared" si="29"/>
        <v>1.8610212462928384</v>
      </c>
      <c r="L194">
        <f t="shared" si="30"/>
        <v>0.46338893164956052</v>
      </c>
      <c r="M194">
        <f t="shared" si="27"/>
        <v>2.3244101779423989</v>
      </c>
      <c r="N194">
        <v>1</v>
      </c>
    </row>
    <row r="195" spans="1:14" x14ac:dyDescent="0.35">
      <c r="A195" s="6" t="s">
        <v>565</v>
      </c>
      <c r="B195">
        <v>0</v>
      </c>
      <c r="C195">
        <v>1</v>
      </c>
      <c r="D195" s="6" t="s">
        <v>570</v>
      </c>
      <c r="E195">
        <v>216</v>
      </c>
      <c r="F195">
        <v>9</v>
      </c>
      <c r="G195">
        <v>0.22298032872638501</v>
      </c>
      <c r="H195">
        <v>7.0915708256242396E-2</v>
      </c>
      <c r="I195">
        <f t="shared" si="32"/>
        <v>2.22980328726385</v>
      </c>
      <c r="J195">
        <f t="shared" si="33"/>
        <v>0.70915708256242393</v>
      </c>
      <c r="K195">
        <f t="shared" si="29"/>
        <v>1.542354933800405</v>
      </c>
      <c r="L195">
        <f t="shared" si="30"/>
        <v>0.2186331285539953</v>
      </c>
      <c r="M195">
        <f t="shared" si="27"/>
        <v>1.7609880623544003</v>
      </c>
      <c r="N195">
        <v>1</v>
      </c>
    </row>
    <row r="196" spans="1:14" ht="13.75" customHeight="1" x14ac:dyDescent="0.35">
      <c r="A196" s="6" t="s">
        <v>565</v>
      </c>
      <c r="B196">
        <v>0</v>
      </c>
      <c r="C196">
        <v>2</v>
      </c>
      <c r="D196" s="6" t="s">
        <v>570</v>
      </c>
      <c r="E196">
        <v>216</v>
      </c>
      <c r="F196">
        <v>9</v>
      </c>
      <c r="G196">
        <v>0.25291416973370701</v>
      </c>
      <c r="H196">
        <v>0.107629829707763</v>
      </c>
      <c r="I196">
        <f t="shared" si="32"/>
        <v>2.5291416973370699</v>
      </c>
      <c r="J196">
        <f t="shared" si="33"/>
        <v>1.07629829707763</v>
      </c>
      <c r="K196">
        <f t="shared" si="29"/>
        <v>1.7494073120480513</v>
      </c>
      <c r="L196">
        <f t="shared" si="30"/>
        <v>0.33182276498903335</v>
      </c>
      <c r="M196">
        <f t="shared" si="27"/>
        <v>2.0812300770370848</v>
      </c>
      <c r="N196">
        <v>1</v>
      </c>
    </row>
    <row r="197" spans="1:14" x14ac:dyDescent="0.35">
      <c r="A197" s="6" t="s">
        <v>565</v>
      </c>
      <c r="B197">
        <v>0</v>
      </c>
      <c r="C197">
        <v>3</v>
      </c>
      <c r="D197" s="6" t="s">
        <v>570</v>
      </c>
      <c r="E197">
        <v>216</v>
      </c>
      <c r="F197">
        <v>9</v>
      </c>
      <c r="G197">
        <v>0.22052947295038899</v>
      </c>
      <c r="H197">
        <v>8.4540316627748496E-2</v>
      </c>
      <c r="I197">
        <f t="shared" si="32"/>
        <v>2.20529472950389</v>
      </c>
      <c r="J197">
        <f t="shared" si="33"/>
        <v>0.84540316627748502</v>
      </c>
      <c r="K197">
        <f t="shared" si="29"/>
        <v>1.5254023643978407</v>
      </c>
      <c r="L197">
        <f t="shared" si="30"/>
        <v>0.26063779616334865</v>
      </c>
      <c r="M197">
        <f t="shared" si="27"/>
        <v>1.7860401605611893</v>
      </c>
      <c r="N197">
        <v>1</v>
      </c>
    </row>
    <row r="198" spans="1:14" x14ac:dyDescent="0.35">
      <c r="A198" s="6" t="s">
        <v>565</v>
      </c>
      <c r="B198">
        <v>400</v>
      </c>
      <c r="C198">
        <v>1</v>
      </c>
      <c r="D198" s="6" t="s">
        <v>569</v>
      </c>
      <c r="E198">
        <f>F198*24</f>
        <v>192</v>
      </c>
      <c r="F198">
        <v>8</v>
      </c>
      <c r="G198">
        <v>1.2877245053220301</v>
      </c>
      <c r="H198">
        <v>1.1212430548489301</v>
      </c>
      <c r="I198">
        <f t="shared" si="32"/>
        <v>12.877245053220301</v>
      </c>
      <c r="J198">
        <f t="shared" si="33"/>
        <v>11.212430548489301</v>
      </c>
      <c r="K198">
        <f t="shared" si="29"/>
        <v>8.907190403312482</v>
      </c>
      <c r="L198">
        <f t="shared" si="30"/>
        <v>3.4567923380992518</v>
      </c>
      <c r="M198">
        <f t="shared" si="27"/>
        <v>12.363982741411734</v>
      </c>
      <c r="N198">
        <v>1</v>
      </c>
    </row>
    <row r="199" spans="1:14" x14ac:dyDescent="0.35">
      <c r="A199" s="6" t="s">
        <v>565</v>
      </c>
      <c r="B199">
        <v>400</v>
      </c>
      <c r="C199">
        <v>2</v>
      </c>
      <c r="D199" s="6" t="s">
        <v>569</v>
      </c>
      <c r="E199">
        <f t="shared" ref="E199:E209" si="34">F199*24</f>
        <v>216</v>
      </c>
      <c r="F199">
        <v>9</v>
      </c>
      <c r="G199">
        <v>1.2731656024167399</v>
      </c>
      <c r="H199">
        <v>1.11070587171418</v>
      </c>
      <c r="I199">
        <f t="shared" si="32"/>
        <v>12.7316560241674</v>
      </c>
      <c r="J199">
        <f t="shared" si="33"/>
        <v>11.1070587171418</v>
      </c>
      <c r="K199">
        <f t="shared" si="29"/>
        <v>8.8064864719165907</v>
      </c>
      <c r="L199">
        <f t="shared" si="30"/>
        <v>3.4243062024948174</v>
      </c>
      <c r="M199">
        <f t="shared" si="27"/>
        <v>12.230792674411408</v>
      </c>
      <c r="N199">
        <v>1</v>
      </c>
    </row>
    <row r="200" spans="1:14" x14ac:dyDescent="0.35">
      <c r="A200" s="6" t="s">
        <v>565</v>
      </c>
      <c r="B200">
        <v>400</v>
      </c>
      <c r="C200">
        <v>3</v>
      </c>
      <c r="D200" s="6" t="s">
        <v>569</v>
      </c>
      <c r="E200">
        <f t="shared" si="34"/>
        <v>216</v>
      </c>
      <c r="F200">
        <v>9</v>
      </c>
      <c r="G200">
        <v>1.0993036019076401</v>
      </c>
      <c r="H200">
        <v>0.98168759995024202</v>
      </c>
      <c r="I200">
        <f t="shared" si="32"/>
        <v>10.993036019076401</v>
      </c>
      <c r="J200">
        <f t="shared" si="33"/>
        <v>9.81687599950242</v>
      </c>
      <c r="K200">
        <f t="shared" si="29"/>
        <v>7.6038830143951461</v>
      </c>
      <c r="L200">
        <f t="shared" si="30"/>
        <v>3.0265428706465962</v>
      </c>
      <c r="M200">
        <f t="shared" si="27"/>
        <v>10.630425885041742</v>
      </c>
      <c r="N200">
        <v>1</v>
      </c>
    </row>
    <row r="201" spans="1:14" x14ac:dyDescent="0.35">
      <c r="A201" s="6" t="s">
        <v>565</v>
      </c>
      <c r="B201">
        <v>400</v>
      </c>
      <c r="C201">
        <v>1</v>
      </c>
      <c r="D201" s="6" t="s">
        <v>570</v>
      </c>
      <c r="E201">
        <f t="shared" si="34"/>
        <v>216</v>
      </c>
      <c r="F201">
        <v>9</v>
      </c>
      <c r="G201">
        <v>0.59158158536245198</v>
      </c>
      <c r="H201">
        <v>0.45124733133694001</v>
      </c>
      <c r="I201">
        <f t="shared" si="32"/>
        <v>5.9158158536245198</v>
      </c>
      <c r="J201">
        <f t="shared" si="33"/>
        <v>4.5124733133693997</v>
      </c>
      <c r="K201">
        <f t="shared" si="29"/>
        <v>4.0919698259520798</v>
      </c>
      <c r="L201">
        <f t="shared" si="30"/>
        <v>1.391195522511786</v>
      </c>
      <c r="M201">
        <f t="shared" si="27"/>
        <v>5.4831653484638654</v>
      </c>
      <c r="N201">
        <v>1</v>
      </c>
    </row>
    <row r="202" spans="1:14" x14ac:dyDescent="0.35">
      <c r="A202" s="6" t="s">
        <v>565</v>
      </c>
      <c r="B202">
        <v>400</v>
      </c>
      <c r="C202">
        <v>2</v>
      </c>
      <c r="D202" s="6" t="s">
        <v>570</v>
      </c>
      <c r="E202">
        <f t="shared" si="34"/>
        <v>216</v>
      </c>
      <c r="F202">
        <v>9</v>
      </c>
      <c r="G202">
        <v>0.57611919248283405</v>
      </c>
      <c r="H202">
        <v>0.43496811180656297</v>
      </c>
      <c r="I202">
        <f t="shared" si="32"/>
        <v>5.7611919248283403</v>
      </c>
      <c r="J202">
        <f t="shared" si="33"/>
        <v>4.3496811180656296</v>
      </c>
      <c r="K202">
        <f t="shared" si="29"/>
        <v>3.985016454403763</v>
      </c>
      <c r="L202">
        <f t="shared" si="30"/>
        <v>1.3410066886996337</v>
      </c>
      <c r="M202">
        <f t="shared" si="27"/>
        <v>5.3260231431033969</v>
      </c>
      <c r="N202">
        <v>1</v>
      </c>
    </row>
    <row r="203" spans="1:14" x14ac:dyDescent="0.35">
      <c r="A203" s="6" t="s">
        <v>565</v>
      </c>
      <c r="B203">
        <v>400</v>
      </c>
      <c r="C203">
        <v>3</v>
      </c>
      <c r="D203" s="6" t="s">
        <v>570</v>
      </c>
      <c r="E203">
        <f t="shared" si="34"/>
        <v>216</v>
      </c>
      <c r="F203">
        <v>9</v>
      </c>
      <c r="G203">
        <v>0.56781554698018799</v>
      </c>
      <c r="H203">
        <v>0.40528803659653201</v>
      </c>
      <c r="I203">
        <f t="shared" si="32"/>
        <v>5.6781554698018795</v>
      </c>
      <c r="J203">
        <f t="shared" si="33"/>
        <v>4.0528803659653203</v>
      </c>
      <c r="K203">
        <f t="shared" si="29"/>
        <v>3.92758013846196</v>
      </c>
      <c r="L203">
        <f t="shared" si="30"/>
        <v>1.2495030168271084</v>
      </c>
      <c r="M203">
        <f t="shared" si="27"/>
        <v>5.1770831552890684</v>
      </c>
      <c r="N203">
        <v>1</v>
      </c>
    </row>
    <row r="204" spans="1:14" x14ac:dyDescent="0.35">
      <c r="A204" s="6" t="s">
        <v>565</v>
      </c>
      <c r="B204">
        <v>800</v>
      </c>
      <c r="C204">
        <v>1</v>
      </c>
      <c r="D204" s="6" t="s">
        <v>569</v>
      </c>
      <c r="E204">
        <f t="shared" si="34"/>
        <v>216</v>
      </c>
      <c r="F204">
        <v>9</v>
      </c>
      <c r="G204">
        <v>3.3479495540733599</v>
      </c>
      <c r="H204">
        <v>3.2010209004065899</v>
      </c>
      <c r="I204">
        <f t="shared" si="32"/>
        <v>33.479495540733602</v>
      </c>
      <c r="J204">
        <f t="shared" si="33"/>
        <v>32.010209004065899</v>
      </c>
      <c r="K204">
        <f t="shared" si="29"/>
        <v>23.15776706552543</v>
      </c>
      <c r="L204">
        <f t="shared" si="30"/>
        <v>9.8687474359535177</v>
      </c>
      <c r="M204">
        <f t="shared" si="27"/>
        <v>33.02651450147895</v>
      </c>
      <c r="N204">
        <v>1</v>
      </c>
    </row>
    <row r="205" spans="1:14" x14ac:dyDescent="0.35">
      <c r="A205" s="6" t="s">
        <v>565</v>
      </c>
      <c r="B205">
        <v>800</v>
      </c>
      <c r="C205">
        <v>2</v>
      </c>
      <c r="D205" s="6" t="s">
        <v>569</v>
      </c>
      <c r="E205">
        <f t="shared" si="34"/>
        <v>216</v>
      </c>
      <c r="F205">
        <v>9</v>
      </c>
      <c r="G205">
        <v>4.79561054154982</v>
      </c>
      <c r="H205">
        <v>4.6835289637282296</v>
      </c>
      <c r="I205">
        <f t="shared" si="32"/>
        <v>47.9561054154982</v>
      </c>
      <c r="J205">
        <f t="shared" si="33"/>
        <v>46.835289637282294</v>
      </c>
      <c r="K205">
        <f t="shared" si="29"/>
        <v>33.171238115900103</v>
      </c>
      <c r="L205">
        <f t="shared" si="30"/>
        <v>14.439319795174132</v>
      </c>
      <c r="M205">
        <f t="shared" si="27"/>
        <v>47.610557911074238</v>
      </c>
      <c r="N205">
        <v>1</v>
      </c>
    </row>
    <row r="206" spans="1:14" x14ac:dyDescent="0.35">
      <c r="A206" s="6" t="s">
        <v>565</v>
      </c>
      <c r="B206">
        <v>800</v>
      </c>
      <c r="C206">
        <v>3</v>
      </c>
      <c r="D206" s="6" t="s">
        <v>569</v>
      </c>
      <c r="E206">
        <f t="shared" si="34"/>
        <v>216</v>
      </c>
      <c r="F206">
        <v>9</v>
      </c>
      <c r="G206">
        <v>5.2656373564889201</v>
      </c>
      <c r="H206">
        <v>5.0274512213530498</v>
      </c>
      <c r="I206">
        <f t="shared" si="32"/>
        <v>52.656373564889201</v>
      </c>
      <c r="J206">
        <f t="shared" si="33"/>
        <v>50.2745122135305</v>
      </c>
      <c r="K206">
        <f t="shared" si="29"/>
        <v>36.422413594833856</v>
      </c>
      <c r="L206">
        <f t="shared" si="30"/>
        <v>15.499632115431455</v>
      </c>
      <c r="M206">
        <f t="shared" si="27"/>
        <v>51.922045710265309</v>
      </c>
      <c r="N206">
        <v>1</v>
      </c>
    </row>
    <row r="207" spans="1:14" x14ac:dyDescent="0.35">
      <c r="A207" s="6" t="s">
        <v>565</v>
      </c>
      <c r="B207">
        <v>800</v>
      </c>
      <c r="C207">
        <v>1</v>
      </c>
      <c r="D207" s="6" t="s">
        <v>570</v>
      </c>
      <c r="E207">
        <f t="shared" si="34"/>
        <v>216</v>
      </c>
      <c r="F207">
        <v>9</v>
      </c>
      <c r="G207">
        <v>1.46427993941822</v>
      </c>
      <c r="H207">
        <v>1.3359804000669599</v>
      </c>
      <c r="I207">
        <f t="shared" si="32"/>
        <v>14.6427993941822</v>
      </c>
      <c r="J207">
        <f t="shared" si="33"/>
        <v>13.3598040006696</v>
      </c>
      <c r="K207">
        <f t="shared" si="29"/>
        <v>10.128424340955828</v>
      </c>
      <c r="L207">
        <f t="shared" si="30"/>
        <v>4.1188275734064383</v>
      </c>
      <c r="M207">
        <f t="shared" si="27"/>
        <v>14.247251914362266</v>
      </c>
      <c r="N207">
        <v>1</v>
      </c>
    </row>
    <row r="208" spans="1:14" x14ac:dyDescent="0.35">
      <c r="A208" s="6" t="s">
        <v>565</v>
      </c>
      <c r="B208">
        <v>800</v>
      </c>
      <c r="C208">
        <v>2</v>
      </c>
      <c r="D208" s="6" t="s">
        <v>570</v>
      </c>
      <c r="E208">
        <f t="shared" si="34"/>
        <v>216</v>
      </c>
      <c r="F208">
        <v>9</v>
      </c>
      <c r="G208">
        <v>1.99221474972082</v>
      </c>
      <c r="H208">
        <v>1.86119940954055</v>
      </c>
      <c r="I208">
        <f t="shared" si="32"/>
        <v>19.922147497208201</v>
      </c>
      <c r="J208">
        <f t="shared" si="33"/>
        <v>18.6119940954055</v>
      </c>
      <c r="K208">
        <f t="shared" si="29"/>
        <v>13.780149423818912</v>
      </c>
      <c r="L208">
        <f t="shared" si="30"/>
        <v>5.7380777796135156</v>
      </c>
      <c r="M208">
        <f t="shared" ref="M208:M218" si="35">L208+K208</f>
        <v>19.518227203432428</v>
      </c>
      <c r="N208">
        <v>1</v>
      </c>
    </row>
    <row r="209" spans="1:14" x14ac:dyDescent="0.35">
      <c r="A209" s="6" t="s">
        <v>565</v>
      </c>
      <c r="B209">
        <v>800</v>
      </c>
      <c r="C209">
        <v>3</v>
      </c>
      <c r="D209" s="6" t="s">
        <v>570</v>
      </c>
      <c r="E209">
        <f t="shared" si="34"/>
        <v>216</v>
      </c>
      <c r="F209">
        <v>9</v>
      </c>
      <c r="G209">
        <v>2.09597842787025</v>
      </c>
      <c r="H209">
        <v>1.93649056637592</v>
      </c>
      <c r="I209">
        <f t="shared" si="32"/>
        <v>20.9597842787025</v>
      </c>
      <c r="J209">
        <f t="shared" si="33"/>
        <v>19.364905663759199</v>
      </c>
      <c r="K209">
        <f t="shared" si="29"/>
        <v>14.497882785578518</v>
      </c>
      <c r="L209">
        <f t="shared" si="30"/>
        <v>5.9702004161369615</v>
      </c>
      <c r="M209">
        <f t="shared" si="35"/>
        <v>20.46808320171548</v>
      </c>
      <c r="N209">
        <v>1</v>
      </c>
    </row>
    <row r="210" spans="1:14" x14ac:dyDescent="0.35">
      <c r="A210" s="6" t="s">
        <v>565</v>
      </c>
      <c r="B210">
        <v>0</v>
      </c>
      <c r="C210">
        <v>1</v>
      </c>
      <c r="D210" s="6" t="s">
        <v>569</v>
      </c>
      <c r="E210">
        <f>F210*24</f>
        <v>240</v>
      </c>
      <c r="F210">
        <v>10</v>
      </c>
      <c r="G210">
        <v>0.20391290999723899</v>
      </c>
      <c r="H210">
        <v>5.8025316306682902E-2</v>
      </c>
      <c r="I210">
        <f t="shared" si="32"/>
        <v>2.0391290999723899</v>
      </c>
      <c r="J210">
        <f t="shared" si="33"/>
        <v>0.58025316306682906</v>
      </c>
      <c r="K210">
        <f t="shared" si="29"/>
        <v>1.410465598450902</v>
      </c>
      <c r="L210">
        <f t="shared" si="30"/>
        <v>0.1788920501735034</v>
      </c>
      <c r="M210">
        <f t="shared" si="35"/>
        <v>1.5893576486244054</v>
      </c>
      <c r="N210">
        <v>1</v>
      </c>
    </row>
    <row r="211" spans="1:14" x14ac:dyDescent="0.35">
      <c r="A211" s="6" t="s">
        <v>565</v>
      </c>
      <c r="B211">
        <v>0</v>
      </c>
      <c r="C211">
        <v>2</v>
      </c>
      <c r="D211" s="6" t="s">
        <v>569</v>
      </c>
      <c r="E211">
        <f>F211*24</f>
        <v>240</v>
      </c>
      <c r="F211">
        <v>10</v>
      </c>
      <c r="G211">
        <v>0.23001370989877101</v>
      </c>
      <c r="H211">
        <v>8.5894246198883695E-2</v>
      </c>
      <c r="I211">
        <f t="shared" si="32"/>
        <v>2.3001370989877099</v>
      </c>
      <c r="J211">
        <f t="shared" si="33"/>
        <v>0.85894246198883695</v>
      </c>
      <c r="K211">
        <f t="shared" si="29"/>
        <v>1.5910048313697989</v>
      </c>
      <c r="L211">
        <f t="shared" si="30"/>
        <v>0.26481196103115845</v>
      </c>
      <c r="M211">
        <f t="shared" si="35"/>
        <v>1.8558167924009572</v>
      </c>
      <c r="N211">
        <v>1</v>
      </c>
    </row>
    <row r="212" spans="1:14" x14ac:dyDescent="0.35">
      <c r="A212" s="6" t="s">
        <v>565</v>
      </c>
      <c r="B212">
        <v>0</v>
      </c>
      <c r="C212">
        <v>3</v>
      </c>
      <c r="D212" s="6" t="s">
        <v>569</v>
      </c>
      <c r="E212">
        <f t="shared" ref="E212:E218" si="36">F212*24</f>
        <v>240</v>
      </c>
      <c r="F212">
        <v>10</v>
      </c>
      <c r="G212">
        <v>0.23757398372968699</v>
      </c>
      <c r="H212">
        <v>9.1622472608038297E-2</v>
      </c>
      <c r="I212">
        <f t="shared" si="32"/>
        <v>2.3757398372968699</v>
      </c>
      <c r="J212">
        <f t="shared" si="33"/>
        <v>0.91622472608038297</v>
      </c>
      <c r="K212">
        <f t="shared" si="29"/>
        <v>1.6432992454582449</v>
      </c>
      <c r="L212">
        <f t="shared" si="30"/>
        <v>0.28247208305058208</v>
      </c>
      <c r="M212">
        <f t="shared" si="35"/>
        <v>1.9257713285088269</v>
      </c>
      <c r="N212">
        <v>1</v>
      </c>
    </row>
    <row r="213" spans="1:14" x14ac:dyDescent="0.35">
      <c r="A213" s="6" t="s">
        <v>565</v>
      </c>
      <c r="B213">
        <v>400</v>
      </c>
      <c r="C213">
        <v>1</v>
      </c>
      <c r="D213" s="6" t="s">
        <v>569</v>
      </c>
      <c r="E213">
        <f t="shared" si="36"/>
        <v>240</v>
      </c>
      <c r="F213">
        <v>10</v>
      </c>
      <c r="G213">
        <v>1.1309409961727199</v>
      </c>
      <c r="H213">
        <v>0.96375733641305905</v>
      </c>
      <c r="I213">
        <f t="shared" si="32"/>
        <v>11.3094099617272</v>
      </c>
      <c r="J213">
        <f t="shared" si="33"/>
        <v>9.6375733641305903</v>
      </c>
      <c r="K213">
        <f t="shared" si="29"/>
        <v>7.8227188705267041</v>
      </c>
      <c r="L213">
        <f t="shared" si="30"/>
        <v>2.9712638681614614</v>
      </c>
      <c r="M213">
        <f t="shared" si="35"/>
        <v>10.793982738688165</v>
      </c>
      <c r="N213">
        <v>1</v>
      </c>
    </row>
    <row r="214" spans="1:14" x14ac:dyDescent="0.35">
      <c r="A214" s="6" t="s">
        <v>565</v>
      </c>
      <c r="B214">
        <v>400</v>
      </c>
      <c r="C214">
        <v>2</v>
      </c>
      <c r="D214" s="6" t="s">
        <v>569</v>
      </c>
      <c r="E214">
        <f t="shared" si="36"/>
        <v>240</v>
      </c>
      <c r="F214">
        <v>10</v>
      </c>
      <c r="G214">
        <v>1.0415213381282</v>
      </c>
      <c r="H214">
        <v>0.87710012103898105</v>
      </c>
      <c r="I214">
        <f t="shared" si="32"/>
        <v>10.415213381282001</v>
      </c>
      <c r="J214">
        <f t="shared" si="33"/>
        <v>8.7710012103898105</v>
      </c>
      <c r="K214">
        <f t="shared" si="29"/>
        <v>7.2042030958327601</v>
      </c>
      <c r="L214">
        <f t="shared" si="30"/>
        <v>2.7040996731631788</v>
      </c>
      <c r="M214">
        <f t="shared" si="35"/>
        <v>9.908302768995938</v>
      </c>
      <c r="N214">
        <v>1</v>
      </c>
    </row>
    <row r="215" spans="1:14" x14ac:dyDescent="0.35">
      <c r="A215" s="6" t="s">
        <v>565</v>
      </c>
      <c r="B215">
        <v>400</v>
      </c>
      <c r="C215">
        <v>3</v>
      </c>
      <c r="D215" s="6" t="s">
        <v>569</v>
      </c>
      <c r="E215">
        <f t="shared" si="36"/>
        <v>240</v>
      </c>
      <c r="F215">
        <v>10</v>
      </c>
      <c r="G215">
        <v>0.96525991108277398</v>
      </c>
      <c r="H215">
        <v>0.77022918531925899</v>
      </c>
      <c r="I215">
        <f t="shared" si="32"/>
        <v>9.6525991108277402</v>
      </c>
      <c r="J215">
        <f t="shared" si="33"/>
        <v>7.7022918531925901</v>
      </c>
      <c r="K215">
        <f t="shared" si="29"/>
        <v>6.6767028049595476</v>
      </c>
      <c r="L215">
        <f t="shared" si="30"/>
        <v>2.3746165783392756</v>
      </c>
      <c r="M215">
        <f t="shared" si="35"/>
        <v>9.0513193832988232</v>
      </c>
      <c r="N215">
        <v>1</v>
      </c>
    </row>
    <row r="216" spans="1:14" x14ac:dyDescent="0.35">
      <c r="A216" s="6" t="s">
        <v>565</v>
      </c>
      <c r="B216">
        <v>800</v>
      </c>
      <c r="C216">
        <v>1</v>
      </c>
      <c r="D216" s="6" t="s">
        <v>569</v>
      </c>
      <c r="E216">
        <f t="shared" si="36"/>
        <v>240</v>
      </c>
      <c r="F216">
        <v>10</v>
      </c>
      <c r="G216">
        <v>2.8027823579410698</v>
      </c>
      <c r="H216">
        <v>2.7133634846023398</v>
      </c>
      <c r="I216">
        <f t="shared" si="32"/>
        <v>28.027823579410697</v>
      </c>
      <c r="J216">
        <f t="shared" si="33"/>
        <v>27.133634846023398</v>
      </c>
      <c r="K216">
        <f t="shared" si="29"/>
        <v>19.386845569878378</v>
      </c>
      <c r="L216">
        <f t="shared" si="30"/>
        <v>8.3652996230290135</v>
      </c>
      <c r="M216">
        <f t="shared" si="35"/>
        <v>27.752145192907392</v>
      </c>
      <c r="N216">
        <v>1</v>
      </c>
    </row>
    <row r="217" spans="1:14" x14ac:dyDescent="0.35">
      <c r="A217" s="6" t="s">
        <v>565</v>
      </c>
      <c r="B217">
        <v>800</v>
      </c>
      <c r="C217">
        <v>2</v>
      </c>
      <c r="D217" s="6" t="s">
        <v>569</v>
      </c>
      <c r="E217">
        <f t="shared" si="36"/>
        <v>240</v>
      </c>
      <c r="F217">
        <v>10</v>
      </c>
      <c r="G217">
        <v>5.3520505644259302</v>
      </c>
      <c r="H217">
        <v>5.2666772818952703</v>
      </c>
      <c r="I217">
        <f t="shared" si="32"/>
        <v>53.520505644259302</v>
      </c>
      <c r="J217">
        <f t="shared" si="33"/>
        <v>52.666772818952701</v>
      </c>
      <c r="K217">
        <f t="shared" si="29"/>
        <v>37.020133754134157</v>
      </c>
      <c r="L217">
        <f t="shared" si="30"/>
        <v>16.237166060083119</v>
      </c>
      <c r="M217">
        <f t="shared" si="35"/>
        <v>53.257299814217276</v>
      </c>
      <c r="N217">
        <v>1</v>
      </c>
    </row>
    <row r="218" spans="1:14" x14ac:dyDescent="0.35">
      <c r="A218" s="6" t="s">
        <v>565</v>
      </c>
      <c r="B218">
        <v>800</v>
      </c>
      <c r="C218">
        <v>3</v>
      </c>
      <c r="D218" s="6" t="s">
        <v>569</v>
      </c>
      <c r="E218">
        <f t="shared" si="36"/>
        <v>240</v>
      </c>
      <c r="F218">
        <v>10</v>
      </c>
      <c r="G218">
        <v>3.9214362764385</v>
      </c>
      <c r="H218">
        <v>3.8455737758038699</v>
      </c>
      <c r="I218">
        <f t="shared" si="32"/>
        <v>39.214362764385001</v>
      </c>
      <c r="J218">
        <f t="shared" si="33"/>
        <v>38.455737758038701</v>
      </c>
      <c r="K218">
        <f t="shared" si="29"/>
        <v>27.124574724125104</v>
      </c>
      <c r="L218">
        <f t="shared" si="30"/>
        <v>11.855903950803333</v>
      </c>
      <c r="M218">
        <f t="shared" si="35"/>
        <v>38.980478674928435</v>
      </c>
      <c r="N218">
        <v>1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6">
    <tabColor rgb="FF00B050"/>
  </sheetPr>
  <dimension ref="A1:G103"/>
  <sheetViews>
    <sheetView workbookViewId="0">
      <selection activeCell="M105" sqref="M105"/>
    </sheetView>
  </sheetViews>
  <sheetFormatPr defaultColWidth="9" defaultRowHeight="14.15" x14ac:dyDescent="0.35"/>
  <cols>
    <col min="6" max="6" width="11" customWidth="1"/>
  </cols>
  <sheetData>
    <row r="1" spans="1:7" x14ac:dyDescent="0.35">
      <c r="A1" s="6" t="s">
        <v>563</v>
      </c>
      <c r="B1" s="6" t="s">
        <v>577</v>
      </c>
      <c r="C1" s="6" t="s">
        <v>578</v>
      </c>
      <c r="D1" s="6" t="s">
        <v>574</v>
      </c>
      <c r="E1" s="6" t="s">
        <v>575</v>
      </c>
      <c r="F1" s="6" t="s">
        <v>572</v>
      </c>
      <c r="G1" s="6" t="s">
        <v>576</v>
      </c>
    </row>
    <row r="2" spans="1:7" x14ac:dyDescent="0.35">
      <c r="A2" s="6" t="s">
        <v>571</v>
      </c>
      <c r="B2">
        <v>0</v>
      </c>
      <c r="C2">
        <f>B2/24</f>
        <v>0</v>
      </c>
      <c r="D2">
        <v>800</v>
      </c>
      <c r="E2">
        <v>1</v>
      </c>
      <c r="F2">
        <v>0</v>
      </c>
      <c r="G2">
        <v>10</v>
      </c>
    </row>
    <row r="3" spans="1:7" x14ac:dyDescent="0.35">
      <c r="A3" s="6" t="s">
        <v>571</v>
      </c>
      <c r="B3">
        <v>0</v>
      </c>
      <c r="C3">
        <f t="shared" ref="C3:C66" si="0">B3/24</f>
        <v>0</v>
      </c>
      <c r="D3">
        <v>800</v>
      </c>
      <c r="E3">
        <v>2</v>
      </c>
      <c r="F3">
        <v>0</v>
      </c>
      <c r="G3">
        <v>10</v>
      </c>
    </row>
    <row r="4" spans="1:7" x14ac:dyDescent="0.35">
      <c r="A4" s="6" t="s">
        <v>571</v>
      </c>
      <c r="B4">
        <v>0</v>
      </c>
      <c r="C4">
        <f t="shared" si="0"/>
        <v>0</v>
      </c>
      <c r="D4">
        <v>800</v>
      </c>
      <c r="E4">
        <v>3</v>
      </c>
      <c r="F4">
        <v>0</v>
      </c>
      <c r="G4">
        <v>10</v>
      </c>
    </row>
    <row r="5" spans="1:7" x14ac:dyDescent="0.35">
      <c r="A5" s="6" t="s">
        <v>571</v>
      </c>
      <c r="B5">
        <v>0</v>
      </c>
      <c r="C5">
        <f t="shared" si="0"/>
        <v>0</v>
      </c>
      <c r="D5">
        <v>1200</v>
      </c>
      <c r="E5">
        <v>1</v>
      </c>
      <c r="F5">
        <v>0</v>
      </c>
      <c r="G5">
        <v>10</v>
      </c>
    </row>
    <row r="6" spans="1:7" x14ac:dyDescent="0.35">
      <c r="A6" s="6" t="s">
        <v>571</v>
      </c>
      <c r="B6">
        <v>0</v>
      </c>
      <c r="C6">
        <f t="shared" si="0"/>
        <v>0</v>
      </c>
      <c r="D6">
        <v>1200</v>
      </c>
      <c r="E6">
        <v>2</v>
      </c>
      <c r="F6">
        <v>0</v>
      </c>
      <c r="G6">
        <v>9</v>
      </c>
    </row>
    <row r="7" spans="1:7" x14ac:dyDescent="0.35">
      <c r="A7" s="6" t="s">
        <v>571</v>
      </c>
      <c r="B7">
        <v>0</v>
      </c>
      <c r="C7">
        <f t="shared" si="0"/>
        <v>0</v>
      </c>
      <c r="D7">
        <v>1200</v>
      </c>
      <c r="E7">
        <v>3</v>
      </c>
      <c r="F7">
        <v>0</v>
      </c>
      <c r="G7">
        <v>10</v>
      </c>
    </row>
    <row r="8" spans="1:7" x14ac:dyDescent="0.35">
      <c r="A8" s="6" t="s">
        <v>571</v>
      </c>
      <c r="B8">
        <v>12</v>
      </c>
      <c r="C8">
        <f t="shared" si="0"/>
        <v>0.5</v>
      </c>
      <c r="D8">
        <v>800</v>
      </c>
      <c r="E8">
        <v>1</v>
      </c>
      <c r="F8">
        <v>0</v>
      </c>
      <c r="G8">
        <v>10</v>
      </c>
    </row>
    <row r="9" spans="1:7" x14ac:dyDescent="0.35">
      <c r="A9" s="6" t="s">
        <v>571</v>
      </c>
      <c r="B9">
        <v>12</v>
      </c>
      <c r="C9">
        <f t="shared" si="0"/>
        <v>0.5</v>
      </c>
      <c r="D9">
        <v>800</v>
      </c>
      <c r="E9">
        <v>2</v>
      </c>
      <c r="F9">
        <v>0</v>
      </c>
      <c r="G9">
        <v>10</v>
      </c>
    </row>
    <row r="10" spans="1:7" x14ac:dyDescent="0.35">
      <c r="A10" s="6" t="s">
        <v>571</v>
      </c>
      <c r="B10">
        <v>12</v>
      </c>
      <c r="C10">
        <f t="shared" si="0"/>
        <v>0.5</v>
      </c>
      <c r="D10">
        <v>800</v>
      </c>
      <c r="E10">
        <v>3</v>
      </c>
      <c r="F10">
        <v>0</v>
      </c>
      <c r="G10">
        <v>10</v>
      </c>
    </row>
    <row r="11" spans="1:7" x14ac:dyDescent="0.35">
      <c r="A11" s="6" t="s">
        <v>571</v>
      </c>
      <c r="B11">
        <v>12</v>
      </c>
      <c r="C11">
        <f t="shared" si="0"/>
        <v>0.5</v>
      </c>
      <c r="D11">
        <v>1200</v>
      </c>
      <c r="E11">
        <v>1</v>
      </c>
      <c r="F11">
        <v>0</v>
      </c>
      <c r="G11">
        <v>10</v>
      </c>
    </row>
    <row r="12" spans="1:7" x14ac:dyDescent="0.35">
      <c r="A12" s="6" t="s">
        <v>571</v>
      </c>
      <c r="B12">
        <v>12</v>
      </c>
      <c r="C12">
        <f t="shared" si="0"/>
        <v>0.5</v>
      </c>
      <c r="D12">
        <v>1200</v>
      </c>
      <c r="E12">
        <v>2</v>
      </c>
      <c r="F12">
        <v>0</v>
      </c>
      <c r="G12">
        <v>9</v>
      </c>
    </row>
    <row r="13" spans="1:7" x14ac:dyDescent="0.35">
      <c r="A13" s="6" t="s">
        <v>571</v>
      </c>
      <c r="B13">
        <v>12</v>
      </c>
      <c r="C13">
        <f t="shared" si="0"/>
        <v>0.5</v>
      </c>
      <c r="D13">
        <v>1200</v>
      </c>
      <c r="E13">
        <v>3</v>
      </c>
      <c r="F13">
        <v>0</v>
      </c>
      <c r="G13">
        <v>10</v>
      </c>
    </row>
    <row r="14" spans="1:7" x14ac:dyDescent="0.35">
      <c r="A14" s="6" t="s">
        <v>571</v>
      </c>
      <c r="B14">
        <v>24</v>
      </c>
      <c r="C14">
        <f t="shared" si="0"/>
        <v>1</v>
      </c>
      <c r="D14">
        <v>800</v>
      </c>
      <c r="E14">
        <v>1</v>
      </c>
      <c r="F14">
        <v>0</v>
      </c>
      <c r="G14">
        <v>10</v>
      </c>
    </row>
    <row r="15" spans="1:7" x14ac:dyDescent="0.35">
      <c r="A15" s="6" t="s">
        <v>571</v>
      </c>
      <c r="B15">
        <v>24</v>
      </c>
      <c r="C15">
        <f t="shared" si="0"/>
        <v>1</v>
      </c>
      <c r="D15">
        <v>800</v>
      </c>
      <c r="E15">
        <v>2</v>
      </c>
      <c r="F15">
        <v>0</v>
      </c>
      <c r="G15">
        <v>10</v>
      </c>
    </row>
    <row r="16" spans="1:7" x14ac:dyDescent="0.35">
      <c r="A16" s="6" t="s">
        <v>571</v>
      </c>
      <c r="B16">
        <v>24</v>
      </c>
      <c r="C16">
        <f t="shared" si="0"/>
        <v>1</v>
      </c>
      <c r="D16">
        <v>800</v>
      </c>
      <c r="E16">
        <v>3</v>
      </c>
      <c r="F16">
        <v>0</v>
      </c>
      <c r="G16">
        <v>10</v>
      </c>
    </row>
    <row r="17" spans="1:7" x14ac:dyDescent="0.35">
      <c r="A17" s="6" t="s">
        <v>571</v>
      </c>
      <c r="B17">
        <v>24</v>
      </c>
      <c r="C17">
        <f t="shared" si="0"/>
        <v>1</v>
      </c>
      <c r="D17">
        <v>1200</v>
      </c>
      <c r="E17">
        <v>1</v>
      </c>
      <c r="F17">
        <v>0</v>
      </c>
      <c r="G17">
        <v>10</v>
      </c>
    </row>
    <row r="18" spans="1:7" x14ac:dyDescent="0.35">
      <c r="A18" s="6" t="s">
        <v>571</v>
      </c>
      <c r="B18">
        <v>24</v>
      </c>
      <c r="C18">
        <f t="shared" si="0"/>
        <v>1</v>
      </c>
      <c r="D18">
        <v>1200</v>
      </c>
      <c r="E18">
        <v>2</v>
      </c>
      <c r="F18">
        <v>0</v>
      </c>
      <c r="G18">
        <v>9</v>
      </c>
    </row>
    <row r="19" spans="1:7" x14ac:dyDescent="0.35">
      <c r="A19" s="6" t="s">
        <v>571</v>
      </c>
      <c r="B19">
        <v>24</v>
      </c>
      <c r="C19">
        <f t="shared" si="0"/>
        <v>1</v>
      </c>
      <c r="D19">
        <v>1200</v>
      </c>
      <c r="E19">
        <v>3</v>
      </c>
      <c r="F19">
        <v>0</v>
      </c>
      <c r="G19">
        <v>10</v>
      </c>
    </row>
    <row r="20" spans="1:7" x14ac:dyDescent="0.35">
      <c r="A20" s="6" t="s">
        <v>571</v>
      </c>
      <c r="B20">
        <v>36</v>
      </c>
      <c r="C20">
        <f t="shared" si="0"/>
        <v>1.5</v>
      </c>
      <c r="D20">
        <v>800</v>
      </c>
      <c r="E20">
        <v>1</v>
      </c>
      <c r="F20">
        <v>0</v>
      </c>
      <c r="G20">
        <v>10</v>
      </c>
    </row>
    <row r="21" spans="1:7" x14ac:dyDescent="0.35">
      <c r="A21" s="6" t="s">
        <v>571</v>
      </c>
      <c r="B21">
        <v>36</v>
      </c>
      <c r="C21">
        <f t="shared" si="0"/>
        <v>1.5</v>
      </c>
      <c r="D21">
        <v>800</v>
      </c>
      <c r="E21">
        <v>2</v>
      </c>
      <c r="F21">
        <v>0</v>
      </c>
      <c r="G21">
        <v>10</v>
      </c>
    </row>
    <row r="22" spans="1:7" x14ac:dyDescent="0.35">
      <c r="A22" s="6" t="s">
        <v>571</v>
      </c>
      <c r="B22">
        <v>36</v>
      </c>
      <c r="C22">
        <f t="shared" si="0"/>
        <v>1.5</v>
      </c>
      <c r="D22">
        <v>800</v>
      </c>
      <c r="E22">
        <v>3</v>
      </c>
      <c r="F22">
        <v>0</v>
      </c>
      <c r="G22">
        <v>10</v>
      </c>
    </row>
    <row r="23" spans="1:7" x14ac:dyDescent="0.35">
      <c r="A23" s="6" t="s">
        <v>571</v>
      </c>
      <c r="B23">
        <v>36</v>
      </c>
      <c r="C23">
        <f t="shared" si="0"/>
        <v>1.5</v>
      </c>
      <c r="D23">
        <v>1200</v>
      </c>
      <c r="E23">
        <v>1</v>
      </c>
      <c r="F23">
        <v>0</v>
      </c>
      <c r="G23">
        <v>10</v>
      </c>
    </row>
    <row r="24" spans="1:7" x14ac:dyDescent="0.35">
      <c r="A24" s="6" t="s">
        <v>571</v>
      </c>
      <c r="B24">
        <v>36</v>
      </c>
      <c r="C24">
        <f t="shared" si="0"/>
        <v>1.5</v>
      </c>
      <c r="D24">
        <v>1200</v>
      </c>
      <c r="E24">
        <v>2</v>
      </c>
      <c r="F24">
        <v>0</v>
      </c>
      <c r="G24">
        <v>9</v>
      </c>
    </row>
    <row r="25" spans="1:7" x14ac:dyDescent="0.35">
      <c r="A25" s="6" t="s">
        <v>571</v>
      </c>
      <c r="B25">
        <v>36</v>
      </c>
      <c r="C25">
        <f t="shared" si="0"/>
        <v>1.5</v>
      </c>
      <c r="D25">
        <v>1200</v>
      </c>
      <c r="E25">
        <v>3</v>
      </c>
      <c r="F25">
        <v>0</v>
      </c>
      <c r="G25">
        <v>10</v>
      </c>
    </row>
    <row r="26" spans="1:7" x14ac:dyDescent="0.35">
      <c r="A26" s="6" t="s">
        <v>571</v>
      </c>
      <c r="B26">
        <v>48</v>
      </c>
      <c r="C26">
        <f t="shared" si="0"/>
        <v>2</v>
      </c>
      <c r="D26">
        <v>800</v>
      </c>
      <c r="E26">
        <v>1</v>
      </c>
      <c r="F26">
        <v>0</v>
      </c>
      <c r="G26">
        <v>10</v>
      </c>
    </row>
    <row r="27" spans="1:7" x14ac:dyDescent="0.35">
      <c r="A27" s="6" t="s">
        <v>571</v>
      </c>
      <c r="B27">
        <v>48</v>
      </c>
      <c r="C27">
        <f t="shared" si="0"/>
        <v>2</v>
      </c>
      <c r="D27">
        <v>800</v>
      </c>
      <c r="E27">
        <v>2</v>
      </c>
      <c r="F27">
        <v>0</v>
      </c>
      <c r="G27">
        <v>10</v>
      </c>
    </row>
    <row r="28" spans="1:7" x14ac:dyDescent="0.35">
      <c r="A28" s="6" t="s">
        <v>571</v>
      </c>
      <c r="B28">
        <v>48</v>
      </c>
      <c r="C28">
        <f t="shared" si="0"/>
        <v>2</v>
      </c>
      <c r="D28">
        <v>800</v>
      </c>
      <c r="E28">
        <v>3</v>
      </c>
      <c r="F28">
        <v>0</v>
      </c>
      <c r="G28">
        <v>10</v>
      </c>
    </row>
    <row r="29" spans="1:7" x14ac:dyDescent="0.35">
      <c r="A29" s="6" t="s">
        <v>571</v>
      </c>
      <c r="B29">
        <v>48</v>
      </c>
      <c r="C29">
        <f t="shared" si="0"/>
        <v>2</v>
      </c>
      <c r="D29">
        <v>1200</v>
      </c>
      <c r="E29">
        <v>1</v>
      </c>
      <c r="F29">
        <v>0</v>
      </c>
      <c r="G29">
        <v>10</v>
      </c>
    </row>
    <row r="30" spans="1:7" x14ac:dyDescent="0.35">
      <c r="A30" s="6" t="s">
        <v>571</v>
      </c>
      <c r="B30">
        <v>48</v>
      </c>
      <c r="C30">
        <f t="shared" si="0"/>
        <v>2</v>
      </c>
      <c r="D30">
        <v>1200</v>
      </c>
      <c r="E30">
        <v>2</v>
      </c>
      <c r="F30">
        <v>0</v>
      </c>
      <c r="G30">
        <v>9</v>
      </c>
    </row>
    <row r="31" spans="1:7" x14ac:dyDescent="0.35">
      <c r="A31" s="6" t="s">
        <v>571</v>
      </c>
      <c r="B31">
        <v>48</v>
      </c>
      <c r="C31">
        <f t="shared" si="0"/>
        <v>2</v>
      </c>
      <c r="D31">
        <v>1200</v>
      </c>
      <c r="E31">
        <v>3</v>
      </c>
      <c r="F31">
        <v>0</v>
      </c>
      <c r="G31">
        <v>10</v>
      </c>
    </row>
    <row r="32" spans="1:7" x14ac:dyDescent="0.35">
      <c r="A32" s="6" t="s">
        <v>571</v>
      </c>
      <c r="B32">
        <v>60</v>
      </c>
      <c r="C32">
        <f t="shared" si="0"/>
        <v>2.5</v>
      </c>
      <c r="D32">
        <v>800</v>
      </c>
      <c r="E32">
        <v>1</v>
      </c>
      <c r="F32">
        <v>0</v>
      </c>
      <c r="G32">
        <v>10</v>
      </c>
    </row>
    <row r="33" spans="1:7" x14ac:dyDescent="0.35">
      <c r="A33" s="6" t="s">
        <v>571</v>
      </c>
      <c r="B33">
        <v>60</v>
      </c>
      <c r="C33">
        <f t="shared" si="0"/>
        <v>2.5</v>
      </c>
      <c r="D33">
        <v>800</v>
      </c>
      <c r="E33">
        <v>2</v>
      </c>
      <c r="F33">
        <v>0</v>
      </c>
      <c r="G33">
        <v>10</v>
      </c>
    </row>
    <row r="34" spans="1:7" x14ac:dyDescent="0.35">
      <c r="A34" s="6" t="s">
        <v>571</v>
      </c>
      <c r="B34">
        <v>60</v>
      </c>
      <c r="C34">
        <f t="shared" si="0"/>
        <v>2.5</v>
      </c>
      <c r="D34">
        <v>800</v>
      </c>
      <c r="E34">
        <v>3</v>
      </c>
      <c r="F34">
        <v>0</v>
      </c>
      <c r="G34">
        <v>10</v>
      </c>
    </row>
    <row r="35" spans="1:7" x14ac:dyDescent="0.35">
      <c r="A35" s="6" t="s">
        <v>571</v>
      </c>
      <c r="B35">
        <v>60</v>
      </c>
      <c r="C35">
        <f t="shared" si="0"/>
        <v>2.5</v>
      </c>
      <c r="D35">
        <v>1200</v>
      </c>
      <c r="E35">
        <v>1</v>
      </c>
      <c r="F35">
        <v>1</v>
      </c>
      <c r="G35">
        <v>10</v>
      </c>
    </row>
    <row r="36" spans="1:7" x14ac:dyDescent="0.35">
      <c r="A36" s="6" t="s">
        <v>571</v>
      </c>
      <c r="B36">
        <v>60</v>
      </c>
      <c r="C36">
        <f t="shared" si="0"/>
        <v>2.5</v>
      </c>
      <c r="D36">
        <v>1200</v>
      </c>
      <c r="E36">
        <v>2</v>
      </c>
      <c r="F36">
        <v>2</v>
      </c>
      <c r="G36">
        <v>9</v>
      </c>
    </row>
    <row r="37" spans="1:7" x14ac:dyDescent="0.35">
      <c r="A37" s="6" t="s">
        <v>571</v>
      </c>
      <c r="B37">
        <v>60</v>
      </c>
      <c r="C37">
        <f t="shared" si="0"/>
        <v>2.5</v>
      </c>
      <c r="D37">
        <v>1200</v>
      </c>
      <c r="E37">
        <v>3</v>
      </c>
      <c r="F37">
        <v>0</v>
      </c>
      <c r="G37">
        <v>10</v>
      </c>
    </row>
    <row r="38" spans="1:7" x14ac:dyDescent="0.35">
      <c r="A38" s="6" t="s">
        <v>571</v>
      </c>
      <c r="B38">
        <v>72</v>
      </c>
      <c r="C38">
        <f t="shared" si="0"/>
        <v>3</v>
      </c>
      <c r="D38">
        <v>800</v>
      </c>
      <c r="E38">
        <v>1</v>
      </c>
      <c r="F38">
        <v>0</v>
      </c>
      <c r="G38">
        <v>10</v>
      </c>
    </row>
    <row r="39" spans="1:7" x14ac:dyDescent="0.35">
      <c r="A39" s="6" t="s">
        <v>571</v>
      </c>
      <c r="B39">
        <v>72</v>
      </c>
      <c r="C39">
        <f t="shared" si="0"/>
        <v>3</v>
      </c>
      <c r="D39">
        <v>800</v>
      </c>
      <c r="E39">
        <v>2</v>
      </c>
      <c r="F39">
        <v>0</v>
      </c>
      <c r="G39">
        <v>10</v>
      </c>
    </row>
    <row r="40" spans="1:7" x14ac:dyDescent="0.35">
      <c r="A40" s="6" t="s">
        <v>571</v>
      </c>
      <c r="B40">
        <v>72</v>
      </c>
      <c r="C40">
        <f t="shared" si="0"/>
        <v>3</v>
      </c>
      <c r="D40">
        <v>800</v>
      </c>
      <c r="E40">
        <v>3</v>
      </c>
      <c r="F40">
        <v>0</v>
      </c>
      <c r="G40">
        <v>10</v>
      </c>
    </row>
    <row r="41" spans="1:7" x14ac:dyDescent="0.35">
      <c r="A41" s="6" t="s">
        <v>571</v>
      </c>
      <c r="B41">
        <v>72</v>
      </c>
      <c r="C41">
        <f t="shared" si="0"/>
        <v>3</v>
      </c>
      <c r="D41">
        <v>1200</v>
      </c>
      <c r="E41">
        <v>1</v>
      </c>
      <c r="F41">
        <v>1</v>
      </c>
      <c r="G41">
        <v>10</v>
      </c>
    </row>
    <row r="42" spans="1:7" x14ac:dyDescent="0.35">
      <c r="A42" s="6" t="s">
        <v>571</v>
      </c>
      <c r="B42">
        <v>72</v>
      </c>
      <c r="C42">
        <f t="shared" si="0"/>
        <v>3</v>
      </c>
      <c r="D42">
        <v>1200</v>
      </c>
      <c r="E42">
        <v>2</v>
      </c>
      <c r="F42">
        <v>3</v>
      </c>
      <c r="G42">
        <v>9</v>
      </c>
    </row>
    <row r="43" spans="1:7" x14ac:dyDescent="0.35">
      <c r="A43" s="6" t="s">
        <v>571</v>
      </c>
      <c r="B43">
        <v>72</v>
      </c>
      <c r="C43">
        <f t="shared" si="0"/>
        <v>3</v>
      </c>
      <c r="D43">
        <v>1200</v>
      </c>
      <c r="E43">
        <v>3</v>
      </c>
      <c r="F43">
        <v>2</v>
      </c>
      <c r="G43">
        <v>10</v>
      </c>
    </row>
    <row r="44" spans="1:7" x14ac:dyDescent="0.35">
      <c r="A44" s="6" t="s">
        <v>571</v>
      </c>
      <c r="B44">
        <v>84</v>
      </c>
      <c r="C44">
        <f t="shared" si="0"/>
        <v>3.5</v>
      </c>
      <c r="D44">
        <v>800</v>
      </c>
      <c r="E44">
        <v>1</v>
      </c>
      <c r="F44">
        <v>0</v>
      </c>
      <c r="G44">
        <v>10</v>
      </c>
    </row>
    <row r="45" spans="1:7" x14ac:dyDescent="0.35">
      <c r="A45" s="6" t="s">
        <v>571</v>
      </c>
      <c r="B45">
        <v>84</v>
      </c>
      <c r="C45">
        <f t="shared" si="0"/>
        <v>3.5</v>
      </c>
      <c r="D45">
        <v>800</v>
      </c>
      <c r="E45">
        <v>2</v>
      </c>
      <c r="F45">
        <v>0</v>
      </c>
      <c r="G45">
        <v>10</v>
      </c>
    </row>
    <row r="46" spans="1:7" x14ac:dyDescent="0.35">
      <c r="A46" s="6" t="s">
        <v>571</v>
      </c>
      <c r="B46">
        <v>84</v>
      </c>
      <c r="C46">
        <f t="shared" si="0"/>
        <v>3.5</v>
      </c>
      <c r="D46">
        <v>800</v>
      </c>
      <c r="E46">
        <v>3</v>
      </c>
      <c r="F46">
        <v>1</v>
      </c>
      <c r="G46">
        <v>10</v>
      </c>
    </row>
    <row r="47" spans="1:7" x14ac:dyDescent="0.35">
      <c r="A47" s="6" t="s">
        <v>571</v>
      </c>
      <c r="B47">
        <v>84</v>
      </c>
      <c r="C47">
        <f t="shared" si="0"/>
        <v>3.5</v>
      </c>
      <c r="D47">
        <v>1200</v>
      </c>
      <c r="E47">
        <v>1</v>
      </c>
      <c r="F47">
        <v>4</v>
      </c>
      <c r="G47">
        <v>10</v>
      </c>
    </row>
    <row r="48" spans="1:7" x14ac:dyDescent="0.35">
      <c r="A48" s="6" t="s">
        <v>571</v>
      </c>
      <c r="B48">
        <v>84</v>
      </c>
      <c r="C48">
        <f t="shared" si="0"/>
        <v>3.5</v>
      </c>
      <c r="D48">
        <v>1200</v>
      </c>
      <c r="E48">
        <v>2</v>
      </c>
      <c r="F48">
        <v>5</v>
      </c>
      <c r="G48">
        <v>9</v>
      </c>
    </row>
    <row r="49" spans="1:7" x14ac:dyDescent="0.35">
      <c r="A49" s="6" t="s">
        <v>571</v>
      </c>
      <c r="B49">
        <v>84</v>
      </c>
      <c r="C49">
        <f t="shared" si="0"/>
        <v>3.5</v>
      </c>
      <c r="D49">
        <v>1200</v>
      </c>
      <c r="E49">
        <v>3</v>
      </c>
      <c r="F49">
        <v>4</v>
      </c>
      <c r="G49">
        <v>10</v>
      </c>
    </row>
    <row r="50" spans="1:7" x14ac:dyDescent="0.35">
      <c r="A50" s="6" t="s">
        <v>571</v>
      </c>
      <c r="B50">
        <v>96</v>
      </c>
      <c r="C50">
        <f t="shared" si="0"/>
        <v>4</v>
      </c>
      <c r="D50">
        <v>800</v>
      </c>
      <c r="E50">
        <v>1</v>
      </c>
      <c r="F50">
        <v>2</v>
      </c>
      <c r="G50">
        <v>10</v>
      </c>
    </row>
    <row r="51" spans="1:7" x14ac:dyDescent="0.35">
      <c r="A51" s="6" t="s">
        <v>571</v>
      </c>
      <c r="B51">
        <v>96</v>
      </c>
      <c r="C51">
        <f t="shared" si="0"/>
        <v>4</v>
      </c>
      <c r="D51">
        <v>800</v>
      </c>
      <c r="E51">
        <v>2</v>
      </c>
      <c r="F51">
        <v>0</v>
      </c>
      <c r="G51">
        <v>10</v>
      </c>
    </row>
    <row r="52" spans="1:7" x14ac:dyDescent="0.35">
      <c r="A52" s="6" t="s">
        <v>571</v>
      </c>
      <c r="B52">
        <v>96</v>
      </c>
      <c r="C52">
        <f t="shared" si="0"/>
        <v>4</v>
      </c>
      <c r="D52">
        <v>800</v>
      </c>
      <c r="E52">
        <v>3</v>
      </c>
      <c r="F52">
        <v>2</v>
      </c>
      <c r="G52">
        <v>10</v>
      </c>
    </row>
    <row r="53" spans="1:7" x14ac:dyDescent="0.35">
      <c r="A53" s="6" t="s">
        <v>571</v>
      </c>
      <c r="B53">
        <v>96</v>
      </c>
      <c r="C53">
        <f t="shared" si="0"/>
        <v>4</v>
      </c>
      <c r="D53">
        <v>1200</v>
      </c>
      <c r="E53">
        <v>1</v>
      </c>
      <c r="F53">
        <v>5</v>
      </c>
      <c r="G53">
        <v>10</v>
      </c>
    </row>
    <row r="54" spans="1:7" x14ac:dyDescent="0.35">
      <c r="A54" s="6" t="s">
        <v>571</v>
      </c>
      <c r="B54">
        <v>96</v>
      </c>
      <c r="C54">
        <f t="shared" si="0"/>
        <v>4</v>
      </c>
      <c r="D54">
        <v>1200</v>
      </c>
      <c r="E54">
        <v>2</v>
      </c>
      <c r="F54">
        <v>6</v>
      </c>
      <c r="G54">
        <v>9</v>
      </c>
    </row>
    <row r="55" spans="1:7" x14ac:dyDescent="0.35">
      <c r="A55" s="6" t="s">
        <v>571</v>
      </c>
      <c r="B55">
        <v>96</v>
      </c>
      <c r="C55">
        <f t="shared" si="0"/>
        <v>4</v>
      </c>
      <c r="D55">
        <v>1200</v>
      </c>
      <c r="E55">
        <v>3</v>
      </c>
      <c r="F55">
        <v>6</v>
      </c>
      <c r="G55">
        <v>10</v>
      </c>
    </row>
    <row r="56" spans="1:7" x14ac:dyDescent="0.35">
      <c r="A56" s="6" t="s">
        <v>571</v>
      </c>
      <c r="B56">
        <v>108</v>
      </c>
      <c r="C56">
        <f t="shared" si="0"/>
        <v>4.5</v>
      </c>
      <c r="D56">
        <v>800</v>
      </c>
      <c r="E56">
        <v>1</v>
      </c>
      <c r="F56">
        <v>2</v>
      </c>
      <c r="G56">
        <v>10</v>
      </c>
    </row>
    <row r="57" spans="1:7" x14ac:dyDescent="0.35">
      <c r="A57" s="6" t="s">
        <v>571</v>
      </c>
      <c r="B57">
        <v>108</v>
      </c>
      <c r="C57">
        <f t="shared" si="0"/>
        <v>4.5</v>
      </c>
      <c r="D57">
        <v>800</v>
      </c>
      <c r="E57">
        <v>2</v>
      </c>
      <c r="F57">
        <v>0</v>
      </c>
      <c r="G57">
        <v>10</v>
      </c>
    </row>
    <row r="58" spans="1:7" x14ac:dyDescent="0.35">
      <c r="A58" s="6" t="s">
        <v>571</v>
      </c>
      <c r="B58">
        <v>108</v>
      </c>
      <c r="C58">
        <f t="shared" si="0"/>
        <v>4.5</v>
      </c>
      <c r="D58">
        <v>800</v>
      </c>
      <c r="E58">
        <v>3</v>
      </c>
      <c r="F58">
        <v>3</v>
      </c>
      <c r="G58">
        <v>10</v>
      </c>
    </row>
    <row r="59" spans="1:7" x14ac:dyDescent="0.35">
      <c r="A59" s="6" t="s">
        <v>571</v>
      </c>
      <c r="B59">
        <v>108</v>
      </c>
      <c r="C59">
        <f t="shared" si="0"/>
        <v>4.5</v>
      </c>
      <c r="D59">
        <v>1200</v>
      </c>
      <c r="E59">
        <v>1</v>
      </c>
      <c r="F59">
        <v>7</v>
      </c>
      <c r="G59">
        <v>10</v>
      </c>
    </row>
    <row r="60" spans="1:7" x14ac:dyDescent="0.35">
      <c r="A60" s="6" t="s">
        <v>571</v>
      </c>
      <c r="B60">
        <v>108</v>
      </c>
      <c r="C60">
        <f t="shared" si="0"/>
        <v>4.5</v>
      </c>
      <c r="D60">
        <v>1200</v>
      </c>
      <c r="E60">
        <v>2</v>
      </c>
      <c r="F60">
        <v>6</v>
      </c>
      <c r="G60">
        <v>9</v>
      </c>
    </row>
    <row r="61" spans="1:7" x14ac:dyDescent="0.35">
      <c r="A61" s="6" t="s">
        <v>571</v>
      </c>
      <c r="B61">
        <v>108</v>
      </c>
      <c r="C61">
        <f t="shared" si="0"/>
        <v>4.5</v>
      </c>
      <c r="D61">
        <v>1200</v>
      </c>
      <c r="E61">
        <v>3</v>
      </c>
      <c r="F61">
        <v>8</v>
      </c>
      <c r="G61">
        <v>10</v>
      </c>
    </row>
    <row r="62" spans="1:7" x14ac:dyDescent="0.35">
      <c r="A62" s="6" t="s">
        <v>571</v>
      </c>
      <c r="B62">
        <v>120</v>
      </c>
      <c r="C62">
        <f t="shared" si="0"/>
        <v>5</v>
      </c>
      <c r="D62">
        <v>800</v>
      </c>
      <c r="E62">
        <v>1</v>
      </c>
      <c r="F62">
        <v>2</v>
      </c>
      <c r="G62">
        <v>10</v>
      </c>
    </row>
    <row r="63" spans="1:7" x14ac:dyDescent="0.35">
      <c r="A63" s="6" t="s">
        <v>571</v>
      </c>
      <c r="B63">
        <v>120</v>
      </c>
      <c r="C63">
        <f t="shared" si="0"/>
        <v>5</v>
      </c>
      <c r="D63">
        <v>800</v>
      </c>
      <c r="E63">
        <v>2</v>
      </c>
      <c r="F63">
        <v>1</v>
      </c>
      <c r="G63">
        <v>10</v>
      </c>
    </row>
    <row r="64" spans="1:7" x14ac:dyDescent="0.35">
      <c r="A64" s="6" t="s">
        <v>571</v>
      </c>
      <c r="B64">
        <v>120</v>
      </c>
      <c r="C64">
        <f t="shared" si="0"/>
        <v>5</v>
      </c>
      <c r="D64">
        <v>800</v>
      </c>
      <c r="E64">
        <v>3</v>
      </c>
      <c r="F64">
        <v>3</v>
      </c>
      <c r="G64">
        <v>10</v>
      </c>
    </row>
    <row r="65" spans="1:7" x14ac:dyDescent="0.35">
      <c r="A65" s="6" t="s">
        <v>571</v>
      </c>
      <c r="B65">
        <v>120</v>
      </c>
      <c r="C65">
        <f t="shared" si="0"/>
        <v>5</v>
      </c>
      <c r="D65">
        <v>1200</v>
      </c>
      <c r="E65">
        <v>1</v>
      </c>
      <c r="F65">
        <v>9</v>
      </c>
      <c r="G65">
        <v>10</v>
      </c>
    </row>
    <row r="66" spans="1:7" x14ac:dyDescent="0.35">
      <c r="A66" s="6" t="s">
        <v>571</v>
      </c>
      <c r="B66">
        <v>120</v>
      </c>
      <c r="C66">
        <f t="shared" si="0"/>
        <v>5</v>
      </c>
      <c r="D66">
        <v>1200</v>
      </c>
      <c r="E66">
        <v>2</v>
      </c>
      <c r="F66">
        <v>9</v>
      </c>
      <c r="G66">
        <v>9</v>
      </c>
    </row>
    <row r="67" spans="1:7" x14ac:dyDescent="0.35">
      <c r="A67" s="6" t="s">
        <v>571</v>
      </c>
      <c r="B67">
        <v>120</v>
      </c>
      <c r="C67">
        <f t="shared" ref="C67:C103" si="1">B67/24</f>
        <v>5</v>
      </c>
      <c r="D67">
        <v>1200</v>
      </c>
      <c r="E67">
        <v>3</v>
      </c>
      <c r="F67">
        <v>10</v>
      </c>
      <c r="G67">
        <v>10</v>
      </c>
    </row>
    <row r="68" spans="1:7" x14ac:dyDescent="0.35">
      <c r="A68" s="6" t="s">
        <v>571</v>
      </c>
      <c r="B68">
        <v>132</v>
      </c>
      <c r="C68">
        <f t="shared" si="1"/>
        <v>5.5</v>
      </c>
      <c r="D68">
        <v>800</v>
      </c>
      <c r="E68">
        <v>1</v>
      </c>
      <c r="F68">
        <v>2</v>
      </c>
      <c r="G68">
        <v>10</v>
      </c>
    </row>
    <row r="69" spans="1:7" x14ac:dyDescent="0.35">
      <c r="A69" s="6" t="s">
        <v>571</v>
      </c>
      <c r="B69">
        <v>132</v>
      </c>
      <c r="C69">
        <f t="shared" si="1"/>
        <v>5.5</v>
      </c>
      <c r="D69">
        <v>800</v>
      </c>
      <c r="E69">
        <v>2</v>
      </c>
      <c r="F69">
        <v>1</v>
      </c>
      <c r="G69">
        <v>10</v>
      </c>
    </row>
    <row r="70" spans="1:7" x14ac:dyDescent="0.35">
      <c r="A70" s="6" t="s">
        <v>571</v>
      </c>
      <c r="B70">
        <v>132</v>
      </c>
      <c r="C70">
        <f t="shared" si="1"/>
        <v>5.5</v>
      </c>
      <c r="D70">
        <v>800</v>
      </c>
      <c r="E70">
        <v>3</v>
      </c>
      <c r="F70">
        <v>4</v>
      </c>
      <c r="G70">
        <v>10</v>
      </c>
    </row>
    <row r="71" spans="1:7" x14ac:dyDescent="0.35">
      <c r="A71" s="6" t="s">
        <v>571</v>
      </c>
      <c r="B71">
        <v>132</v>
      </c>
      <c r="C71">
        <f t="shared" si="1"/>
        <v>5.5</v>
      </c>
      <c r="D71">
        <v>1200</v>
      </c>
      <c r="E71">
        <v>1</v>
      </c>
      <c r="F71">
        <v>9</v>
      </c>
      <c r="G71">
        <v>10</v>
      </c>
    </row>
    <row r="72" spans="1:7" x14ac:dyDescent="0.35">
      <c r="A72" s="6" t="s">
        <v>571</v>
      </c>
      <c r="B72">
        <v>132</v>
      </c>
      <c r="C72">
        <f t="shared" si="1"/>
        <v>5.5</v>
      </c>
      <c r="D72">
        <v>1200</v>
      </c>
      <c r="E72">
        <v>2</v>
      </c>
      <c r="F72">
        <v>9</v>
      </c>
      <c r="G72">
        <v>9</v>
      </c>
    </row>
    <row r="73" spans="1:7" x14ac:dyDescent="0.35">
      <c r="A73" s="6" t="s">
        <v>571</v>
      </c>
      <c r="B73">
        <v>132</v>
      </c>
      <c r="C73">
        <f t="shared" si="1"/>
        <v>5.5</v>
      </c>
      <c r="D73">
        <v>1200</v>
      </c>
      <c r="E73">
        <v>3</v>
      </c>
      <c r="F73">
        <v>10</v>
      </c>
      <c r="G73">
        <v>10</v>
      </c>
    </row>
    <row r="74" spans="1:7" x14ac:dyDescent="0.35">
      <c r="A74" s="6" t="s">
        <v>571</v>
      </c>
      <c r="B74">
        <v>144</v>
      </c>
      <c r="C74">
        <f t="shared" si="1"/>
        <v>6</v>
      </c>
      <c r="D74">
        <v>800</v>
      </c>
      <c r="E74">
        <v>1</v>
      </c>
      <c r="F74">
        <v>2</v>
      </c>
      <c r="G74">
        <v>10</v>
      </c>
    </row>
    <row r="75" spans="1:7" x14ac:dyDescent="0.35">
      <c r="A75" s="6" t="s">
        <v>571</v>
      </c>
      <c r="B75">
        <v>144</v>
      </c>
      <c r="C75">
        <f t="shared" si="1"/>
        <v>6</v>
      </c>
      <c r="D75">
        <v>800</v>
      </c>
      <c r="E75">
        <v>2</v>
      </c>
      <c r="F75">
        <v>2</v>
      </c>
      <c r="G75">
        <v>10</v>
      </c>
    </row>
    <row r="76" spans="1:7" x14ac:dyDescent="0.35">
      <c r="A76" s="6" t="s">
        <v>571</v>
      </c>
      <c r="B76">
        <v>144</v>
      </c>
      <c r="C76">
        <f t="shared" si="1"/>
        <v>6</v>
      </c>
      <c r="D76">
        <v>800</v>
      </c>
      <c r="E76">
        <v>3</v>
      </c>
      <c r="F76">
        <v>5</v>
      </c>
      <c r="G76">
        <v>10</v>
      </c>
    </row>
    <row r="77" spans="1:7" x14ac:dyDescent="0.35">
      <c r="A77" s="6" t="s">
        <v>571</v>
      </c>
      <c r="B77">
        <v>144</v>
      </c>
      <c r="C77">
        <f t="shared" si="1"/>
        <v>6</v>
      </c>
      <c r="D77">
        <v>1200</v>
      </c>
      <c r="E77">
        <v>1</v>
      </c>
      <c r="F77">
        <v>10</v>
      </c>
      <c r="G77">
        <v>10</v>
      </c>
    </row>
    <row r="78" spans="1:7" x14ac:dyDescent="0.35">
      <c r="A78" s="6" t="s">
        <v>571</v>
      </c>
      <c r="B78">
        <v>144</v>
      </c>
      <c r="C78">
        <f t="shared" si="1"/>
        <v>6</v>
      </c>
      <c r="D78">
        <v>1200</v>
      </c>
      <c r="E78">
        <v>2</v>
      </c>
      <c r="F78">
        <v>9</v>
      </c>
      <c r="G78">
        <v>9</v>
      </c>
    </row>
    <row r="79" spans="1:7" x14ac:dyDescent="0.35">
      <c r="A79" s="6" t="s">
        <v>571</v>
      </c>
      <c r="B79">
        <v>144</v>
      </c>
      <c r="C79">
        <f t="shared" si="1"/>
        <v>6</v>
      </c>
      <c r="D79">
        <v>1200</v>
      </c>
      <c r="E79">
        <v>3</v>
      </c>
      <c r="F79">
        <v>10</v>
      </c>
      <c r="G79">
        <v>10</v>
      </c>
    </row>
    <row r="80" spans="1:7" x14ac:dyDescent="0.35">
      <c r="A80" s="6" t="s">
        <v>571</v>
      </c>
      <c r="B80">
        <v>156</v>
      </c>
      <c r="C80">
        <f t="shared" si="1"/>
        <v>6.5</v>
      </c>
      <c r="D80">
        <v>800</v>
      </c>
      <c r="E80">
        <v>1</v>
      </c>
      <c r="F80">
        <v>2</v>
      </c>
      <c r="G80">
        <v>10</v>
      </c>
    </row>
    <row r="81" spans="1:7" x14ac:dyDescent="0.35">
      <c r="A81" s="6" t="s">
        <v>571</v>
      </c>
      <c r="B81">
        <v>156</v>
      </c>
      <c r="C81">
        <f t="shared" si="1"/>
        <v>6.5</v>
      </c>
      <c r="D81">
        <v>800</v>
      </c>
      <c r="E81">
        <v>2</v>
      </c>
      <c r="F81">
        <v>2</v>
      </c>
      <c r="G81">
        <v>10</v>
      </c>
    </row>
    <row r="82" spans="1:7" x14ac:dyDescent="0.35">
      <c r="A82" s="6" t="s">
        <v>571</v>
      </c>
      <c r="B82">
        <v>156</v>
      </c>
      <c r="C82">
        <f t="shared" si="1"/>
        <v>6.5</v>
      </c>
      <c r="D82">
        <v>800</v>
      </c>
      <c r="E82">
        <v>3</v>
      </c>
      <c r="F82">
        <v>5</v>
      </c>
      <c r="G82">
        <v>10</v>
      </c>
    </row>
    <row r="83" spans="1:7" x14ac:dyDescent="0.35">
      <c r="A83" s="6" t="s">
        <v>571</v>
      </c>
      <c r="B83">
        <v>168</v>
      </c>
      <c r="C83">
        <f t="shared" si="1"/>
        <v>7</v>
      </c>
      <c r="D83">
        <v>800</v>
      </c>
      <c r="E83">
        <v>1</v>
      </c>
      <c r="F83">
        <v>3</v>
      </c>
      <c r="G83">
        <v>10</v>
      </c>
    </row>
    <row r="84" spans="1:7" x14ac:dyDescent="0.35">
      <c r="A84" s="6" t="s">
        <v>571</v>
      </c>
      <c r="B84">
        <v>168</v>
      </c>
      <c r="C84">
        <f t="shared" si="1"/>
        <v>7</v>
      </c>
      <c r="D84">
        <v>800</v>
      </c>
      <c r="E84">
        <v>2</v>
      </c>
      <c r="F84">
        <v>2</v>
      </c>
      <c r="G84">
        <v>10</v>
      </c>
    </row>
    <row r="85" spans="1:7" x14ac:dyDescent="0.35">
      <c r="A85" s="6" t="s">
        <v>571</v>
      </c>
      <c r="B85">
        <v>168</v>
      </c>
      <c r="C85">
        <f t="shared" si="1"/>
        <v>7</v>
      </c>
      <c r="D85">
        <v>800</v>
      </c>
      <c r="E85">
        <v>3</v>
      </c>
      <c r="F85">
        <v>5</v>
      </c>
      <c r="G85">
        <v>10</v>
      </c>
    </row>
    <row r="86" spans="1:7" x14ac:dyDescent="0.35">
      <c r="A86" s="6" t="s">
        <v>571</v>
      </c>
      <c r="B86">
        <v>180</v>
      </c>
      <c r="C86">
        <f t="shared" si="1"/>
        <v>7.5</v>
      </c>
      <c r="D86">
        <v>800</v>
      </c>
      <c r="E86">
        <v>1</v>
      </c>
      <c r="F86">
        <v>4</v>
      </c>
      <c r="G86">
        <v>10</v>
      </c>
    </row>
    <row r="87" spans="1:7" x14ac:dyDescent="0.35">
      <c r="A87" s="6" t="s">
        <v>571</v>
      </c>
      <c r="B87">
        <v>180</v>
      </c>
      <c r="C87">
        <f t="shared" si="1"/>
        <v>7.5</v>
      </c>
      <c r="D87">
        <v>800</v>
      </c>
      <c r="E87">
        <v>2</v>
      </c>
      <c r="F87">
        <v>4</v>
      </c>
      <c r="G87">
        <v>10</v>
      </c>
    </row>
    <row r="88" spans="1:7" x14ac:dyDescent="0.35">
      <c r="A88" s="6" t="s">
        <v>571</v>
      </c>
      <c r="B88">
        <v>180</v>
      </c>
      <c r="C88">
        <f t="shared" si="1"/>
        <v>7.5</v>
      </c>
      <c r="D88">
        <v>800</v>
      </c>
      <c r="E88">
        <v>3</v>
      </c>
      <c r="F88">
        <v>7</v>
      </c>
      <c r="G88">
        <v>10</v>
      </c>
    </row>
    <row r="89" spans="1:7" x14ac:dyDescent="0.35">
      <c r="A89" s="6" t="s">
        <v>571</v>
      </c>
      <c r="B89">
        <v>192</v>
      </c>
      <c r="C89">
        <f t="shared" si="1"/>
        <v>8</v>
      </c>
      <c r="D89">
        <v>800</v>
      </c>
      <c r="E89">
        <v>1</v>
      </c>
      <c r="F89">
        <v>4</v>
      </c>
      <c r="G89">
        <v>10</v>
      </c>
    </row>
    <row r="90" spans="1:7" x14ac:dyDescent="0.35">
      <c r="A90" s="6" t="s">
        <v>571</v>
      </c>
      <c r="B90">
        <v>192</v>
      </c>
      <c r="C90">
        <f t="shared" si="1"/>
        <v>8</v>
      </c>
      <c r="D90">
        <v>800</v>
      </c>
      <c r="E90">
        <v>2</v>
      </c>
      <c r="F90">
        <v>5</v>
      </c>
      <c r="G90">
        <v>10</v>
      </c>
    </row>
    <row r="91" spans="1:7" x14ac:dyDescent="0.35">
      <c r="A91" s="6" t="s">
        <v>571</v>
      </c>
      <c r="B91">
        <v>192</v>
      </c>
      <c r="C91">
        <f t="shared" si="1"/>
        <v>8</v>
      </c>
      <c r="D91">
        <v>800</v>
      </c>
      <c r="E91">
        <v>3</v>
      </c>
      <c r="F91">
        <v>8</v>
      </c>
      <c r="G91">
        <v>10</v>
      </c>
    </row>
    <row r="92" spans="1:7" x14ac:dyDescent="0.35">
      <c r="A92" s="6" t="s">
        <v>571</v>
      </c>
      <c r="B92">
        <v>204</v>
      </c>
      <c r="C92">
        <f t="shared" si="1"/>
        <v>8.5</v>
      </c>
      <c r="D92">
        <v>800</v>
      </c>
      <c r="E92">
        <v>1</v>
      </c>
      <c r="F92">
        <v>4</v>
      </c>
      <c r="G92">
        <v>10</v>
      </c>
    </row>
    <row r="93" spans="1:7" x14ac:dyDescent="0.35">
      <c r="A93" s="6" t="s">
        <v>571</v>
      </c>
      <c r="B93">
        <v>204</v>
      </c>
      <c r="C93">
        <f t="shared" si="1"/>
        <v>8.5</v>
      </c>
      <c r="D93">
        <v>800</v>
      </c>
      <c r="E93">
        <v>2</v>
      </c>
      <c r="F93">
        <v>5</v>
      </c>
      <c r="G93">
        <v>10</v>
      </c>
    </row>
    <row r="94" spans="1:7" x14ac:dyDescent="0.35">
      <c r="A94" s="6" t="s">
        <v>571</v>
      </c>
      <c r="B94">
        <v>204</v>
      </c>
      <c r="C94">
        <f t="shared" si="1"/>
        <v>8.5</v>
      </c>
      <c r="D94">
        <v>800</v>
      </c>
      <c r="E94">
        <v>3</v>
      </c>
      <c r="F94">
        <v>8</v>
      </c>
      <c r="G94">
        <v>10</v>
      </c>
    </row>
    <row r="95" spans="1:7" x14ac:dyDescent="0.35">
      <c r="A95" s="6" t="s">
        <v>571</v>
      </c>
      <c r="B95">
        <v>216</v>
      </c>
      <c r="C95">
        <f t="shared" si="1"/>
        <v>9</v>
      </c>
      <c r="D95">
        <v>800</v>
      </c>
      <c r="E95">
        <v>1</v>
      </c>
      <c r="F95">
        <v>6</v>
      </c>
      <c r="G95">
        <v>10</v>
      </c>
    </row>
    <row r="96" spans="1:7" x14ac:dyDescent="0.35">
      <c r="A96" s="6" t="s">
        <v>571</v>
      </c>
      <c r="B96">
        <v>216</v>
      </c>
      <c r="C96">
        <f t="shared" si="1"/>
        <v>9</v>
      </c>
      <c r="D96">
        <v>800</v>
      </c>
      <c r="E96">
        <v>2</v>
      </c>
      <c r="F96">
        <v>6</v>
      </c>
      <c r="G96">
        <v>10</v>
      </c>
    </row>
    <row r="97" spans="1:7" x14ac:dyDescent="0.35">
      <c r="A97" s="6" t="s">
        <v>571</v>
      </c>
      <c r="B97">
        <v>216</v>
      </c>
      <c r="C97">
        <f t="shared" si="1"/>
        <v>9</v>
      </c>
      <c r="D97">
        <v>800</v>
      </c>
      <c r="E97">
        <v>3</v>
      </c>
      <c r="F97">
        <v>8</v>
      </c>
      <c r="G97">
        <v>10</v>
      </c>
    </row>
    <row r="98" spans="1:7" x14ac:dyDescent="0.35">
      <c r="A98" s="6" t="s">
        <v>571</v>
      </c>
      <c r="B98">
        <v>228</v>
      </c>
      <c r="C98">
        <f t="shared" si="1"/>
        <v>9.5</v>
      </c>
      <c r="D98">
        <v>800</v>
      </c>
      <c r="E98">
        <v>1</v>
      </c>
      <c r="F98">
        <v>6</v>
      </c>
      <c r="G98">
        <v>10</v>
      </c>
    </row>
    <row r="99" spans="1:7" x14ac:dyDescent="0.35">
      <c r="A99" s="6" t="s">
        <v>571</v>
      </c>
      <c r="B99">
        <v>228</v>
      </c>
      <c r="C99">
        <f t="shared" si="1"/>
        <v>9.5</v>
      </c>
      <c r="D99">
        <v>800</v>
      </c>
      <c r="E99">
        <v>2</v>
      </c>
      <c r="F99">
        <v>7</v>
      </c>
      <c r="G99">
        <v>10</v>
      </c>
    </row>
    <row r="100" spans="1:7" x14ac:dyDescent="0.35">
      <c r="A100" s="6" t="s">
        <v>571</v>
      </c>
      <c r="B100">
        <v>228</v>
      </c>
      <c r="C100">
        <f t="shared" si="1"/>
        <v>9.5</v>
      </c>
      <c r="D100">
        <v>800</v>
      </c>
      <c r="E100">
        <v>3</v>
      </c>
      <c r="F100">
        <v>8</v>
      </c>
      <c r="G100">
        <v>10</v>
      </c>
    </row>
    <row r="101" spans="1:7" x14ac:dyDescent="0.35">
      <c r="A101" s="6" t="s">
        <v>571</v>
      </c>
      <c r="B101">
        <v>240</v>
      </c>
      <c r="C101">
        <f t="shared" si="1"/>
        <v>10</v>
      </c>
      <c r="D101">
        <v>800</v>
      </c>
      <c r="E101">
        <v>1</v>
      </c>
      <c r="F101">
        <v>7</v>
      </c>
      <c r="G101">
        <v>10</v>
      </c>
    </row>
    <row r="102" spans="1:7" x14ac:dyDescent="0.35">
      <c r="A102" s="6" t="s">
        <v>571</v>
      </c>
      <c r="B102">
        <v>240</v>
      </c>
      <c r="C102">
        <f t="shared" si="1"/>
        <v>10</v>
      </c>
      <c r="D102">
        <v>800</v>
      </c>
      <c r="E102">
        <v>2</v>
      </c>
      <c r="F102">
        <v>7</v>
      </c>
      <c r="G102">
        <v>10</v>
      </c>
    </row>
    <row r="103" spans="1:7" x14ac:dyDescent="0.35">
      <c r="A103" s="6" t="s">
        <v>571</v>
      </c>
      <c r="B103">
        <v>240</v>
      </c>
      <c r="C103">
        <f t="shared" si="1"/>
        <v>10</v>
      </c>
      <c r="D103">
        <v>800</v>
      </c>
      <c r="E103">
        <v>3</v>
      </c>
      <c r="F103">
        <v>9</v>
      </c>
      <c r="G103">
        <v>10</v>
      </c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E1B61-D66E-420B-B949-AA7794EADAE3}">
  <sheetPr>
    <tabColor rgb="FF00B050"/>
  </sheetPr>
  <dimension ref="A1:P272"/>
  <sheetViews>
    <sheetView topLeftCell="A27" workbookViewId="0">
      <selection activeCell="G33" sqref="G33"/>
    </sheetView>
  </sheetViews>
  <sheetFormatPr defaultColWidth="8.85546875" defaultRowHeight="14.15" x14ac:dyDescent="0.35"/>
  <cols>
    <col min="1" max="1" width="10.35546875" customWidth="1"/>
    <col min="6" max="6" width="10.85546875" customWidth="1"/>
    <col min="7" max="7" width="14" customWidth="1"/>
    <col min="8" max="8" width="15.140625" customWidth="1"/>
    <col min="9" max="9" width="13.140625" customWidth="1"/>
    <col min="10" max="12" width="11.640625" customWidth="1"/>
    <col min="13" max="13" width="15.85546875" customWidth="1"/>
    <col min="14" max="14" width="16.85546875" customWidth="1"/>
    <col min="15" max="15" width="10.35546875" customWidth="1"/>
  </cols>
  <sheetData>
    <row r="1" spans="1:16" x14ac:dyDescent="0.35">
      <c r="A1" s="6" t="s">
        <v>563</v>
      </c>
      <c r="B1" s="6" t="s">
        <v>580</v>
      </c>
      <c r="C1" s="6" t="s">
        <v>574</v>
      </c>
      <c r="D1" s="6" t="s">
        <v>575</v>
      </c>
      <c r="E1" t="s">
        <v>542</v>
      </c>
      <c r="F1" t="s">
        <v>543</v>
      </c>
      <c r="G1" t="s">
        <v>544</v>
      </c>
      <c r="H1" t="s">
        <v>545</v>
      </c>
      <c r="I1" s="6" t="s">
        <v>581</v>
      </c>
      <c r="J1" t="s">
        <v>546</v>
      </c>
      <c r="K1" t="s">
        <v>547</v>
      </c>
      <c r="L1" s="6" t="s">
        <v>593</v>
      </c>
      <c r="M1" s="6" t="s">
        <v>589</v>
      </c>
      <c r="N1" s="6" t="s">
        <v>590</v>
      </c>
      <c r="O1" s="6" t="s">
        <v>616</v>
      </c>
      <c r="P1" s="6" t="s">
        <v>617</v>
      </c>
    </row>
    <row r="2" spans="1:16" x14ac:dyDescent="0.35">
      <c r="A2" s="6" t="s">
        <v>579</v>
      </c>
      <c r="B2" s="6">
        <v>1</v>
      </c>
      <c r="C2" s="6">
        <v>0</v>
      </c>
      <c r="D2" s="6">
        <v>1</v>
      </c>
      <c r="E2">
        <v>48</v>
      </c>
      <c r="F2">
        <v>2</v>
      </c>
      <c r="G2" s="3">
        <v>45316.501388888886</v>
      </c>
      <c r="H2" s="3">
        <v>45318.509722222225</v>
      </c>
      <c r="I2">
        <f>J2*60*60</f>
        <v>173520.000000461</v>
      </c>
      <c r="J2">
        <f t="shared" ref="J2:J55" si="0">(H2-G2)*24</f>
        <v>48.200000000128057</v>
      </c>
      <c r="K2">
        <f t="shared" ref="K2:K55" si="1">J2/24</f>
        <v>2.008333333338669</v>
      </c>
      <c r="L2">
        <v>10</v>
      </c>
      <c r="M2">
        <v>0.86672811990755305</v>
      </c>
      <c r="N2">
        <v>0.94058939906945704</v>
      </c>
      <c r="O2">
        <f>N2*L2*1.15/0.8</f>
        <v>13.520972611623444</v>
      </c>
      <c r="P2">
        <f>O2*0.094/I2/3.14/(5.42*10^-6)</f>
        <v>0.43038518471134229</v>
      </c>
    </row>
    <row r="3" spans="1:16" ht="14.5" customHeight="1" x14ac:dyDescent="0.35">
      <c r="A3" s="6" t="s">
        <v>579</v>
      </c>
      <c r="B3" s="6">
        <v>1</v>
      </c>
      <c r="C3" s="6">
        <v>0</v>
      </c>
      <c r="D3" s="6">
        <v>2</v>
      </c>
      <c r="E3">
        <v>48</v>
      </c>
      <c r="F3">
        <v>2</v>
      </c>
      <c r="G3" s="3">
        <v>45316.502083333333</v>
      </c>
      <c r="H3" s="3">
        <v>45318.511111111111</v>
      </c>
      <c r="I3">
        <f t="shared" ref="I3:I55" si="2">J3*60*60</f>
        <v>173580.00000002794</v>
      </c>
      <c r="J3">
        <f t="shared" si="0"/>
        <v>48.216666666674428</v>
      </c>
      <c r="K3">
        <f t="shared" si="1"/>
        <v>2.0090277777781012</v>
      </c>
      <c r="L3">
        <v>10</v>
      </c>
      <c r="M3">
        <v>1.0483370127399601</v>
      </c>
      <c r="N3">
        <v>1.11981424963655</v>
      </c>
      <c r="O3">
        <f t="shared" ref="O3:O55" si="3">N3*L3*1.15/0.8</f>
        <v>16.0973298385254</v>
      </c>
      <c r="P3">
        <f t="shared" ref="P3:P55" si="4">O3*0.094/I3/3.14/(5.42*10^-6)</f>
        <v>0.51221592638745994</v>
      </c>
    </row>
    <row r="4" spans="1:16" x14ac:dyDescent="0.35">
      <c r="A4" s="6" t="s">
        <v>579</v>
      </c>
      <c r="B4" s="6">
        <v>1</v>
      </c>
      <c r="C4" s="6">
        <v>0</v>
      </c>
      <c r="D4" s="6">
        <v>3</v>
      </c>
      <c r="E4">
        <v>48</v>
      </c>
      <c r="F4">
        <v>2</v>
      </c>
      <c r="G4" s="3">
        <v>45316.502083333333</v>
      </c>
      <c r="H4" s="3">
        <v>45318.512499999997</v>
      </c>
      <c r="I4">
        <f t="shared" si="2"/>
        <v>173699.99999979045</v>
      </c>
      <c r="J4">
        <f t="shared" si="0"/>
        <v>48.249999999941792</v>
      </c>
      <c r="K4">
        <f t="shared" si="1"/>
        <v>2.0104166666642413</v>
      </c>
      <c r="L4">
        <v>10</v>
      </c>
      <c r="M4">
        <v>1.2730300708779001</v>
      </c>
      <c r="N4">
        <v>1.2586431115924399</v>
      </c>
      <c r="O4">
        <f t="shared" si="3"/>
        <v>18.092994729141321</v>
      </c>
      <c r="P4">
        <f t="shared" si="4"/>
        <v>0.57532011317435694</v>
      </c>
    </row>
    <row r="5" spans="1:16" ht="14.05" customHeight="1" x14ac:dyDescent="0.35">
      <c r="A5" s="6" t="s">
        <v>579</v>
      </c>
      <c r="B5" s="6">
        <v>1</v>
      </c>
      <c r="C5" s="6">
        <v>400</v>
      </c>
      <c r="D5" s="6">
        <v>1</v>
      </c>
      <c r="E5">
        <v>48</v>
      </c>
      <c r="F5">
        <v>2</v>
      </c>
      <c r="G5" s="3">
        <v>45316.503472222219</v>
      </c>
      <c r="H5" s="3">
        <v>45318.513888888891</v>
      </c>
      <c r="I5">
        <f t="shared" si="2"/>
        <v>173700.0000004191</v>
      </c>
      <c r="J5">
        <f t="shared" si="0"/>
        <v>48.250000000116415</v>
      </c>
      <c r="K5">
        <f t="shared" si="1"/>
        <v>2.0104166666715173</v>
      </c>
      <c r="L5">
        <v>1000</v>
      </c>
      <c r="M5">
        <v>0.59652923871238905</v>
      </c>
      <c r="N5">
        <v>0.58686118444001401</v>
      </c>
      <c r="O5">
        <f t="shared" si="3"/>
        <v>843.61295263251998</v>
      </c>
      <c r="P5">
        <f t="shared" si="4"/>
        <v>26.825161154798632</v>
      </c>
    </row>
    <row r="6" spans="1:16" x14ac:dyDescent="0.35">
      <c r="A6" s="6" t="s">
        <v>579</v>
      </c>
      <c r="B6" s="6">
        <v>1</v>
      </c>
      <c r="C6" s="6">
        <v>400</v>
      </c>
      <c r="D6" s="6">
        <v>2</v>
      </c>
      <c r="E6">
        <v>48</v>
      </c>
      <c r="F6">
        <v>2</v>
      </c>
      <c r="G6" s="3">
        <v>45316.503472222219</v>
      </c>
      <c r="H6" s="3">
        <v>45318.515277777777</v>
      </c>
      <c r="I6">
        <f t="shared" si="2"/>
        <v>173820.00000018161</v>
      </c>
      <c r="J6">
        <f t="shared" si="0"/>
        <v>48.28333333338378</v>
      </c>
      <c r="K6">
        <f t="shared" si="1"/>
        <v>2.0118055555576575</v>
      </c>
      <c r="L6">
        <v>1000</v>
      </c>
      <c r="M6">
        <v>0.66020086398565503</v>
      </c>
      <c r="N6">
        <v>0.65695432741293402</v>
      </c>
      <c r="O6">
        <f t="shared" si="3"/>
        <v>944.37184565609255</v>
      </c>
      <c r="P6">
        <f t="shared" si="4"/>
        <v>30.008356076759132</v>
      </c>
    </row>
    <row r="7" spans="1:16" x14ac:dyDescent="0.35">
      <c r="A7" s="6" t="s">
        <v>579</v>
      </c>
      <c r="B7" s="6">
        <v>1</v>
      </c>
      <c r="C7" s="6">
        <v>400</v>
      </c>
      <c r="D7" s="6">
        <v>3</v>
      </c>
      <c r="E7">
        <v>48</v>
      </c>
      <c r="F7">
        <v>2</v>
      </c>
      <c r="G7" s="3">
        <v>45316.504166666666</v>
      </c>
      <c r="H7" s="3">
        <v>45318.51666666667</v>
      </c>
      <c r="I7">
        <f t="shared" si="2"/>
        <v>173880.00000037719</v>
      </c>
      <c r="J7">
        <f t="shared" si="0"/>
        <v>48.300000000104774</v>
      </c>
      <c r="K7">
        <f t="shared" si="1"/>
        <v>2.0125000000043656</v>
      </c>
      <c r="L7">
        <v>1000</v>
      </c>
      <c r="M7">
        <v>1.2410040173512</v>
      </c>
      <c r="N7">
        <v>1.2135918047094401</v>
      </c>
      <c r="O7">
        <f t="shared" si="3"/>
        <v>1744.53821926982</v>
      </c>
      <c r="P7">
        <f t="shared" si="4"/>
        <v>55.415311121330852</v>
      </c>
    </row>
    <row r="8" spans="1:16" x14ac:dyDescent="0.35">
      <c r="A8" s="6" t="s">
        <v>579</v>
      </c>
      <c r="B8" s="6">
        <v>1</v>
      </c>
      <c r="C8" s="6">
        <v>800</v>
      </c>
      <c r="D8" s="6">
        <v>1</v>
      </c>
      <c r="E8">
        <v>48</v>
      </c>
      <c r="F8">
        <v>2</v>
      </c>
      <c r="G8" s="3">
        <v>45316.504861111112</v>
      </c>
      <c r="H8" s="3">
        <v>45318.518055555556</v>
      </c>
      <c r="I8">
        <f t="shared" si="2"/>
        <v>173939.99999994412</v>
      </c>
      <c r="J8">
        <f t="shared" si="0"/>
        <v>48.316666666651145</v>
      </c>
      <c r="K8">
        <f t="shared" si="1"/>
        <v>2.0131944444437977</v>
      </c>
      <c r="L8">
        <v>1000</v>
      </c>
      <c r="M8">
        <v>3.04649506170361</v>
      </c>
      <c r="N8">
        <v>3.0063992088467102</v>
      </c>
      <c r="O8">
        <f t="shared" si="3"/>
        <v>4321.6988627171459</v>
      </c>
      <c r="P8">
        <f>O8*0.094/I8/3.14/(5.42*10^-6)</f>
        <v>137.23154571906795</v>
      </c>
    </row>
    <row r="9" spans="1:16" x14ac:dyDescent="0.35">
      <c r="A9" s="6" t="s">
        <v>579</v>
      </c>
      <c r="B9" s="6">
        <v>1</v>
      </c>
      <c r="C9" s="6">
        <v>800</v>
      </c>
      <c r="D9" s="6">
        <v>2</v>
      </c>
      <c r="E9">
        <v>48</v>
      </c>
      <c r="F9">
        <v>2</v>
      </c>
      <c r="G9" s="3">
        <v>45316.504861111112</v>
      </c>
      <c r="H9" s="3">
        <v>45318.519444444442</v>
      </c>
      <c r="I9">
        <f t="shared" si="2"/>
        <v>174059.99999970663</v>
      </c>
      <c r="J9">
        <f t="shared" si="0"/>
        <v>48.349999999918509</v>
      </c>
      <c r="K9">
        <f t="shared" si="1"/>
        <v>2.0145833333299379</v>
      </c>
      <c r="L9">
        <v>1000</v>
      </c>
      <c r="M9">
        <v>2.9524123207328699</v>
      </c>
      <c r="N9">
        <v>2.8977362261463799</v>
      </c>
      <c r="O9">
        <f t="shared" si="3"/>
        <v>4165.4958250854206</v>
      </c>
      <c r="P9">
        <f t="shared" si="4"/>
        <v>132.18027264144118</v>
      </c>
    </row>
    <row r="10" spans="1:16" x14ac:dyDescent="0.35">
      <c r="A10" s="6" t="s">
        <v>579</v>
      </c>
      <c r="B10" s="6">
        <v>1</v>
      </c>
      <c r="C10" s="6">
        <v>800</v>
      </c>
      <c r="D10" s="6">
        <v>3</v>
      </c>
      <c r="E10">
        <v>48</v>
      </c>
      <c r="F10">
        <v>2</v>
      </c>
      <c r="G10" s="3">
        <v>45316.505555555559</v>
      </c>
      <c r="H10" s="3">
        <v>45318.520833333336</v>
      </c>
      <c r="I10">
        <f t="shared" si="2"/>
        <v>174119.99999990221</v>
      </c>
      <c r="J10">
        <f t="shared" si="0"/>
        <v>48.366666666639503</v>
      </c>
      <c r="K10">
        <f t="shared" si="1"/>
        <v>2.015277777776646</v>
      </c>
      <c r="L10">
        <v>1000</v>
      </c>
      <c r="M10">
        <v>4.0017275239561396</v>
      </c>
      <c r="N10">
        <v>4.0092908528724598</v>
      </c>
      <c r="O10">
        <f t="shared" si="3"/>
        <v>5763.3556010041602</v>
      </c>
      <c r="P10">
        <f t="shared" si="4"/>
        <v>182.82083030999311</v>
      </c>
    </row>
    <row r="11" spans="1:16" x14ac:dyDescent="0.35">
      <c r="A11" s="6" t="s">
        <v>579</v>
      </c>
      <c r="B11" s="6">
        <v>1</v>
      </c>
      <c r="C11" s="6">
        <v>1200</v>
      </c>
      <c r="D11" s="6">
        <v>1</v>
      </c>
      <c r="E11">
        <v>48</v>
      </c>
      <c r="F11">
        <v>2</v>
      </c>
      <c r="G11" s="3">
        <v>45316.506249999999</v>
      </c>
      <c r="H11" s="3">
        <v>45318.521527777775</v>
      </c>
      <c r="I11">
        <f t="shared" si="2"/>
        <v>174119.99999990221</v>
      </c>
      <c r="J11">
        <f t="shared" si="0"/>
        <v>48.366666666639503</v>
      </c>
      <c r="K11">
        <f t="shared" si="1"/>
        <v>2.015277777776646</v>
      </c>
      <c r="L11">
        <v>1000</v>
      </c>
      <c r="M11">
        <v>173.406012295002</v>
      </c>
      <c r="N11">
        <v>171.97991574978201</v>
      </c>
      <c r="O11">
        <f t="shared" si="3"/>
        <v>247221.12889031158</v>
      </c>
      <c r="P11">
        <f t="shared" si="4"/>
        <v>7842.1626536502099</v>
      </c>
    </row>
    <row r="12" spans="1:16" x14ac:dyDescent="0.35">
      <c r="A12" s="6" t="s">
        <v>579</v>
      </c>
      <c r="B12" s="6">
        <v>1</v>
      </c>
      <c r="C12" s="6">
        <v>1200</v>
      </c>
      <c r="D12" s="6">
        <v>2</v>
      </c>
      <c r="E12">
        <v>48</v>
      </c>
      <c r="F12">
        <v>2</v>
      </c>
      <c r="G12" s="3">
        <v>45316.506249999999</v>
      </c>
      <c r="H12" s="3">
        <v>45318.522916666669</v>
      </c>
      <c r="I12">
        <f t="shared" si="2"/>
        <v>174240.00000029337</v>
      </c>
      <c r="J12">
        <f t="shared" si="0"/>
        <v>48.400000000081491</v>
      </c>
      <c r="K12">
        <f t="shared" si="1"/>
        <v>2.0166666666700621</v>
      </c>
      <c r="L12">
        <v>1000</v>
      </c>
      <c r="M12">
        <v>172.82598801936399</v>
      </c>
      <c r="N12">
        <v>170.620623902315</v>
      </c>
      <c r="O12">
        <f t="shared" si="3"/>
        <v>245267.1468595778</v>
      </c>
      <c r="P12">
        <f t="shared" si="4"/>
        <v>7774.8216551099185</v>
      </c>
    </row>
    <row r="13" spans="1:16" x14ac:dyDescent="0.35">
      <c r="A13" s="6" t="s">
        <v>579</v>
      </c>
      <c r="B13" s="6">
        <v>1</v>
      </c>
      <c r="C13" s="6">
        <v>1200</v>
      </c>
      <c r="D13" s="6">
        <v>3</v>
      </c>
      <c r="E13">
        <v>48</v>
      </c>
      <c r="F13">
        <v>2</v>
      </c>
      <c r="G13" s="3">
        <v>45316.506944444445</v>
      </c>
      <c r="H13" s="3">
        <v>45318.524305555555</v>
      </c>
      <c r="I13">
        <f t="shared" si="2"/>
        <v>174299.9999998603</v>
      </c>
      <c r="J13">
        <f t="shared" si="0"/>
        <v>48.416666666627862</v>
      </c>
      <c r="K13">
        <f t="shared" si="1"/>
        <v>2.0173611111094942</v>
      </c>
      <c r="L13">
        <v>1000</v>
      </c>
      <c r="M13">
        <v>171.22734649403901</v>
      </c>
      <c r="N13">
        <v>170.95827590976299</v>
      </c>
      <c r="O13">
        <f t="shared" si="3"/>
        <v>245752.52162028424</v>
      </c>
      <c r="P13">
        <f t="shared" si="4"/>
        <v>7787.5260893438053</v>
      </c>
    </row>
    <row r="14" spans="1:16" x14ac:dyDescent="0.35">
      <c r="A14" s="6" t="s">
        <v>579</v>
      </c>
      <c r="B14" s="6">
        <v>2</v>
      </c>
      <c r="C14" s="6">
        <v>0</v>
      </c>
      <c r="D14" s="6">
        <v>1</v>
      </c>
      <c r="E14">
        <v>48</v>
      </c>
      <c r="F14">
        <v>2</v>
      </c>
      <c r="G14" s="3">
        <v>45318.548611111109</v>
      </c>
      <c r="H14" s="3">
        <v>45320.573611111111</v>
      </c>
      <c r="I14">
        <f t="shared" si="2"/>
        <v>174960.00000012573</v>
      </c>
      <c r="J14">
        <f t="shared" si="0"/>
        <v>48.600000000034925</v>
      </c>
      <c r="K14">
        <f t="shared" si="1"/>
        <v>2.0250000000014552</v>
      </c>
      <c r="L14">
        <v>10</v>
      </c>
      <c r="M14">
        <v>1.3411033509813599</v>
      </c>
      <c r="N14">
        <v>1.40124718586196</v>
      </c>
      <c r="O14">
        <f t="shared" si="3"/>
        <v>20.142928296765671</v>
      </c>
      <c r="P14">
        <f t="shared" si="4"/>
        <v>0.63589111337103565</v>
      </c>
    </row>
    <row r="15" spans="1:16" x14ac:dyDescent="0.35">
      <c r="A15" s="6" t="s">
        <v>579</v>
      </c>
      <c r="B15" s="6">
        <v>2</v>
      </c>
      <c r="C15" s="6">
        <v>0</v>
      </c>
      <c r="D15" s="6">
        <v>2</v>
      </c>
      <c r="E15">
        <v>48</v>
      </c>
      <c r="F15">
        <v>2</v>
      </c>
      <c r="G15" s="3">
        <v>45318.549305555556</v>
      </c>
      <c r="H15" s="3">
        <v>45320.574999999997</v>
      </c>
      <c r="I15">
        <f t="shared" si="2"/>
        <v>175019.99999969266</v>
      </c>
      <c r="J15">
        <f t="shared" si="0"/>
        <v>48.616666666581295</v>
      </c>
      <c r="K15">
        <f t="shared" si="1"/>
        <v>2.0256944444408873</v>
      </c>
      <c r="L15">
        <v>10</v>
      </c>
      <c r="M15">
        <v>0.92540405558448102</v>
      </c>
      <c r="N15">
        <v>0.96668216570620502</v>
      </c>
      <c r="O15">
        <f t="shared" si="3"/>
        <v>13.896056132026695</v>
      </c>
      <c r="P15">
        <f t="shared" si="4"/>
        <v>0.43853352431292164</v>
      </c>
    </row>
    <row r="16" spans="1:16" x14ac:dyDescent="0.35">
      <c r="A16" s="6" t="s">
        <v>579</v>
      </c>
      <c r="B16" s="6">
        <v>2</v>
      </c>
      <c r="C16" s="6">
        <v>0</v>
      </c>
      <c r="D16" s="6">
        <v>3</v>
      </c>
      <c r="E16">
        <v>48</v>
      </c>
      <c r="F16">
        <v>2</v>
      </c>
      <c r="G16" s="3">
        <v>45318.55</v>
      </c>
      <c r="H16" s="3">
        <v>45320.576388888891</v>
      </c>
      <c r="I16">
        <f t="shared" si="2"/>
        <v>175079.99999988824</v>
      </c>
      <c r="J16">
        <f t="shared" si="0"/>
        <v>48.633333333302289</v>
      </c>
      <c r="K16">
        <f t="shared" si="1"/>
        <v>2.0263888888875954</v>
      </c>
      <c r="L16">
        <v>10</v>
      </c>
      <c r="M16">
        <v>1.2755455651294101</v>
      </c>
      <c r="N16">
        <v>1.33111504575312</v>
      </c>
      <c r="O16">
        <f t="shared" si="3"/>
        <v>19.134778782701098</v>
      </c>
      <c r="P16">
        <f t="shared" si="4"/>
        <v>0.60365086425726222</v>
      </c>
    </row>
    <row r="17" spans="1:16" x14ac:dyDescent="0.35">
      <c r="A17" s="6" t="s">
        <v>579</v>
      </c>
      <c r="B17" s="6">
        <v>2</v>
      </c>
      <c r="C17" s="6">
        <v>400</v>
      </c>
      <c r="D17" s="6">
        <v>1</v>
      </c>
      <c r="E17">
        <v>48</v>
      </c>
      <c r="F17">
        <v>2</v>
      </c>
      <c r="G17" s="3">
        <v>45318.55</v>
      </c>
      <c r="H17" s="3">
        <v>45320.577777777777</v>
      </c>
      <c r="I17">
        <f t="shared" si="2"/>
        <v>175199.99999965075</v>
      </c>
      <c r="J17">
        <f t="shared" si="0"/>
        <v>48.666666666569654</v>
      </c>
      <c r="K17">
        <f t="shared" si="1"/>
        <v>2.0277777777737356</v>
      </c>
      <c r="L17">
        <v>1000</v>
      </c>
      <c r="M17">
        <v>0.80060493494988405</v>
      </c>
      <c r="N17">
        <v>0.79009471059102798</v>
      </c>
      <c r="O17">
        <f t="shared" si="3"/>
        <v>1135.7611464746026</v>
      </c>
      <c r="P17">
        <f t="shared" si="4"/>
        <v>35.805671662547084</v>
      </c>
    </row>
    <row r="18" spans="1:16" x14ac:dyDescent="0.35">
      <c r="A18" s="6" t="s">
        <v>579</v>
      </c>
      <c r="B18" s="6">
        <v>2</v>
      </c>
      <c r="C18" s="6">
        <v>400</v>
      </c>
      <c r="D18" s="6">
        <v>2</v>
      </c>
      <c r="E18">
        <v>48</v>
      </c>
      <c r="F18">
        <v>2</v>
      </c>
      <c r="G18" s="3">
        <v>45318.55</v>
      </c>
      <c r="H18" s="3">
        <v>45320.57916666667</v>
      </c>
      <c r="I18">
        <f t="shared" si="2"/>
        <v>175320.00000004191</v>
      </c>
      <c r="J18">
        <f t="shared" si="0"/>
        <v>48.700000000011642</v>
      </c>
      <c r="K18">
        <f t="shared" si="1"/>
        <v>2.0291666666671517</v>
      </c>
      <c r="L18">
        <v>1000</v>
      </c>
      <c r="M18">
        <v>1.2826794335826901</v>
      </c>
      <c r="N18">
        <v>1.25882631686746</v>
      </c>
      <c r="O18">
        <f t="shared" si="3"/>
        <v>1809.5628304969734</v>
      </c>
      <c r="P18">
        <f t="shared" si="4"/>
        <v>57.008698207393579</v>
      </c>
    </row>
    <row r="19" spans="1:16" x14ac:dyDescent="0.35">
      <c r="A19" s="6" t="s">
        <v>579</v>
      </c>
      <c r="B19" s="6">
        <v>2</v>
      </c>
      <c r="C19" s="6">
        <v>400</v>
      </c>
      <c r="D19" s="6">
        <v>3</v>
      </c>
      <c r="E19">
        <v>48</v>
      </c>
      <c r="F19">
        <v>2</v>
      </c>
      <c r="G19" s="3">
        <v>45318.550694444442</v>
      </c>
      <c r="H19" s="3">
        <v>45320.580555555556</v>
      </c>
      <c r="I19">
        <f t="shared" si="2"/>
        <v>175380.00000023749</v>
      </c>
      <c r="J19">
        <f t="shared" si="0"/>
        <v>48.716666666732635</v>
      </c>
      <c r="K19">
        <f t="shared" si="1"/>
        <v>2.0298611111138598</v>
      </c>
      <c r="L19">
        <v>1000</v>
      </c>
      <c r="M19">
        <v>1.5330979102395801</v>
      </c>
      <c r="N19">
        <v>1.47525407876603</v>
      </c>
      <c r="O19">
        <f t="shared" si="3"/>
        <v>2120.677738226168</v>
      </c>
      <c r="P19">
        <f t="shared" si="4"/>
        <v>66.787245251665894</v>
      </c>
    </row>
    <row r="20" spans="1:16" x14ac:dyDescent="0.35">
      <c r="A20" s="6" t="s">
        <v>579</v>
      </c>
      <c r="B20" s="6">
        <v>2</v>
      </c>
      <c r="C20" s="6">
        <v>800</v>
      </c>
      <c r="D20" s="6">
        <v>1</v>
      </c>
      <c r="E20">
        <v>48</v>
      </c>
      <c r="F20">
        <v>2</v>
      </c>
      <c r="G20" s="3">
        <v>45318.550694444442</v>
      </c>
      <c r="H20" s="3">
        <v>45320.583333333336</v>
      </c>
      <c r="I20">
        <f t="shared" si="2"/>
        <v>175620.00000039116</v>
      </c>
      <c r="J20">
        <f t="shared" si="0"/>
        <v>48.783333333441988</v>
      </c>
      <c r="K20">
        <f t="shared" si="1"/>
        <v>2.0326388888934162</v>
      </c>
      <c r="L20">
        <v>1000</v>
      </c>
      <c r="M20">
        <v>6.1558834521405998</v>
      </c>
      <c r="N20">
        <v>6.0033408384276399</v>
      </c>
      <c r="O20">
        <f t="shared" si="3"/>
        <v>8629.802455239731</v>
      </c>
      <c r="P20">
        <f t="shared" si="4"/>
        <v>271.40997220855377</v>
      </c>
    </row>
    <row r="21" spans="1:16" x14ac:dyDescent="0.35">
      <c r="A21" s="6" t="s">
        <v>579</v>
      </c>
      <c r="B21" s="6">
        <v>2</v>
      </c>
      <c r="C21" s="6">
        <v>800</v>
      </c>
      <c r="D21" s="6">
        <v>2</v>
      </c>
      <c r="E21">
        <v>48</v>
      </c>
      <c r="F21">
        <v>2</v>
      </c>
      <c r="G21" s="3">
        <v>45318.551388888889</v>
      </c>
      <c r="H21" s="3">
        <v>45320.584722222222</v>
      </c>
      <c r="I21">
        <f t="shared" si="2"/>
        <v>175679.99999995809</v>
      </c>
      <c r="J21">
        <f t="shared" si="0"/>
        <v>48.799999999988358</v>
      </c>
      <c r="K21">
        <f t="shared" si="1"/>
        <v>2.0333333333328483</v>
      </c>
      <c r="L21">
        <v>1000</v>
      </c>
      <c r="M21">
        <v>5.6247989578254902</v>
      </c>
      <c r="N21">
        <v>5.6340852595338404</v>
      </c>
      <c r="O21">
        <f t="shared" si="3"/>
        <v>8098.9975605798936</v>
      </c>
      <c r="P21">
        <f t="shared" si="4"/>
        <v>254.6289999557022</v>
      </c>
    </row>
    <row r="22" spans="1:16" x14ac:dyDescent="0.35">
      <c r="A22" s="6" t="s">
        <v>579</v>
      </c>
      <c r="B22" s="6">
        <v>2</v>
      </c>
      <c r="C22" s="6">
        <v>800</v>
      </c>
      <c r="D22" s="6">
        <v>3</v>
      </c>
      <c r="E22">
        <v>48</v>
      </c>
      <c r="F22">
        <v>2</v>
      </c>
      <c r="G22" s="3">
        <v>45318.552083333336</v>
      </c>
      <c r="H22" s="3">
        <v>45320.587500000001</v>
      </c>
      <c r="I22">
        <f t="shared" si="2"/>
        <v>175859.99999991618</v>
      </c>
      <c r="J22">
        <f t="shared" si="0"/>
        <v>48.849999999976717</v>
      </c>
      <c r="K22">
        <f t="shared" si="1"/>
        <v>2.0354166666656965</v>
      </c>
      <c r="L22">
        <v>1000</v>
      </c>
      <c r="M22">
        <v>5.6631575422812199</v>
      </c>
      <c r="N22">
        <v>5.7774356620294496</v>
      </c>
      <c r="O22">
        <f t="shared" si="3"/>
        <v>8305.0637641673311</v>
      </c>
      <c r="P22">
        <f t="shared" si="4"/>
        <v>260.84037828229549</v>
      </c>
    </row>
    <row r="23" spans="1:16" x14ac:dyDescent="0.35">
      <c r="A23" s="6" t="s">
        <v>579</v>
      </c>
      <c r="B23" s="6">
        <v>2</v>
      </c>
      <c r="C23" s="6">
        <v>1200</v>
      </c>
      <c r="D23" s="6">
        <v>1</v>
      </c>
      <c r="E23">
        <v>48</v>
      </c>
      <c r="F23">
        <v>2</v>
      </c>
      <c r="G23" s="3">
        <v>45318.552777777775</v>
      </c>
      <c r="H23" s="3">
        <v>45320.588888888888</v>
      </c>
      <c r="I23">
        <f t="shared" si="2"/>
        <v>175920.00000011176</v>
      </c>
      <c r="J23">
        <f t="shared" si="0"/>
        <v>48.866666666697711</v>
      </c>
      <c r="K23">
        <f t="shared" si="1"/>
        <v>2.0361111111124046</v>
      </c>
      <c r="L23">
        <v>1000</v>
      </c>
      <c r="M23">
        <v>120.536309521729</v>
      </c>
      <c r="N23">
        <v>121.314747816124</v>
      </c>
      <c r="O23">
        <f t="shared" si="3"/>
        <v>174389.94998567825</v>
      </c>
      <c r="P23">
        <f t="shared" si="4"/>
        <v>5475.2651526446052</v>
      </c>
    </row>
    <row r="24" spans="1:16" x14ac:dyDescent="0.35">
      <c r="A24" s="6" t="s">
        <v>579</v>
      </c>
      <c r="B24" s="6">
        <v>2</v>
      </c>
      <c r="C24" s="6">
        <v>1200</v>
      </c>
      <c r="D24" s="6">
        <v>2</v>
      </c>
      <c r="E24">
        <v>48</v>
      </c>
      <c r="F24">
        <v>2</v>
      </c>
      <c r="G24" s="3">
        <v>45318.553472222222</v>
      </c>
      <c r="H24" s="3">
        <v>45320.590277777781</v>
      </c>
      <c r="I24">
        <f t="shared" si="2"/>
        <v>175980.00000030734</v>
      </c>
      <c r="J24">
        <f t="shared" si="0"/>
        <v>48.883333333418705</v>
      </c>
      <c r="K24">
        <f t="shared" si="1"/>
        <v>2.0368055555591127</v>
      </c>
      <c r="L24">
        <v>1000</v>
      </c>
      <c r="M24">
        <v>122.765339439141</v>
      </c>
      <c r="N24">
        <v>122.17834422787401</v>
      </c>
      <c r="O24">
        <f t="shared" si="3"/>
        <v>175631.36982756888</v>
      </c>
      <c r="P24">
        <f t="shared" si="4"/>
        <v>5512.3615432690249</v>
      </c>
    </row>
    <row r="25" spans="1:16" x14ac:dyDescent="0.35">
      <c r="A25" s="6" t="s">
        <v>579</v>
      </c>
      <c r="B25" s="6">
        <v>2</v>
      </c>
      <c r="C25" s="6">
        <v>1200</v>
      </c>
      <c r="D25" s="6">
        <v>3</v>
      </c>
      <c r="E25">
        <v>48</v>
      </c>
      <c r="F25">
        <v>2</v>
      </c>
      <c r="G25" s="3">
        <v>45318.554166666669</v>
      </c>
      <c r="H25" s="3">
        <v>45320.591666666667</v>
      </c>
      <c r="I25">
        <f t="shared" si="2"/>
        <v>176039.99999987427</v>
      </c>
      <c r="J25">
        <f t="shared" si="0"/>
        <v>48.899999999965075</v>
      </c>
      <c r="K25">
        <f t="shared" si="1"/>
        <v>2.0374999999985448</v>
      </c>
      <c r="L25">
        <v>1000</v>
      </c>
      <c r="M25">
        <v>139.627828877881</v>
      </c>
      <c r="N25">
        <v>138.29087352320201</v>
      </c>
      <c r="O25">
        <f t="shared" si="3"/>
        <v>198793.13068960284</v>
      </c>
      <c r="P25">
        <f t="shared" si="4"/>
        <v>6237.189402867456</v>
      </c>
    </row>
    <row r="26" spans="1:16" x14ac:dyDescent="0.35">
      <c r="A26" s="6" t="s">
        <v>579</v>
      </c>
      <c r="B26" s="6">
        <v>3</v>
      </c>
      <c r="C26" s="6">
        <v>0</v>
      </c>
      <c r="D26" s="6">
        <v>1</v>
      </c>
      <c r="E26">
        <v>48</v>
      </c>
      <c r="F26">
        <v>2</v>
      </c>
      <c r="G26" s="3">
        <v>45320.59652777778</v>
      </c>
      <c r="H26" s="3">
        <v>45322.575694444444</v>
      </c>
      <c r="I26">
        <f t="shared" si="2"/>
        <v>170999.99999979045</v>
      </c>
      <c r="J26">
        <f t="shared" si="0"/>
        <v>47.499999999941792</v>
      </c>
      <c r="K26">
        <f t="shared" si="1"/>
        <v>1.9791666666642413</v>
      </c>
      <c r="L26">
        <v>10</v>
      </c>
      <c r="M26">
        <v>0.93159408006349398</v>
      </c>
      <c r="N26">
        <v>0.91866816410197605</v>
      </c>
      <c r="O26">
        <f t="shared" si="3"/>
        <v>13.205854858965903</v>
      </c>
      <c r="P26">
        <f t="shared" si="4"/>
        <v>0.42654939310470003</v>
      </c>
    </row>
    <row r="27" spans="1:16" x14ac:dyDescent="0.35">
      <c r="A27" s="6" t="s">
        <v>579</v>
      </c>
      <c r="B27" s="6">
        <v>3</v>
      </c>
      <c r="C27" s="6">
        <v>0</v>
      </c>
      <c r="D27" s="6">
        <v>2</v>
      </c>
      <c r="E27">
        <v>48</v>
      </c>
      <c r="F27">
        <v>2</v>
      </c>
      <c r="G27" s="3">
        <v>45320.597222222219</v>
      </c>
      <c r="H27" s="3">
        <v>45322.576388888891</v>
      </c>
      <c r="I27">
        <f t="shared" si="2"/>
        <v>171000.0000004191</v>
      </c>
      <c r="J27">
        <f t="shared" si="0"/>
        <v>47.500000000116415</v>
      </c>
      <c r="K27">
        <f t="shared" si="1"/>
        <v>1.9791666666715173</v>
      </c>
      <c r="L27">
        <v>10</v>
      </c>
      <c r="M27">
        <v>1.267652668008</v>
      </c>
      <c r="N27">
        <v>1.2793856837867601</v>
      </c>
      <c r="O27">
        <f t="shared" si="3"/>
        <v>18.391169204434672</v>
      </c>
      <c r="P27">
        <f t="shared" si="4"/>
        <v>0.59403515685942554</v>
      </c>
    </row>
    <row r="28" spans="1:16" x14ac:dyDescent="0.35">
      <c r="A28" s="6" t="s">
        <v>579</v>
      </c>
      <c r="B28" s="6">
        <v>3</v>
      </c>
      <c r="C28" s="6">
        <v>0</v>
      </c>
      <c r="D28" s="6">
        <v>3</v>
      </c>
      <c r="E28">
        <v>48</v>
      </c>
      <c r="F28">
        <v>2</v>
      </c>
      <c r="G28" s="3">
        <v>45320.597916666666</v>
      </c>
      <c r="H28" s="3">
        <v>45322.577777777777</v>
      </c>
      <c r="I28">
        <f t="shared" si="2"/>
        <v>171059.99999998603</v>
      </c>
      <c r="J28">
        <f t="shared" si="0"/>
        <v>47.516666666662786</v>
      </c>
      <c r="K28">
        <f t="shared" si="1"/>
        <v>1.9798611111109494</v>
      </c>
      <c r="L28">
        <v>10</v>
      </c>
      <c r="M28">
        <v>1.16304478479067</v>
      </c>
      <c r="N28">
        <v>1.1543747965389599</v>
      </c>
      <c r="O28">
        <f t="shared" si="3"/>
        <v>16.594137700247547</v>
      </c>
      <c r="P28">
        <f t="shared" si="4"/>
        <v>0.53580299996331904</v>
      </c>
    </row>
    <row r="29" spans="1:16" x14ac:dyDescent="0.35">
      <c r="A29" s="6" t="s">
        <v>579</v>
      </c>
      <c r="B29" s="6">
        <v>3</v>
      </c>
      <c r="C29" s="6">
        <v>400</v>
      </c>
      <c r="D29" s="6">
        <v>1</v>
      </c>
      <c r="E29">
        <v>48</v>
      </c>
      <c r="F29">
        <v>2</v>
      </c>
      <c r="G29" s="3">
        <v>45320.598611111112</v>
      </c>
      <c r="H29" s="3">
        <v>45322.57916666667</v>
      </c>
      <c r="I29">
        <f t="shared" si="2"/>
        <v>171120.00000018161</v>
      </c>
      <c r="J29">
        <f t="shared" si="0"/>
        <v>47.53333333338378</v>
      </c>
      <c r="K29">
        <f t="shared" si="1"/>
        <v>1.9805555555576575</v>
      </c>
      <c r="L29">
        <v>1000</v>
      </c>
      <c r="M29">
        <v>1.2045563374188299</v>
      </c>
      <c r="N29">
        <v>1.18566902025802</v>
      </c>
      <c r="O29">
        <f t="shared" si="3"/>
        <v>1704.3992166209036</v>
      </c>
      <c r="P29">
        <f t="shared" si="4"/>
        <v>55.013525001892859</v>
      </c>
    </row>
    <row r="30" spans="1:16" x14ac:dyDescent="0.35">
      <c r="A30" s="6" t="s">
        <v>579</v>
      </c>
      <c r="B30" s="6">
        <v>3</v>
      </c>
      <c r="C30" s="6">
        <v>400</v>
      </c>
      <c r="D30" s="6">
        <v>2</v>
      </c>
      <c r="E30">
        <v>48</v>
      </c>
      <c r="F30">
        <v>2</v>
      </c>
      <c r="G30" s="3">
        <v>45320.599305555559</v>
      </c>
      <c r="H30" s="3">
        <v>45322.59097222222</v>
      </c>
      <c r="I30">
        <f t="shared" si="2"/>
        <v>172079.999999539</v>
      </c>
      <c r="J30">
        <f t="shared" si="0"/>
        <v>47.799999999871943</v>
      </c>
      <c r="K30">
        <f t="shared" si="1"/>
        <v>1.991666666661331</v>
      </c>
      <c r="L30">
        <v>1000</v>
      </c>
      <c r="M30">
        <v>1.0384938356997999</v>
      </c>
      <c r="N30">
        <v>1.0413273029594601</v>
      </c>
      <c r="O30">
        <f t="shared" si="3"/>
        <v>1496.9079980042234</v>
      </c>
      <c r="P30">
        <f t="shared" si="4"/>
        <v>48.046707317302797</v>
      </c>
    </row>
    <row r="31" spans="1:16" x14ac:dyDescent="0.35">
      <c r="A31" s="6" t="s">
        <v>579</v>
      </c>
      <c r="B31" s="6">
        <v>3</v>
      </c>
      <c r="C31" s="6">
        <v>400</v>
      </c>
      <c r="D31" s="6">
        <v>3</v>
      </c>
      <c r="E31">
        <v>48</v>
      </c>
      <c r="F31">
        <v>2</v>
      </c>
      <c r="G31" s="3">
        <v>45320.6</v>
      </c>
      <c r="H31" s="3">
        <v>45322.592361111114</v>
      </c>
      <c r="I31">
        <f t="shared" si="2"/>
        <v>172140.00000036322</v>
      </c>
      <c r="J31">
        <f t="shared" si="0"/>
        <v>47.81666666676756</v>
      </c>
      <c r="K31">
        <f t="shared" si="1"/>
        <v>1.992361111115315</v>
      </c>
      <c r="L31">
        <v>1000</v>
      </c>
      <c r="M31">
        <v>1.3345612405534899</v>
      </c>
      <c r="N31">
        <v>1.3351695482050501</v>
      </c>
      <c r="O31">
        <f t="shared" si="3"/>
        <v>1919.3062255447592</v>
      </c>
      <c r="P31">
        <f t="shared" si="4"/>
        <v>61.583078094041191</v>
      </c>
    </row>
    <row r="32" spans="1:16" x14ac:dyDescent="0.35">
      <c r="A32" s="6" t="s">
        <v>579</v>
      </c>
      <c r="B32" s="6">
        <v>3</v>
      </c>
      <c r="C32" s="6">
        <v>800</v>
      </c>
      <c r="D32" s="6">
        <v>1</v>
      </c>
      <c r="E32">
        <v>48</v>
      </c>
      <c r="F32">
        <v>2</v>
      </c>
      <c r="G32" s="3">
        <v>45320.600694444445</v>
      </c>
      <c r="H32" s="3">
        <v>45322.59375</v>
      </c>
      <c r="I32">
        <f t="shared" si="2"/>
        <v>172199.99999993015</v>
      </c>
      <c r="J32">
        <f t="shared" si="0"/>
        <v>47.833333333313931</v>
      </c>
      <c r="K32">
        <f t="shared" si="1"/>
        <v>1.9930555555547471</v>
      </c>
      <c r="L32">
        <v>1000</v>
      </c>
      <c r="M32">
        <v>5.2801944099284901</v>
      </c>
      <c r="N32">
        <v>5.2920610401569599</v>
      </c>
      <c r="O32">
        <f t="shared" si="3"/>
        <v>7607.3377452256291</v>
      </c>
      <c r="P32">
        <f t="shared" si="4"/>
        <v>244.00485635367016</v>
      </c>
    </row>
    <row r="33" spans="1:16" x14ac:dyDescent="0.35">
      <c r="A33" s="6" t="s">
        <v>579</v>
      </c>
      <c r="B33" s="6">
        <v>3</v>
      </c>
      <c r="C33" s="6">
        <v>800</v>
      </c>
      <c r="D33" s="6">
        <v>2</v>
      </c>
      <c r="E33">
        <v>48</v>
      </c>
      <c r="F33">
        <v>2</v>
      </c>
      <c r="G33" s="3">
        <v>45320.601388888892</v>
      </c>
      <c r="H33" s="3">
        <v>45322.595138888886</v>
      </c>
      <c r="I33">
        <f t="shared" si="2"/>
        <v>172259.99999949709</v>
      </c>
      <c r="J33">
        <f t="shared" si="0"/>
        <v>47.849999999860302</v>
      </c>
      <c r="K33">
        <f t="shared" si="1"/>
        <v>1.9937499999941792</v>
      </c>
      <c r="L33">
        <v>1000</v>
      </c>
      <c r="M33">
        <v>6.1449699724658702</v>
      </c>
      <c r="N33">
        <v>6.06519204580579</v>
      </c>
      <c r="O33">
        <f t="shared" si="3"/>
        <v>8718.7135658458228</v>
      </c>
      <c r="P33">
        <f t="shared" si="4"/>
        <v>279.55475664937001</v>
      </c>
    </row>
    <row r="34" spans="1:16" x14ac:dyDescent="0.35">
      <c r="A34" s="6" t="s">
        <v>579</v>
      </c>
      <c r="B34" s="6">
        <v>3</v>
      </c>
      <c r="C34" s="6">
        <v>800</v>
      </c>
      <c r="D34" s="6">
        <v>3</v>
      </c>
      <c r="E34">
        <v>48</v>
      </c>
      <c r="F34">
        <v>2</v>
      </c>
      <c r="G34" s="3">
        <v>45320.602083333331</v>
      </c>
      <c r="H34" s="3">
        <v>45322.59652777778</v>
      </c>
      <c r="I34">
        <f t="shared" si="2"/>
        <v>172320.00000032131</v>
      </c>
      <c r="J34">
        <f t="shared" si="0"/>
        <v>47.866666666755918</v>
      </c>
      <c r="K34">
        <f t="shared" si="1"/>
        <v>1.9944444444481633</v>
      </c>
      <c r="L34">
        <v>1000</v>
      </c>
      <c r="M34">
        <v>5.6042867262185601</v>
      </c>
      <c r="N34">
        <v>5.5896174415055198</v>
      </c>
      <c r="O34">
        <f t="shared" si="3"/>
        <v>8035.0750721641834</v>
      </c>
      <c r="P34">
        <f t="shared" si="4"/>
        <v>257.54502901077382</v>
      </c>
    </row>
    <row r="35" spans="1:16" x14ac:dyDescent="0.35">
      <c r="A35" s="6" t="s">
        <v>579</v>
      </c>
      <c r="B35" s="6">
        <v>3</v>
      </c>
      <c r="C35" s="6">
        <v>1200</v>
      </c>
      <c r="D35" s="6">
        <v>1</v>
      </c>
      <c r="E35">
        <v>48</v>
      </c>
      <c r="F35">
        <v>2</v>
      </c>
      <c r="G35" s="3">
        <v>45320.602777777778</v>
      </c>
      <c r="H35" s="3">
        <v>45322.597222222219</v>
      </c>
      <c r="I35">
        <f t="shared" si="2"/>
        <v>172319.99999969266</v>
      </c>
      <c r="J35">
        <f t="shared" si="0"/>
        <v>47.866666666581295</v>
      </c>
      <c r="K35">
        <f t="shared" si="1"/>
        <v>1.9944444444408873</v>
      </c>
      <c r="L35">
        <v>1000</v>
      </c>
      <c r="M35">
        <v>102.69154954346401</v>
      </c>
      <c r="N35">
        <v>101.944375717217</v>
      </c>
      <c r="O35">
        <f t="shared" si="3"/>
        <v>146545.04009349941</v>
      </c>
      <c r="P35">
        <f t="shared" si="4"/>
        <v>4697.1492193211716</v>
      </c>
    </row>
    <row r="36" spans="1:16" x14ac:dyDescent="0.35">
      <c r="A36" s="6" t="s">
        <v>579</v>
      </c>
      <c r="B36" s="6">
        <v>3</v>
      </c>
      <c r="C36" s="6">
        <v>1200</v>
      </c>
      <c r="D36" s="6">
        <v>2</v>
      </c>
      <c r="E36">
        <v>48</v>
      </c>
      <c r="F36">
        <v>2</v>
      </c>
      <c r="G36" s="3">
        <v>45320.602777777778</v>
      </c>
      <c r="H36" s="3">
        <v>45322.598611111112</v>
      </c>
      <c r="I36">
        <f t="shared" si="2"/>
        <v>172440.00000008382</v>
      </c>
      <c r="J36">
        <f t="shared" si="0"/>
        <v>47.900000000023283</v>
      </c>
      <c r="K36">
        <f t="shared" si="1"/>
        <v>1.9958333333343035</v>
      </c>
      <c r="L36">
        <v>1000</v>
      </c>
      <c r="M36">
        <v>57.640691905574499</v>
      </c>
      <c r="N36">
        <v>57.589167561084899</v>
      </c>
      <c r="O36">
        <f t="shared" si="3"/>
        <v>82784.428369059533</v>
      </c>
      <c r="P36">
        <f t="shared" si="4"/>
        <v>2651.6094560554034</v>
      </c>
    </row>
    <row r="37" spans="1:16" x14ac:dyDescent="0.35">
      <c r="A37" s="6" t="s">
        <v>579</v>
      </c>
      <c r="B37" s="6">
        <v>3</v>
      </c>
      <c r="C37" s="6">
        <v>1200</v>
      </c>
      <c r="D37" s="6">
        <v>3</v>
      </c>
      <c r="E37">
        <v>48</v>
      </c>
      <c r="F37">
        <v>2</v>
      </c>
      <c r="G37" s="3">
        <v>45320.604166666664</v>
      </c>
      <c r="H37" s="3">
        <v>45322.6</v>
      </c>
      <c r="I37">
        <f t="shared" si="2"/>
        <v>172440.00000008382</v>
      </c>
      <c r="J37">
        <f t="shared" si="0"/>
        <v>47.900000000023283</v>
      </c>
      <c r="K37">
        <f t="shared" si="1"/>
        <v>1.9958333333343035</v>
      </c>
      <c r="L37">
        <v>1000</v>
      </c>
      <c r="M37">
        <v>111.013488046445</v>
      </c>
      <c r="N37">
        <v>111.587520881994</v>
      </c>
      <c r="O37">
        <f t="shared" si="3"/>
        <v>160407.06126786635</v>
      </c>
      <c r="P37">
        <f t="shared" si="4"/>
        <v>5137.8850933142558</v>
      </c>
    </row>
    <row r="38" spans="1:16" x14ac:dyDescent="0.35">
      <c r="A38" s="6" t="s">
        <v>579</v>
      </c>
      <c r="B38" s="6">
        <v>4</v>
      </c>
      <c r="C38" s="6">
        <v>0</v>
      </c>
      <c r="D38" s="6">
        <v>1</v>
      </c>
      <c r="E38">
        <v>48</v>
      </c>
      <c r="F38">
        <v>2</v>
      </c>
      <c r="G38" s="3">
        <v>45322.601388888892</v>
      </c>
      <c r="H38" s="3">
        <v>45324.583333333336</v>
      </c>
      <c r="I38">
        <f t="shared" si="2"/>
        <v>171239.99999994412</v>
      </c>
      <c r="J38">
        <f t="shared" si="0"/>
        <v>47.566666666651145</v>
      </c>
      <c r="K38">
        <f t="shared" si="1"/>
        <v>1.9819444444437977</v>
      </c>
      <c r="L38">
        <v>10</v>
      </c>
      <c r="M38">
        <v>2.7760848937910101</v>
      </c>
      <c r="N38">
        <v>2.82415597016925</v>
      </c>
      <c r="O38">
        <f t="shared" si="3"/>
        <v>40.597242071182968</v>
      </c>
      <c r="P38">
        <f t="shared" si="4"/>
        <v>1.3094539531265703</v>
      </c>
    </row>
    <row r="39" spans="1:16" x14ac:dyDescent="0.35">
      <c r="A39" s="6" t="s">
        <v>579</v>
      </c>
      <c r="B39" s="6">
        <v>4</v>
      </c>
      <c r="C39" s="6">
        <v>0</v>
      </c>
      <c r="D39" s="6">
        <v>2</v>
      </c>
      <c r="E39">
        <v>48</v>
      </c>
      <c r="F39">
        <v>2</v>
      </c>
      <c r="G39" s="3">
        <v>45322.601388888892</v>
      </c>
      <c r="H39" s="3">
        <v>45324.584027777775</v>
      </c>
      <c r="I39">
        <f t="shared" si="2"/>
        <v>171299.99999951106</v>
      </c>
      <c r="J39">
        <f t="shared" si="0"/>
        <v>47.583333333197515</v>
      </c>
      <c r="K39">
        <f t="shared" si="1"/>
        <v>1.9826388888832298</v>
      </c>
      <c r="L39">
        <v>10</v>
      </c>
      <c r="M39">
        <v>2.0399596363575401</v>
      </c>
      <c r="N39">
        <v>2.0830316388693801</v>
      </c>
      <c r="O39">
        <f t="shared" si="3"/>
        <v>29.943579808747337</v>
      </c>
      <c r="P39">
        <f t="shared" si="4"/>
        <v>0.96548443300122555</v>
      </c>
    </row>
    <row r="40" spans="1:16" x14ac:dyDescent="0.35">
      <c r="A40" s="6" t="s">
        <v>579</v>
      </c>
      <c r="B40" s="6">
        <v>4</v>
      </c>
      <c r="C40" s="6">
        <v>0</v>
      </c>
      <c r="D40" s="6">
        <v>3</v>
      </c>
      <c r="E40">
        <v>48</v>
      </c>
      <c r="F40">
        <v>2</v>
      </c>
      <c r="G40" s="3">
        <v>45322.601388888892</v>
      </c>
      <c r="H40" s="3">
        <v>45324.584722222222</v>
      </c>
      <c r="I40">
        <f t="shared" si="2"/>
        <v>171359.99999970663</v>
      </c>
      <c r="J40">
        <f t="shared" si="0"/>
        <v>47.599999999918509</v>
      </c>
      <c r="K40">
        <f t="shared" si="1"/>
        <v>1.9833333333299379</v>
      </c>
      <c r="L40">
        <v>10</v>
      </c>
      <c r="M40">
        <v>1.3358391179386699</v>
      </c>
      <c r="N40">
        <v>1.3927024337010501</v>
      </c>
      <c r="O40">
        <f t="shared" si="3"/>
        <v>20.020097484452592</v>
      </c>
      <c r="P40">
        <f t="shared" si="4"/>
        <v>0.64529106747682763</v>
      </c>
    </row>
    <row r="41" spans="1:16" x14ac:dyDescent="0.35">
      <c r="A41" s="6" t="s">
        <v>579</v>
      </c>
      <c r="B41" s="6">
        <v>4</v>
      </c>
      <c r="C41" s="6">
        <v>400</v>
      </c>
      <c r="D41" s="6">
        <v>1</v>
      </c>
      <c r="E41">
        <v>48</v>
      </c>
      <c r="F41">
        <v>2</v>
      </c>
      <c r="G41" s="3">
        <v>45322.602083333331</v>
      </c>
      <c r="H41" s="3">
        <v>45324.585416666669</v>
      </c>
      <c r="I41">
        <f t="shared" si="2"/>
        <v>171360.00000033528</v>
      </c>
      <c r="J41">
        <f t="shared" si="0"/>
        <v>47.600000000093132</v>
      </c>
      <c r="K41">
        <f t="shared" si="1"/>
        <v>1.9833333333372138</v>
      </c>
      <c r="L41">
        <v>1000</v>
      </c>
      <c r="M41">
        <v>1.6824629508065201</v>
      </c>
      <c r="N41">
        <v>1.68041366413472</v>
      </c>
      <c r="O41">
        <f t="shared" si="3"/>
        <v>2415.5946421936596</v>
      </c>
      <c r="P41">
        <f t="shared" si="4"/>
        <v>77.859842913215218</v>
      </c>
    </row>
    <row r="42" spans="1:16" x14ac:dyDescent="0.35">
      <c r="A42" s="6" t="s">
        <v>579</v>
      </c>
      <c r="B42" s="6">
        <v>4</v>
      </c>
      <c r="C42" s="6">
        <v>400</v>
      </c>
      <c r="D42" s="6">
        <v>2</v>
      </c>
      <c r="E42">
        <v>48</v>
      </c>
      <c r="F42">
        <v>2</v>
      </c>
      <c r="G42" s="3">
        <v>45322.602083333331</v>
      </c>
      <c r="H42" s="3">
        <v>45324.586111111108</v>
      </c>
      <c r="I42">
        <f t="shared" si="2"/>
        <v>171419.99999990221</v>
      </c>
      <c r="J42">
        <f t="shared" si="0"/>
        <v>47.616666666639503</v>
      </c>
      <c r="K42">
        <f t="shared" si="1"/>
        <v>1.984027777776646</v>
      </c>
      <c r="L42">
        <v>1000</v>
      </c>
      <c r="M42">
        <v>1.26941111867623</v>
      </c>
      <c r="N42">
        <v>1.2832513985348399</v>
      </c>
      <c r="O42">
        <f t="shared" si="3"/>
        <v>1844.6738853938321</v>
      </c>
      <c r="P42">
        <f t="shared" si="4"/>
        <v>59.437020108904257</v>
      </c>
    </row>
    <row r="43" spans="1:16" x14ac:dyDescent="0.35">
      <c r="A43" s="6" t="s">
        <v>579</v>
      </c>
      <c r="B43" s="6">
        <v>4</v>
      </c>
      <c r="C43" s="6">
        <v>400</v>
      </c>
      <c r="D43" s="6">
        <v>3</v>
      </c>
      <c r="E43">
        <v>48</v>
      </c>
      <c r="F43">
        <v>2</v>
      </c>
      <c r="G43" s="3">
        <v>45322.602777777778</v>
      </c>
      <c r="H43" s="3">
        <v>45324.586805555555</v>
      </c>
      <c r="I43">
        <f t="shared" si="2"/>
        <v>171419.99999990221</v>
      </c>
      <c r="J43">
        <f t="shared" si="0"/>
        <v>47.616666666639503</v>
      </c>
      <c r="K43">
        <f t="shared" si="1"/>
        <v>1.984027777776646</v>
      </c>
      <c r="L43">
        <v>1000</v>
      </c>
      <c r="M43">
        <v>1.1733165592020101</v>
      </c>
      <c r="N43">
        <v>1.18481449337249</v>
      </c>
      <c r="O43">
        <f t="shared" si="3"/>
        <v>1703.170834222954</v>
      </c>
      <c r="P43">
        <f t="shared" si="4"/>
        <v>54.877666954664107</v>
      </c>
    </row>
    <row r="44" spans="1:16" x14ac:dyDescent="0.35">
      <c r="A44" s="6" t="s">
        <v>579</v>
      </c>
      <c r="B44" s="6">
        <v>4</v>
      </c>
      <c r="C44" s="6">
        <v>800</v>
      </c>
      <c r="D44" s="6">
        <v>1</v>
      </c>
      <c r="E44">
        <v>48</v>
      </c>
      <c r="F44">
        <v>2</v>
      </c>
      <c r="G44" s="3">
        <v>45322.602777777778</v>
      </c>
      <c r="H44" s="3">
        <v>45324.588194444441</v>
      </c>
      <c r="I44">
        <f t="shared" si="2"/>
        <v>171539.99999966472</v>
      </c>
      <c r="J44">
        <f t="shared" si="0"/>
        <v>47.649999999906868</v>
      </c>
      <c r="K44">
        <f t="shared" si="1"/>
        <v>1.9854166666627862</v>
      </c>
      <c r="L44">
        <v>1000</v>
      </c>
      <c r="M44">
        <v>4.9271297805263004</v>
      </c>
      <c r="N44">
        <v>4.8557591372087803</v>
      </c>
      <c r="O44">
        <f t="shared" si="3"/>
        <v>6980.15375973762</v>
      </c>
      <c r="P44">
        <f t="shared" si="4"/>
        <v>224.74938016636574</v>
      </c>
    </row>
    <row r="45" spans="1:16" x14ac:dyDescent="0.35">
      <c r="A45" s="6" t="s">
        <v>579</v>
      </c>
      <c r="B45" s="6">
        <v>4</v>
      </c>
      <c r="C45" s="6">
        <v>800</v>
      </c>
      <c r="D45" s="6">
        <v>2</v>
      </c>
      <c r="E45">
        <v>48</v>
      </c>
      <c r="F45">
        <v>2</v>
      </c>
      <c r="G45" s="3">
        <v>45322.603472222225</v>
      </c>
      <c r="H45" s="3">
        <v>45324.588888888888</v>
      </c>
      <c r="I45">
        <f t="shared" si="2"/>
        <v>171539.99999966472</v>
      </c>
      <c r="J45">
        <f t="shared" si="0"/>
        <v>47.649999999906868</v>
      </c>
      <c r="K45">
        <f t="shared" si="1"/>
        <v>1.9854166666627862</v>
      </c>
      <c r="L45">
        <v>1000</v>
      </c>
      <c r="M45">
        <v>5.9051650162815896</v>
      </c>
      <c r="N45">
        <v>5.9961422585526396</v>
      </c>
      <c r="O45">
        <f t="shared" si="3"/>
        <v>8619.4544966694193</v>
      </c>
      <c r="P45">
        <f t="shared" si="4"/>
        <v>277.53214645109261</v>
      </c>
    </row>
    <row r="46" spans="1:16" x14ac:dyDescent="0.35">
      <c r="A46" s="6" t="s">
        <v>579</v>
      </c>
      <c r="B46" s="6">
        <v>4</v>
      </c>
      <c r="C46" s="6">
        <v>800</v>
      </c>
      <c r="D46" s="6">
        <v>3</v>
      </c>
      <c r="E46">
        <v>48</v>
      </c>
      <c r="F46">
        <v>2</v>
      </c>
      <c r="G46" s="3">
        <v>45322.603472222225</v>
      </c>
      <c r="H46" s="3">
        <v>45324.589583333334</v>
      </c>
      <c r="I46">
        <f t="shared" si="2"/>
        <v>171599.9999998603</v>
      </c>
      <c r="J46">
        <f t="shared" si="0"/>
        <v>47.666666666627862</v>
      </c>
      <c r="K46">
        <f t="shared" si="1"/>
        <v>1.9861111111094942</v>
      </c>
      <c r="L46">
        <v>1000</v>
      </c>
      <c r="M46">
        <v>4.9604849012254197</v>
      </c>
      <c r="N46">
        <v>4.92172246543665</v>
      </c>
      <c r="O46">
        <f t="shared" si="3"/>
        <v>7074.9760440651835</v>
      </c>
      <c r="P46">
        <f t="shared" si="4"/>
        <v>227.72284931199786</v>
      </c>
    </row>
    <row r="47" spans="1:16" x14ac:dyDescent="0.35">
      <c r="A47" s="6" t="s">
        <v>579</v>
      </c>
      <c r="B47" s="6">
        <v>5</v>
      </c>
      <c r="C47" s="6">
        <v>0</v>
      </c>
      <c r="D47" s="6">
        <v>1</v>
      </c>
      <c r="E47">
        <v>48</v>
      </c>
      <c r="F47">
        <v>2</v>
      </c>
      <c r="G47" s="3">
        <v>45324.595138888886</v>
      </c>
      <c r="H47" s="3">
        <v>45326.529166666667</v>
      </c>
      <c r="I47">
        <f t="shared" si="2"/>
        <v>167100.0000002794</v>
      </c>
      <c r="J47">
        <f t="shared" si="0"/>
        <v>46.416666666744277</v>
      </c>
      <c r="K47">
        <f t="shared" si="1"/>
        <v>1.9340277777810115</v>
      </c>
      <c r="L47">
        <v>10</v>
      </c>
      <c r="M47">
        <v>1.3805755498638601</v>
      </c>
      <c r="N47">
        <v>1.41344120497971</v>
      </c>
      <c r="O47">
        <f t="shared" si="3"/>
        <v>20.318217321583329</v>
      </c>
      <c r="P47">
        <f t="shared" si="4"/>
        <v>0.67159595274826622</v>
      </c>
    </row>
    <row r="48" spans="1:16" x14ac:dyDescent="0.35">
      <c r="A48" s="6" t="s">
        <v>579</v>
      </c>
      <c r="B48" s="6">
        <v>5</v>
      </c>
      <c r="C48" s="6">
        <v>0</v>
      </c>
      <c r="D48" s="6">
        <v>2</v>
      </c>
      <c r="E48">
        <v>48</v>
      </c>
      <c r="F48">
        <v>2</v>
      </c>
      <c r="G48" s="3">
        <v>45324.595138888886</v>
      </c>
      <c r="H48" s="3">
        <v>45326.529861111114</v>
      </c>
      <c r="I48">
        <f t="shared" si="2"/>
        <v>167160.00000047497</v>
      </c>
      <c r="J48">
        <f t="shared" si="0"/>
        <v>46.433333333465271</v>
      </c>
      <c r="K48">
        <f t="shared" si="1"/>
        <v>1.9347222222277196</v>
      </c>
      <c r="L48">
        <v>10</v>
      </c>
      <c r="M48">
        <v>1.23192509918658</v>
      </c>
      <c r="N48">
        <v>1.2383204307181399</v>
      </c>
      <c r="O48">
        <f t="shared" si="3"/>
        <v>17.80085619157326</v>
      </c>
      <c r="P48">
        <f t="shared" si="4"/>
        <v>0.58817620130326231</v>
      </c>
    </row>
    <row r="49" spans="1:16" x14ac:dyDescent="0.35">
      <c r="A49" s="6" t="s">
        <v>579</v>
      </c>
      <c r="B49" s="6">
        <v>5</v>
      </c>
      <c r="C49" s="6">
        <v>0</v>
      </c>
      <c r="D49" s="6">
        <v>3</v>
      </c>
      <c r="E49">
        <v>48</v>
      </c>
      <c r="F49">
        <v>2</v>
      </c>
      <c r="G49" s="3">
        <v>45324.595833333333</v>
      </c>
      <c r="H49" s="3">
        <v>45326.530555555553</v>
      </c>
      <c r="I49">
        <f t="shared" si="2"/>
        <v>167159.99999984633</v>
      </c>
      <c r="J49">
        <f t="shared" si="0"/>
        <v>46.433333333290648</v>
      </c>
      <c r="K49">
        <f t="shared" si="1"/>
        <v>1.9347222222204437</v>
      </c>
      <c r="L49">
        <v>10</v>
      </c>
      <c r="M49">
        <v>0.86965028652219301</v>
      </c>
      <c r="N49">
        <v>0.92195392119945097</v>
      </c>
      <c r="O49">
        <f t="shared" si="3"/>
        <v>13.253087617242107</v>
      </c>
      <c r="P49">
        <f t="shared" si="4"/>
        <v>0.43790875261203593</v>
      </c>
    </row>
    <row r="50" spans="1:16" x14ac:dyDescent="0.35">
      <c r="A50" s="6" t="s">
        <v>579</v>
      </c>
      <c r="B50" s="6">
        <v>5</v>
      </c>
      <c r="C50" s="6">
        <v>400</v>
      </c>
      <c r="D50" s="6">
        <v>1</v>
      </c>
      <c r="E50">
        <v>48</v>
      </c>
      <c r="F50">
        <v>2</v>
      </c>
      <c r="G50" s="3">
        <v>45324.59652777778</v>
      </c>
      <c r="H50" s="3">
        <v>45326.53125</v>
      </c>
      <c r="I50">
        <f t="shared" si="2"/>
        <v>167159.99999984633</v>
      </c>
      <c r="J50">
        <f t="shared" si="0"/>
        <v>46.433333333290648</v>
      </c>
      <c r="K50">
        <f t="shared" si="1"/>
        <v>1.9347222222204437</v>
      </c>
      <c r="L50">
        <v>1000</v>
      </c>
      <c r="M50">
        <v>1.8218896891435299</v>
      </c>
      <c r="N50">
        <v>1.78054609091321</v>
      </c>
      <c r="O50">
        <f t="shared" si="3"/>
        <v>2559.5350056877392</v>
      </c>
      <c r="P50">
        <f t="shared" si="4"/>
        <v>84.572200379129413</v>
      </c>
    </row>
    <row r="51" spans="1:16" x14ac:dyDescent="0.35">
      <c r="A51" s="6" t="s">
        <v>579</v>
      </c>
      <c r="B51" s="6">
        <v>5</v>
      </c>
      <c r="C51" s="6">
        <v>400</v>
      </c>
      <c r="D51" s="6">
        <v>2</v>
      </c>
      <c r="E51">
        <v>48</v>
      </c>
      <c r="F51">
        <v>2</v>
      </c>
      <c r="G51" s="3">
        <v>45324.59652777778</v>
      </c>
      <c r="H51" s="3">
        <v>45326.531944444447</v>
      </c>
      <c r="I51">
        <f t="shared" si="2"/>
        <v>167220.00000004191</v>
      </c>
      <c r="J51">
        <f t="shared" si="0"/>
        <v>46.450000000011642</v>
      </c>
      <c r="K51">
        <f t="shared" si="1"/>
        <v>1.9354166666671517</v>
      </c>
      <c r="L51">
        <v>1000</v>
      </c>
      <c r="M51">
        <v>1.0895436012435999</v>
      </c>
      <c r="N51">
        <v>1.0628614036958199</v>
      </c>
      <c r="O51">
        <f t="shared" si="3"/>
        <v>1527.863267812741</v>
      </c>
      <c r="P51">
        <f t="shared" si="4"/>
        <v>50.465570802349056</v>
      </c>
    </row>
    <row r="52" spans="1:16" x14ac:dyDescent="0.35">
      <c r="A52" s="6" t="s">
        <v>579</v>
      </c>
      <c r="B52" s="6">
        <v>5</v>
      </c>
      <c r="C52" s="6">
        <v>400</v>
      </c>
      <c r="D52" s="6">
        <v>3</v>
      </c>
      <c r="E52">
        <v>48</v>
      </c>
      <c r="F52">
        <v>2</v>
      </c>
      <c r="G52" s="3">
        <v>45324.597222222219</v>
      </c>
      <c r="H52" s="3">
        <v>45326.532638888886</v>
      </c>
      <c r="I52">
        <f t="shared" si="2"/>
        <v>167220.00000004191</v>
      </c>
      <c r="J52">
        <f t="shared" si="0"/>
        <v>46.450000000011642</v>
      </c>
      <c r="K52">
        <f t="shared" si="1"/>
        <v>1.9354166666671517</v>
      </c>
      <c r="L52">
        <v>1000</v>
      </c>
      <c r="M52">
        <v>1.31012772782843</v>
      </c>
      <c r="N52">
        <v>1.31924953401676</v>
      </c>
      <c r="O52">
        <f t="shared" si="3"/>
        <v>1896.4212051490922</v>
      </c>
      <c r="P52">
        <f t="shared" si="4"/>
        <v>62.639099071041592</v>
      </c>
    </row>
    <row r="53" spans="1:16" x14ac:dyDescent="0.35">
      <c r="A53" s="6" t="s">
        <v>579</v>
      </c>
      <c r="B53" s="6">
        <v>5</v>
      </c>
      <c r="C53" s="6">
        <v>800</v>
      </c>
      <c r="D53" s="6">
        <v>1</v>
      </c>
      <c r="E53">
        <v>48</v>
      </c>
      <c r="F53">
        <v>2</v>
      </c>
      <c r="G53" s="3">
        <v>45324.597916666666</v>
      </c>
      <c r="H53" s="3">
        <v>45326.533333333333</v>
      </c>
      <c r="I53">
        <f t="shared" si="2"/>
        <v>167220.00000004191</v>
      </c>
      <c r="J53">
        <f t="shared" si="0"/>
        <v>46.450000000011642</v>
      </c>
      <c r="K53">
        <f t="shared" si="1"/>
        <v>1.9354166666671517</v>
      </c>
      <c r="L53">
        <v>1000</v>
      </c>
      <c r="M53">
        <v>4.1243492049643304</v>
      </c>
      <c r="N53">
        <v>4.1375814539581297</v>
      </c>
      <c r="O53">
        <f t="shared" si="3"/>
        <v>5947.7733400648103</v>
      </c>
      <c r="P53">
        <f t="shared" si="4"/>
        <v>196.45591522012623</v>
      </c>
    </row>
    <row r="54" spans="1:16" x14ac:dyDescent="0.35">
      <c r="A54" s="6" t="s">
        <v>579</v>
      </c>
      <c r="B54" s="6">
        <v>5</v>
      </c>
      <c r="C54" s="6">
        <v>800</v>
      </c>
      <c r="D54" s="6">
        <v>2</v>
      </c>
      <c r="E54">
        <v>48</v>
      </c>
      <c r="F54">
        <v>2</v>
      </c>
      <c r="G54" s="3">
        <v>45324.598611111112</v>
      </c>
      <c r="H54" s="3">
        <v>45326.53402777778</v>
      </c>
      <c r="I54">
        <f t="shared" si="2"/>
        <v>167220.00000004191</v>
      </c>
      <c r="J54">
        <f t="shared" si="0"/>
        <v>46.450000000011642</v>
      </c>
      <c r="K54">
        <f t="shared" si="1"/>
        <v>1.9354166666671517</v>
      </c>
      <c r="L54">
        <v>1000</v>
      </c>
      <c r="M54">
        <v>4.2905109988435299</v>
      </c>
      <c r="N54">
        <v>4.2033916695810696</v>
      </c>
      <c r="O54">
        <f t="shared" si="3"/>
        <v>6042.3755250227869</v>
      </c>
      <c r="P54">
        <f t="shared" si="4"/>
        <v>199.58064068714285</v>
      </c>
    </row>
    <row r="55" spans="1:16" x14ac:dyDescent="0.35">
      <c r="A55" s="6" t="s">
        <v>579</v>
      </c>
      <c r="B55" s="6">
        <v>5</v>
      </c>
      <c r="C55" s="6">
        <v>800</v>
      </c>
      <c r="D55" s="6">
        <v>3</v>
      </c>
      <c r="E55">
        <v>48</v>
      </c>
      <c r="F55">
        <v>2</v>
      </c>
      <c r="G55" s="3">
        <v>45324.598611111112</v>
      </c>
      <c r="H55" s="3">
        <v>45326.534722222219</v>
      </c>
      <c r="I55">
        <f t="shared" si="2"/>
        <v>167279.99999960884</v>
      </c>
      <c r="J55">
        <f t="shared" si="0"/>
        <v>46.466666666558012</v>
      </c>
      <c r="K55">
        <f t="shared" si="1"/>
        <v>1.9361111111065838</v>
      </c>
      <c r="L55">
        <v>1000</v>
      </c>
      <c r="M55">
        <v>4.4306012821282401</v>
      </c>
      <c r="N55">
        <v>4.3430089849409796</v>
      </c>
      <c r="O55">
        <f t="shared" si="3"/>
        <v>6243.075415852657</v>
      </c>
      <c r="P55">
        <f t="shared" si="4"/>
        <v>206.1358271969014</v>
      </c>
    </row>
    <row r="56" spans="1:16" x14ac:dyDescent="0.35">
      <c r="G56" s="3"/>
      <c r="H56" s="3"/>
      <c r="I56" s="3"/>
    </row>
    <row r="57" spans="1:16" x14ac:dyDescent="0.35">
      <c r="G57" s="3"/>
      <c r="H57" s="3"/>
      <c r="I57" s="3"/>
    </row>
    <row r="58" spans="1:16" x14ac:dyDescent="0.35">
      <c r="G58" s="3"/>
      <c r="H58" s="3"/>
      <c r="I58" s="3"/>
    </row>
    <row r="59" spans="1:16" x14ac:dyDescent="0.35">
      <c r="G59" s="3"/>
      <c r="H59" s="3"/>
      <c r="I59" s="3"/>
    </row>
    <row r="60" spans="1:16" x14ac:dyDescent="0.35">
      <c r="G60" s="3"/>
      <c r="H60" s="3"/>
      <c r="I60" s="3"/>
    </row>
    <row r="61" spans="1:16" x14ac:dyDescent="0.35">
      <c r="G61" s="3"/>
      <c r="H61" s="3"/>
      <c r="I61" s="3"/>
    </row>
    <row r="62" spans="1:16" x14ac:dyDescent="0.35">
      <c r="G62" s="3"/>
      <c r="H62" s="3"/>
      <c r="I62" s="3"/>
    </row>
    <row r="63" spans="1:16" x14ac:dyDescent="0.35">
      <c r="G63" s="3"/>
      <c r="H63" s="3"/>
      <c r="I63" s="3"/>
    </row>
    <row r="64" spans="1:16" x14ac:dyDescent="0.35">
      <c r="G64" s="3"/>
      <c r="H64" s="3"/>
      <c r="I64" s="3"/>
    </row>
    <row r="65" spans="7:9" x14ac:dyDescent="0.35">
      <c r="G65" s="3"/>
      <c r="H65" s="3"/>
      <c r="I65" s="3"/>
    </row>
    <row r="66" spans="7:9" x14ac:dyDescent="0.35">
      <c r="G66" s="3"/>
      <c r="H66" s="3"/>
      <c r="I66" s="3"/>
    </row>
    <row r="67" spans="7:9" x14ac:dyDescent="0.35">
      <c r="G67" s="3"/>
      <c r="H67" s="3"/>
      <c r="I67" s="3"/>
    </row>
    <row r="68" spans="7:9" x14ac:dyDescent="0.35">
      <c r="G68" s="3"/>
      <c r="H68" s="3"/>
      <c r="I68" s="3"/>
    </row>
    <row r="69" spans="7:9" x14ac:dyDescent="0.35">
      <c r="G69" s="3"/>
      <c r="H69" s="3"/>
      <c r="I69" s="3"/>
    </row>
    <row r="70" spans="7:9" x14ac:dyDescent="0.35">
      <c r="G70" s="3"/>
      <c r="H70" s="3"/>
      <c r="I70" s="3"/>
    </row>
    <row r="71" spans="7:9" x14ac:dyDescent="0.35">
      <c r="G71" s="3"/>
      <c r="H71" s="3"/>
      <c r="I71" s="3"/>
    </row>
    <row r="72" spans="7:9" x14ac:dyDescent="0.35">
      <c r="G72" s="3"/>
      <c r="H72" s="3"/>
      <c r="I72" s="3"/>
    </row>
    <row r="73" spans="7:9" x14ac:dyDescent="0.35">
      <c r="G73" s="3"/>
      <c r="H73" s="3"/>
      <c r="I73" s="3"/>
    </row>
    <row r="74" spans="7:9" x14ac:dyDescent="0.35">
      <c r="G74" s="3"/>
      <c r="H74" s="3"/>
      <c r="I74" s="3"/>
    </row>
    <row r="75" spans="7:9" x14ac:dyDescent="0.35">
      <c r="G75" s="3"/>
      <c r="H75" s="3"/>
      <c r="I75" s="3"/>
    </row>
    <row r="76" spans="7:9" x14ac:dyDescent="0.35">
      <c r="G76" s="3"/>
      <c r="H76" s="3"/>
      <c r="I76" s="3"/>
    </row>
    <row r="77" spans="7:9" x14ac:dyDescent="0.35">
      <c r="G77" s="3"/>
      <c r="H77" s="3"/>
      <c r="I77" s="3"/>
    </row>
    <row r="78" spans="7:9" x14ac:dyDescent="0.35">
      <c r="G78" s="3"/>
      <c r="H78" s="3"/>
      <c r="I78" s="3"/>
    </row>
    <row r="79" spans="7:9" x14ac:dyDescent="0.35">
      <c r="G79" s="3"/>
      <c r="H79" s="3"/>
      <c r="I79" s="3"/>
    </row>
    <row r="80" spans="7:9" x14ac:dyDescent="0.35">
      <c r="G80" s="3"/>
      <c r="H80" s="3"/>
      <c r="I80" s="3"/>
    </row>
    <row r="81" spans="7:9" x14ac:dyDescent="0.35">
      <c r="G81" s="3"/>
      <c r="H81" s="3"/>
      <c r="I81" s="3"/>
    </row>
    <row r="82" spans="7:9" x14ac:dyDescent="0.35">
      <c r="G82" s="3"/>
      <c r="H82" s="3"/>
      <c r="I82" s="3"/>
    </row>
    <row r="83" spans="7:9" x14ac:dyDescent="0.35">
      <c r="G83" s="3"/>
      <c r="H83" s="3"/>
      <c r="I83" s="3"/>
    </row>
    <row r="84" spans="7:9" x14ac:dyDescent="0.35">
      <c r="G84" s="3"/>
      <c r="H84" s="3"/>
      <c r="I84" s="3"/>
    </row>
    <row r="85" spans="7:9" x14ac:dyDescent="0.35">
      <c r="G85" s="3"/>
      <c r="H85" s="3"/>
      <c r="I85" s="3"/>
    </row>
    <row r="86" spans="7:9" x14ac:dyDescent="0.35">
      <c r="G86" s="3"/>
      <c r="H86" s="3"/>
      <c r="I86" s="3"/>
    </row>
    <row r="87" spans="7:9" x14ac:dyDescent="0.35">
      <c r="G87" s="3"/>
      <c r="H87" s="3"/>
      <c r="I87" s="3"/>
    </row>
    <row r="88" spans="7:9" x14ac:dyDescent="0.35">
      <c r="G88" s="3"/>
      <c r="H88" s="3"/>
      <c r="I88" s="3"/>
    </row>
    <row r="89" spans="7:9" x14ac:dyDescent="0.35">
      <c r="G89" s="3"/>
      <c r="H89" s="3"/>
      <c r="I89" s="3"/>
    </row>
    <row r="90" spans="7:9" x14ac:dyDescent="0.35">
      <c r="G90" s="3"/>
      <c r="H90" s="3"/>
      <c r="I90" s="3"/>
    </row>
    <row r="91" spans="7:9" x14ac:dyDescent="0.35">
      <c r="G91" s="3"/>
      <c r="H91" s="3"/>
      <c r="I91" s="3"/>
    </row>
    <row r="92" spans="7:9" x14ac:dyDescent="0.35">
      <c r="G92" s="3"/>
      <c r="H92" s="3"/>
      <c r="I92" s="3"/>
    </row>
    <row r="93" spans="7:9" x14ac:dyDescent="0.35">
      <c r="G93" s="3"/>
      <c r="H93" s="3"/>
      <c r="I93" s="3"/>
    </row>
    <row r="94" spans="7:9" x14ac:dyDescent="0.35">
      <c r="G94" s="3"/>
      <c r="H94" s="3"/>
      <c r="I94" s="3"/>
    </row>
    <row r="95" spans="7:9" x14ac:dyDescent="0.35">
      <c r="G95" s="3"/>
      <c r="H95" s="3"/>
      <c r="I95" s="3"/>
    </row>
    <row r="96" spans="7:9" x14ac:dyDescent="0.35">
      <c r="G96" s="3"/>
      <c r="H96" s="3"/>
      <c r="I96" s="3"/>
    </row>
    <row r="97" spans="7:9" x14ac:dyDescent="0.35">
      <c r="G97" s="3"/>
      <c r="H97" s="3"/>
      <c r="I97" s="3"/>
    </row>
    <row r="98" spans="7:9" x14ac:dyDescent="0.35">
      <c r="G98" s="3"/>
      <c r="H98" s="3"/>
      <c r="I98" s="3"/>
    </row>
    <row r="99" spans="7:9" x14ac:dyDescent="0.35">
      <c r="G99" s="3"/>
      <c r="H99" s="3"/>
      <c r="I99" s="3"/>
    </row>
    <row r="100" spans="7:9" x14ac:dyDescent="0.35">
      <c r="G100" s="3"/>
      <c r="H100" s="3"/>
      <c r="I100" s="3"/>
    </row>
    <row r="101" spans="7:9" x14ac:dyDescent="0.35">
      <c r="G101" s="3"/>
      <c r="H101" s="3"/>
      <c r="I101" s="3"/>
    </row>
    <row r="102" spans="7:9" x14ac:dyDescent="0.35">
      <c r="G102" s="3"/>
      <c r="H102" s="3"/>
      <c r="I102" s="3"/>
    </row>
    <row r="103" spans="7:9" x14ac:dyDescent="0.35">
      <c r="G103" s="3"/>
      <c r="H103" s="3"/>
      <c r="I103" s="3"/>
    </row>
    <row r="104" spans="7:9" x14ac:dyDescent="0.35">
      <c r="G104" s="3"/>
      <c r="H104" s="3"/>
      <c r="I104" s="3"/>
    </row>
    <row r="105" spans="7:9" x14ac:dyDescent="0.35">
      <c r="G105" s="3"/>
      <c r="H105" s="3"/>
      <c r="I105" s="3"/>
    </row>
    <row r="106" spans="7:9" x14ac:dyDescent="0.35">
      <c r="G106" s="3"/>
      <c r="H106" s="3"/>
      <c r="I106" s="3"/>
    </row>
    <row r="107" spans="7:9" x14ac:dyDescent="0.35">
      <c r="G107" s="3"/>
      <c r="H107" s="3"/>
      <c r="I107" s="3"/>
    </row>
    <row r="108" spans="7:9" x14ac:dyDescent="0.35">
      <c r="G108" s="3"/>
      <c r="H108" s="3"/>
      <c r="I108" s="3"/>
    </row>
    <row r="109" spans="7:9" x14ac:dyDescent="0.35">
      <c r="G109" s="3"/>
      <c r="H109" s="3"/>
      <c r="I109" s="3"/>
    </row>
    <row r="110" spans="7:9" x14ac:dyDescent="0.35">
      <c r="G110" s="3"/>
      <c r="H110" s="3"/>
      <c r="I110" s="3"/>
    </row>
    <row r="111" spans="7:9" x14ac:dyDescent="0.35">
      <c r="G111" s="3"/>
      <c r="H111" s="3"/>
      <c r="I111" s="3"/>
    </row>
    <row r="112" spans="7:9" x14ac:dyDescent="0.35">
      <c r="G112" s="3"/>
      <c r="H112" s="3"/>
      <c r="I112" s="3"/>
    </row>
    <row r="113" spans="7:9" x14ac:dyDescent="0.35">
      <c r="G113" s="3"/>
      <c r="H113" s="3"/>
      <c r="I113" s="3"/>
    </row>
    <row r="114" spans="7:9" x14ac:dyDescent="0.35">
      <c r="G114" s="3"/>
      <c r="H114" s="3"/>
      <c r="I114" s="3"/>
    </row>
    <row r="115" spans="7:9" x14ac:dyDescent="0.35">
      <c r="G115" s="3"/>
      <c r="H115" s="3"/>
      <c r="I115" s="3"/>
    </row>
    <row r="116" spans="7:9" x14ac:dyDescent="0.35">
      <c r="G116" s="3"/>
      <c r="H116" s="3"/>
      <c r="I116" s="3"/>
    </row>
    <row r="117" spans="7:9" x14ac:dyDescent="0.35">
      <c r="G117" s="3"/>
      <c r="H117" s="3"/>
      <c r="I117" s="3"/>
    </row>
    <row r="118" spans="7:9" x14ac:dyDescent="0.35">
      <c r="G118" s="3"/>
      <c r="H118" s="3"/>
      <c r="I118" s="3"/>
    </row>
    <row r="119" spans="7:9" x14ac:dyDescent="0.35">
      <c r="G119" s="3"/>
      <c r="H119" s="3"/>
      <c r="I119" s="3"/>
    </row>
    <row r="120" spans="7:9" x14ac:dyDescent="0.35">
      <c r="G120" s="3"/>
      <c r="H120" s="3"/>
      <c r="I120" s="3"/>
    </row>
    <row r="121" spans="7:9" x14ac:dyDescent="0.35">
      <c r="G121" s="3"/>
      <c r="H121" s="3"/>
      <c r="I121" s="3"/>
    </row>
    <row r="122" spans="7:9" x14ac:dyDescent="0.35">
      <c r="G122" s="8"/>
      <c r="H122" s="8"/>
      <c r="I122" s="8"/>
    </row>
    <row r="123" spans="7:9" x14ac:dyDescent="0.35">
      <c r="G123" s="8"/>
      <c r="H123" s="8"/>
      <c r="I123" s="8"/>
    </row>
    <row r="124" spans="7:9" x14ac:dyDescent="0.35">
      <c r="G124" s="8"/>
      <c r="H124" s="8"/>
      <c r="I124" s="8"/>
    </row>
    <row r="125" spans="7:9" x14ac:dyDescent="0.35">
      <c r="G125" s="8"/>
      <c r="H125" s="8"/>
      <c r="I125" s="8"/>
    </row>
    <row r="126" spans="7:9" x14ac:dyDescent="0.35">
      <c r="G126" s="8"/>
      <c r="H126" s="8"/>
      <c r="I126" s="8"/>
    </row>
    <row r="127" spans="7:9" x14ac:dyDescent="0.35">
      <c r="G127" s="8"/>
      <c r="H127" s="8"/>
      <c r="I127" s="8"/>
    </row>
    <row r="128" spans="7:9" x14ac:dyDescent="0.35">
      <c r="G128" s="8"/>
      <c r="H128" s="8"/>
      <c r="I128" s="8"/>
    </row>
    <row r="129" spans="7:9" x14ac:dyDescent="0.35">
      <c r="G129" s="8"/>
      <c r="H129" s="8"/>
      <c r="I129" s="8"/>
    </row>
    <row r="130" spans="7:9" x14ac:dyDescent="0.35">
      <c r="G130" s="8"/>
      <c r="H130" s="8"/>
      <c r="I130" s="8"/>
    </row>
    <row r="131" spans="7:9" x14ac:dyDescent="0.35">
      <c r="G131" s="8"/>
      <c r="H131" s="8"/>
      <c r="I131" s="8"/>
    </row>
    <row r="132" spans="7:9" x14ac:dyDescent="0.35">
      <c r="G132" s="8"/>
      <c r="H132" s="8"/>
      <c r="I132" s="8"/>
    </row>
    <row r="133" spans="7:9" x14ac:dyDescent="0.35">
      <c r="G133" s="8"/>
      <c r="H133" s="8"/>
      <c r="I133" s="8"/>
    </row>
    <row r="134" spans="7:9" x14ac:dyDescent="0.35">
      <c r="G134" s="8"/>
      <c r="H134" s="8"/>
      <c r="I134" s="8"/>
    </row>
    <row r="135" spans="7:9" x14ac:dyDescent="0.35">
      <c r="G135" s="8"/>
      <c r="H135" s="8"/>
      <c r="I135" s="8"/>
    </row>
    <row r="136" spans="7:9" x14ac:dyDescent="0.35">
      <c r="G136" s="8"/>
      <c r="H136" s="8"/>
      <c r="I136" s="8"/>
    </row>
    <row r="137" spans="7:9" x14ac:dyDescent="0.35">
      <c r="G137" s="8"/>
      <c r="H137" s="8"/>
      <c r="I137" s="8"/>
    </row>
    <row r="138" spans="7:9" x14ac:dyDescent="0.35">
      <c r="G138" s="8"/>
      <c r="H138" s="8"/>
      <c r="I138" s="8"/>
    </row>
    <row r="139" spans="7:9" x14ac:dyDescent="0.35">
      <c r="G139" s="8"/>
      <c r="H139" s="8"/>
      <c r="I139" s="8"/>
    </row>
    <row r="140" spans="7:9" x14ac:dyDescent="0.35">
      <c r="G140" s="8"/>
      <c r="H140" s="8"/>
      <c r="I140" s="8"/>
    </row>
    <row r="141" spans="7:9" x14ac:dyDescent="0.35">
      <c r="G141" s="8"/>
      <c r="H141" s="8"/>
      <c r="I141" s="8"/>
    </row>
    <row r="142" spans="7:9" x14ac:dyDescent="0.35">
      <c r="G142" s="8"/>
      <c r="H142" s="8"/>
      <c r="I142" s="8"/>
    </row>
    <row r="143" spans="7:9" x14ac:dyDescent="0.35">
      <c r="G143" s="8"/>
      <c r="H143" s="8"/>
      <c r="I143" s="8"/>
    </row>
    <row r="144" spans="7:9" x14ac:dyDescent="0.35">
      <c r="G144" s="8"/>
      <c r="H144" s="8"/>
      <c r="I144" s="8"/>
    </row>
    <row r="145" spans="7:9" x14ac:dyDescent="0.35">
      <c r="G145" s="8"/>
      <c r="H145" s="8"/>
      <c r="I145" s="8"/>
    </row>
    <row r="146" spans="7:9" x14ac:dyDescent="0.35">
      <c r="G146" s="8"/>
      <c r="H146" s="8"/>
      <c r="I146" s="8"/>
    </row>
    <row r="147" spans="7:9" x14ac:dyDescent="0.35">
      <c r="G147" s="8"/>
      <c r="H147" s="8"/>
      <c r="I147" s="8"/>
    </row>
    <row r="148" spans="7:9" x14ac:dyDescent="0.35">
      <c r="G148" s="8"/>
      <c r="H148" s="8"/>
      <c r="I148" s="8"/>
    </row>
    <row r="149" spans="7:9" x14ac:dyDescent="0.35">
      <c r="G149" s="8"/>
      <c r="H149" s="8"/>
      <c r="I149" s="8"/>
    </row>
    <row r="150" spans="7:9" x14ac:dyDescent="0.35">
      <c r="G150" s="8"/>
      <c r="H150" s="8"/>
      <c r="I150" s="8"/>
    </row>
    <row r="151" spans="7:9" x14ac:dyDescent="0.35">
      <c r="G151" s="8"/>
      <c r="H151" s="8"/>
      <c r="I151" s="8"/>
    </row>
    <row r="152" spans="7:9" x14ac:dyDescent="0.35">
      <c r="G152" s="8"/>
      <c r="H152" s="8"/>
      <c r="I152" s="8"/>
    </row>
    <row r="153" spans="7:9" x14ac:dyDescent="0.35">
      <c r="G153" s="8"/>
      <c r="H153" s="8"/>
      <c r="I153" s="8"/>
    </row>
    <row r="154" spans="7:9" x14ac:dyDescent="0.35">
      <c r="G154" s="8"/>
      <c r="H154" s="8"/>
      <c r="I154" s="8"/>
    </row>
    <row r="155" spans="7:9" x14ac:dyDescent="0.35">
      <c r="G155" s="8"/>
      <c r="H155" s="8"/>
      <c r="I155" s="8"/>
    </row>
    <row r="156" spans="7:9" x14ac:dyDescent="0.35">
      <c r="G156" s="8"/>
      <c r="H156" s="8"/>
      <c r="I156" s="8"/>
    </row>
    <row r="157" spans="7:9" x14ac:dyDescent="0.35">
      <c r="G157" s="8"/>
      <c r="H157" s="8"/>
      <c r="I157" s="8"/>
    </row>
    <row r="158" spans="7:9" x14ac:dyDescent="0.35">
      <c r="G158" s="8"/>
      <c r="H158" s="8"/>
      <c r="I158" s="8"/>
    </row>
    <row r="159" spans="7:9" x14ac:dyDescent="0.35">
      <c r="G159" s="8"/>
      <c r="H159" s="8"/>
      <c r="I159" s="8"/>
    </row>
    <row r="160" spans="7:9" x14ac:dyDescent="0.35">
      <c r="G160" s="8"/>
      <c r="H160" s="8"/>
      <c r="I160" s="8"/>
    </row>
    <row r="161" spans="7:9" x14ac:dyDescent="0.35">
      <c r="G161" s="8"/>
      <c r="H161" s="8"/>
      <c r="I161" s="8"/>
    </row>
    <row r="162" spans="7:9" x14ac:dyDescent="0.35">
      <c r="G162" s="8"/>
      <c r="H162" s="8"/>
      <c r="I162" s="8"/>
    </row>
    <row r="163" spans="7:9" x14ac:dyDescent="0.35">
      <c r="G163" s="8"/>
      <c r="H163" s="8"/>
      <c r="I163" s="8"/>
    </row>
    <row r="164" spans="7:9" x14ac:dyDescent="0.35">
      <c r="G164" s="8"/>
      <c r="H164" s="8"/>
      <c r="I164" s="8"/>
    </row>
    <row r="165" spans="7:9" x14ac:dyDescent="0.35">
      <c r="G165" s="8"/>
      <c r="H165" s="8"/>
      <c r="I165" s="8"/>
    </row>
    <row r="166" spans="7:9" x14ac:dyDescent="0.35">
      <c r="G166" s="8"/>
      <c r="H166" s="8"/>
      <c r="I166" s="8"/>
    </row>
    <row r="167" spans="7:9" x14ac:dyDescent="0.35">
      <c r="G167" s="8"/>
      <c r="H167" s="8"/>
      <c r="I167" s="8"/>
    </row>
    <row r="168" spans="7:9" x14ac:dyDescent="0.35">
      <c r="G168" s="8"/>
      <c r="H168" s="8"/>
      <c r="I168" s="8"/>
    </row>
    <row r="169" spans="7:9" x14ac:dyDescent="0.35">
      <c r="G169" s="8"/>
      <c r="H169" s="8"/>
      <c r="I169" s="8"/>
    </row>
    <row r="170" spans="7:9" x14ac:dyDescent="0.35">
      <c r="G170" s="8"/>
      <c r="H170" s="8"/>
      <c r="I170" s="8"/>
    </row>
    <row r="171" spans="7:9" x14ac:dyDescent="0.35">
      <c r="G171" s="8"/>
      <c r="H171" s="8"/>
      <c r="I171" s="8"/>
    </row>
    <row r="172" spans="7:9" x14ac:dyDescent="0.35">
      <c r="G172" s="8"/>
      <c r="H172" s="8"/>
      <c r="I172" s="8"/>
    </row>
    <row r="173" spans="7:9" x14ac:dyDescent="0.35">
      <c r="G173" s="8"/>
      <c r="H173" s="8"/>
      <c r="I173" s="8"/>
    </row>
    <row r="174" spans="7:9" x14ac:dyDescent="0.35">
      <c r="G174" s="8"/>
      <c r="H174" s="8"/>
      <c r="I174" s="8"/>
    </row>
    <row r="175" spans="7:9" x14ac:dyDescent="0.35">
      <c r="G175" s="8"/>
      <c r="H175" s="8"/>
      <c r="I175" s="8"/>
    </row>
    <row r="176" spans="7:9" x14ac:dyDescent="0.35">
      <c r="G176" s="8"/>
      <c r="H176" s="8"/>
      <c r="I176" s="8"/>
    </row>
    <row r="177" spans="7:9" x14ac:dyDescent="0.35">
      <c r="G177" s="8"/>
      <c r="H177" s="8"/>
      <c r="I177" s="8"/>
    </row>
    <row r="178" spans="7:9" x14ac:dyDescent="0.35">
      <c r="G178" s="8"/>
      <c r="H178" s="8"/>
      <c r="I178" s="8"/>
    </row>
    <row r="179" spans="7:9" x14ac:dyDescent="0.35">
      <c r="G179" s="8"/>
      <c r="H179" s="8"/>
      <c r="I179" s="8"/>
    </row>
    <row r="180" spans="7:9" x14ac:dyDescent="0.35">
      <c r="G180" s="8"/>
      <c r="H180" s="8"/>
      <c r="I180" s="8"/>
    </row>
    <row r="181" spans="7:9" x14ac:dyDescent="0.35">
      <c r="G181" s="8"/>
      <c r="H181" s="8"/>
      <c r="I181" s="8"/>
    </row>
    <row r="182" spans="7:9" x14ac:dyDescent="0.35">
      <c r="G182" s="8"/>
      <c r="H182" s="8"/>
      <c r="I182" s="8"/>
    </row>
    <row r="183" spans="7:9" x14ac:dyDescent="0.35">
      <c r="G183" s="8"/>
      <c r="H183" s="8"/>
      <c r="I183" s="8"/>
    </row>
    <row r="184" spans="7:9" x14ac:dyDescent="0.35">
      <c r="G184" s="8"/>
      <c r="H184" s="8"/>
      <c r="I184" s="8"/>
    </row>
    <row r="185" spans="7:9" x14ac:dyDescent="0.35">
      <c r="G185" s="8"/>
      <c r="H185" s="8"/>
      <c r="I185" s="8"/>
    </row>
    <row r="186" spans="7:9" x14ac:dyDescent="0.35">
      <c r="G186" s="8"/>
      <c r="H186" s="8"/>
      <c r="I186" s="8"/>
    </row>
    <row r="187" spans="7:9" x14ac:dyDescent="0.35">
      <c r="G187" s="8"/>
      <c r="H187" s="8"/>
      <c r="I187" s="8"/>
    </row>
    <row r="188" spans="7:9" x14ac:dyDescent="0.35">
      <c r="G188" s="8"/>
      <c r="H188" s="8"/>
      <c r="I188" s="8"/>
    </row>
    <row r="189" spans="7:9" x14ac:dyDescent="0.35">
      <c r="G189" s="8"/>
      <c r="H189" s="8"/>
      <c r="I189" s="8"/>
    </row>
    <row r="190" spans="7:9" x14ac:dyDescent="0.35">
      <c r="G190" s="8"/>
      <c r="H190" s="8"/>
      <c r="I190" s="8"/>
    </row>
    <row r="191" spans="7:9" x14ac:dyDescent="0.35">
      <c r="G191" s="8"/>
      <c r="H191" s="8"/>
      <c r="I191" s="8"/>
    </row>
    <row r="192" spans="7:9" x14ac:dyDescent="0.35">
      <c r="G192" s="8"/>
      <c r="H192" s="8"/>
      <c r="I192" s="8"/>
    </row>
    <row r="193" spans="7:9" x14ac:dyDescent="0.35">
      <c r="G193" s="8"/>
      <c r="H193" s="8"/>
      <c r="I193" s="8"/>
    </row>
    <row r="194" spans="7:9" x14ac:dyDescent="0.35">
      <c r="G194" s="8"/>
      <c r="H194" s="8"/>
      <c r="I194" s="8"/>
    </row>
    <row r="195" spans="7:9" x14ac:dyDescent="0.35">
      <c r="G195" s="8"/>
      <c r="H195" s="8"/>
      <c r="I195" s="8"/>
    </row>
    <row r="196" spans="7:9" x14ac:dyDescent="0.35">
      <c r="G196" s="8"/>
      <c r="H196" s="8"/>
      <c r="I196" s="8"/>
    </row>
    <row r="197" spans="7:9" x14ac:dyDescent="0.35">
      <c r="G197" s="8"/>
      <c r="H197" s="8"/>
      <c r="I197" s="8"/>
    </row>
    <row r="198" spans="7:9" x14ac:dyDescent="0.35">
      <c r="G198" s="8"/>
      <c r="H198" s="8"/>
      <c r="I198" s="8"/>
    </row>
    <row r="199" spans="7:9" x14ac:dyDescent="0.35">
      <c r="G199" s="8"/>
      <c r="H199" s="8"/>
      <c r="I199" s="8"/>
    </row>
    <row r="200" spans="7:9" x14ac:dyDescent="0.35">
      <c r="G200" s="8"/>
      <c r="H200" s="8"/>
      <c r="I200" s="8"/>
    </row>
    <row r="201" spans="7:9" x14ac:dyDescent="0.35">
      <c r="G201" s="8"/>
      <c r="H201" s="8"/>
      <c r="I201" s="8"/>
    </row>
    <row r="202" spans="7:9" x14ac:dyDescent="0.35">
      <c r="G202" s="8"/>
      <c r="H202" s="8"/>
      <c r="I202" s="8"/>
    </row>
    <row r="203" spans="7:9" x14ac:dyDescent="0.35">
      <c r="G203" s="8"/>
      <c r="H203" s="8"/>
      <c r="I203" s="8"/>
    </row>
    <row r="204" spans="7:9" x14ac:dyDescent="0.35">
      <c r="G204" s="8"/>
      <c r="H204" s="8"/>
      <c r="I204" s="8"/>
    </row>
    <row r="205" spans="7:9" x14ac:dyDescent="0.35">
      <c r="G205" s="8"/>
      <c r="H205" s="8"/>
      <c r="I205" s="8"/>
    </row>
    <row r="206" spans="7:9" x14ac:dyDescent="0.35">
      <c r="G206" s="8"/>
      <c r="H206" s="8"/>
      <c r="I206" s="8"/>
    </row>
    <row r="207" spans="7:9" x14ac:dyDescent="0.35">
      <c r="G207" s="8"/>
      <c r="H207" s="8"/>
      <c r="I207" s="8"/>
    </row>
    <row r="208" spans="7:9" x14ac:dyDescent="0.35">
      <c r="G208" s="8"/>
      <c r="H208" s="8"/>
      <c r="I208" s="8"/>
    </row>
    <row r="209" spans="7:9" x14ac:dyDescent="0.35">
      <c r="G209" s="8"/>
      <c r="H209" s="8"/>
      <c r="I209" s="8"/>
    </row>
    <row r="210" spans="7:9" x14ac:dyDescent="0.35">
      <c r="G210" s="8"/>
      <c r="H210" s="8"/>
      <c r="I210" s="8"/>
    </row>
    <row r="211" spans="7:9" x14ac:dyDescent="0.35">
      <c r="G211" s="8"/>
      <c r="H211" s="8"/>
      <c r="I211" s="8"/>
    </row>
    <row r="212" spans="7:9" x14ac:dyDescent="0.35">
      <c r="G212" s="8"/>
      <c r="H212" s="8"/>
      <c r="I212" s="8"/>
    </row>
    <row r="213" spans="7:9" x14ac:dyDescent="0.35">
      <c r="G213" s="8"/>
      <c r="H213" s="8"/>
      <c r="I213" s="8"/>
    </row>
    <row r="214" spans="7:9" x14ac:dyDescent="0.35">
      <c r="G214" s="8"/>
      <c r="H214" s="8"/>
      <c r="I214" s="8"/>
    </row>
    <row r="215" spans="7:9" x14ac:dyDescent="0.35">
      <c r="G215" s="8"/>
      <c r="H215" s="8"/>
      <c r="I215" s="8"/>
    </row>
    <row r="216" spans="7:9" x14ac:dyDescent="0.35">
      <c r="G216" s="8"/>
      <c r="H216" s="8"/>
      <c r="I216" s="8"/>
    </row>
    <row r="217" spans="7:9" x14ac:dyDescent="0.35">
      <c r="G217" s="8"/>
      <c r="H217" s="8"/>
      <c r="I217" s="8"/>
    </row>
    <row r="218" spans="7:9" x14ac:dyDescent="0.35">
      <c r="G218" s="8"/>
      <c r="H218" s="8"/>
      <c r="I218" s="8"/>
    </row>
    <row r="219" spans="7:9" x14ac:dyDescent="0.35">
      <c r="G219" s="8"/>
      <c r="H219" s="8"/>
      <c r="I219" s="8"/>
    </row>
    <row r="220" spans="7:9" x14ac:dyDescent="0.35">
      <c r="G220" s="8"/>
      <c r="H220" s="8"/>
      <c r="I220" s="8"/>
    </row>
    <row r="221" spans="7:9" x14ac:dyDescent="0.35">
      <c r="G221" s="8"/>
      <c r="H221" s="8"/>
      <c r="I221" s="8"/>
    </row>
    <row r="222" spans="7:9" x14ac:dyDescent="0.35">
      <c r="G222" s="8"/>
      <c r="H222" s="8"/>
      <c r="I222" s="8"/>
    </row>
    <row r="223" spans="7:9" x14ac:dyDescent="0.35">
      <c r="G223" s="8"/>
      <c r="H223" s="8"/>
      <c r="I223" s="8"/>
    </row>
    <row r="224" spans="7:9" x14ac:dyDescent="0.35">
      <c r="G224" s="8"/>
      <c r="H224" s="8"/>
      <c r="I224" s="8"/>
    </row>
    <row r="225" spans="7:9" x14ac:dyDescent="0.35">
      <c r="G225" s="8"/>
      <c r="H225" s="8"/>
      <c r="I225" s="8"/>
    </row>
    <row r="226" spans="7:9" x14ac:dyDescent="0.35">
      <c r="G226" s="8"/>
      <c r="H226" s="8"/>
      <c r="I226" s="8"/>
    </row>
    <row r="227" spans="7:9" x14ac:dyDescent="0.35">
      <c r="G227" s="8"/>
      <c r="H227" s="8"/>
      <c r="I227" s="8"/>
    </row>
    <row r="228" spans="7:9" x14ac:dyDescent="0.35">
      <c r="G228" s="8"/>
      <c r="H228" s="8"/>
      <c r="I228" s="8"/>
    </row>
    <row r="229" spans="7:9" x14ac:dyDescent="0.35">
      <c r="G229" s="8"/>
      <c r="H229" s="8"/>
      <c r="I229" s="8"/>
    </row>
    <row r="230" spans="7:9" x14ac:dyDescent="0.35">
      <c r="G230" s="8"/>
      <c r="H230" s="8"/>
      <c r="I230" s="8"/>
    </row>
    <row r="231" spans="7:9" x14ac:dyDescent="0.35">
      <c r="G231" s="8"/>
      <c r="H231" s="8"/>
      <c r="I231" s="8"/>
    </row>
    <row r="232" spans="7:9" x14ac:dyDescent="0.35">
      <c r="G232" s="8"/>
      <c r="H232" s="8"/>
      <c r="I232" s="8"/>
    </row>
    <row r="233" spans="7:9" x14ac:dyDescent="0.35">
      <c r="G233" s="8"/>
      <c r="H233" s="8"/>
      <c r="I233" s="8"/>
    </row>
    <row r="234" spans="7:9" x14ac:dyDescent="0.35">
      <c r="G234" s="8"/>
      <c r="H234" s="8"/>
      <c r="I234" s="8"/>
    </row>
    <row r="235" spans="7:9" x14ac:dyDescent="0.35">
      <c r="G235" s="8"/>
      <c r="H235" s="8"/>
      <c r="I235" s="8"/>
    </row>
    <row r="236" spans="7:9" x14ac:dyDescent="0.35">
      <c r="G236" s="8"/>
      <c r="H236" s="8"/>
      <c r="I236" s="8"/>
    </row>
    <row r="237" spans="7:9" x14ac:dyDescent="0.35">
      <c r="G237" s="8"/>
      <c r="H237" s="8"/>
      <c r="I237" s="8"/>
    </row>
    <row r="238" spans="7:9" x14ac:dyDescent="0.35">
      <c r="G238" s="8"/>
      <c r="H238" s="8"/>
      <c r="I238" s="8"/>
    </row>
    <row r="239" spans="7:9" x14ac:dyDescent="0.35">
      <c r="G239" s="8"/>
      <c r="H239" s="8"/>
      <c r="I239" s="8"/>
    </row>
    <row r="240" spans="7:9" x14ac:dyDescent="0.35">
      <c r="G240" s="8"/>
      <c r="H240" s="8"/>
      <c r="I240" s="8"/>
    </row>
    <row r="241" spans="7:9" x14ac:dyDescent="0.35">
      <c r="G241" s="8"/>
      <c r="H241" s="8"/>
      <c r="I241" s="8"/>
    </row>
    <row r="242" spans="7:9" x14ac:dyDescent="0.35">
      <c r="G242" s="8"/>
      <c r="H242" s="8"/>
      <c r="I242" s="8"/>
    </row>
    <row r="243" spans="7:9" x14ac:dyDescent="0.35">
      <c r="G243" s="8"/>
      <c r="H243" s="8"/>
      <c r="I243" s="8"/>
    </row>
    <row r="244" spans="7:9" x14ac:dyDescent="0.35">
      <c r="G244" s="8"/>
      <c r="H244" s="8"/>
      <c r="I244" s="8"/>
    </row>
    <row r="245" spans="7:9" x14ac:dyDescent="0.35">
      <c r="G245" s="8"/>
      <c r="H245" s="8"/>
      <c r="I245" s="8"/>
    </row>
    <row r="246" spans="7:9" x14ac:dyDescent="0.35">
      <c r="G246" s="8"/>
      <c r="H246" s="8"/>
      <c r="I246" s="8"/>
    </row>
    <row r="247" spans="7:9" x14ac:dyDescent="0.35">
      <c r="G247" s="8"/>
      <c r="H247" s="8"/>
      <c r="I247" s="8"/>
    </row>
    <row r="248" spans="7:9" x14ac:dyDescent="0.35">
      <c r="G248" s="8"/>
      <c r="H248" s="8"/>
      <c r="I248" s="8"/>
    </row>
    <row r="249" spans="7:9" x14ac:dyDescent="0.35">
      <c r="G249" s="8"/>
      <c r="H249" s="8"/>
      <c r="I249" s="8"/>
    </row>
    <row r="250" spans="7:9" x14ac:dyDescent="0.35">
      <c r="G250" s="8"/>
      <c r="H250" s="8"/>
      <c r="I250" s="8"/>
    </row>
    <row r="251" spans="7:9" x14ac:dyDescent="0.35">
      <c r="G251" s="8"/>
      <c r="H251" s="8"/>
      <c r="I251" s="8"/>
    </row>
    <row r="252" spans="7:9" x14ac:dyDescent="0.35">
      <c r="G252" s="8"/>
      <c r="H252" s="8"/>
      <c r="I252" s="8"/>
    </row>
    <row r="253" spans="7:9" x14ac:dyDescent="0.35">
      <c r="G253" s="8"/>
      <c r="H253" s="8"/>
      <c r="I253" s="8"/>
    </row>
    <row r="254" spans="7:9" x14ac:dyDescent="0.35">
      <c r="G254" s="8"/>
      <c r="H254" s="8"/>
      <c r="I254" s="8"/>
    </row>
    <row r="255" spans="7:9" x14ac:dyDescent="0.35">
      <c r="G255" s="8"/>
      <c r="H255" s="8"/>
      <c r="I255" s="8"/>
    </row>
    <row r="256" spans="7:9" x14ac:dyDescent="0.35">
      <c r="G256" s="8"/>
      <c r="H256" s="8"/>
      <c r="I256" s="8"/>
    </row>
    <row r="257" spans="7:9" x14ac:dyDescent="0.35">
      <c r="G257" s="8"/>
      <c r="H257" s="8"/>
      <c r="I257" s="8"/>
    </row>
    <row r="258" spans="7:9" x14ac:dyDescent="0.35">
      <c r="G258" s="8"/>
      <c r="H258" s="8"/>
      <c r="I258" s="8"/>
    </row>
    <row r="259" spans="7:9" x14ac:dyDescent="0.35">
      <c r="G259" s="8"/>
      <c r="H259" s="8"/>
      <c r="I259" s="8"/>
    </row>
    <row r="260" spans="7:9" x14ac:dyDescent="0.35">
      <c r="G260" s="8"/>
      <c r="H260" s="8"/>
      <c r="I260" s="8"/>
    </row>
    <row r="261" spans="7:9" x14ac:dyDescent="0.35">
      <c r="G261" s="8"/>
      <c r="H261" s="8"/>
      <c r="I261" s="8"/>
    </row>
    <row r="262" spans="7:9" x14ac:dyDescent="0.35">
      <c r="G262" s="8"/>
      <c r="H262" s="8"/>
      <c r="I262" s="8"/>
    </row>
    <row r="263" spans="7:9" x14ac:dyDescent="0.35">
      <c r="G263" s="8"/>
      <c r="H263" s="8"/>
      <c r="I263" s="8"/>
    </row>
    <row r="264" spans="7:9" x14ac:dyDescent="0.35">
      <c r="G264" s="8"/>
      <c r="H264" s="8"/>
      <c r="I264" s="8"/>
    </row>
    <row r="265" spans="7:9" x14ac:dyDescent="0.35">
      <c r="G265" s="8"/>
      <c r="H265" s="8"/>
      <c r="I265" s="8"/>
    </row>
    <row r="266" spans="7:9" x14ac:dyDescent="0.35">
      <c r="G266" s="8"/>
      <c r="H266" s="8"/>
      <c r="I266" s="8"/>
    </row>
    <row r="267" spans="7:9" x14ac:dyDescent="0.35">
      <c r="G267" s="8"/>
      <c r="H267" s="8"/>
      <c r="I267" s="8"/>
    </row>
    <row r="268" spans="7:9" x14ac:dyDescent="0.35">
      <c r="G268" s="8"/>
      <c r="H268" s="8"/>
      <c r="I268" s="8"/>
    </row>
    <row r="269" spans="7:9" x14ac:dyDescent="0.35">
      <c r="G269" s="8"/>
      <c r="H269" s="8"/>
      <c r="I269" s="8"/>
    </row>
    <row r="270" spans="7:9" x14ac:dyDescent="0.35">
      <c r="G270" s="8"/>
      <c r="H270" s="8"/>
      <c r="I270" s="8"/>
    </row>
    <row r="271" spans="7:9" x14ac:dyDescent="0.35">
      <c r="G271" s="8"/>
      <c r="H271" s="8"/>
      <c r="I271" s="8"/>
    </row>
    <row r="272" spans="7:9" x14ac:dyDescent="0.35">
      <c r="G272" s="8"/>
      <c r="H272" s="8"/>
      <c r="I272" s="8"/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</sheetPr>
  <dimension ref="A1:R51"/>
  <sheetViews>
    <sheetView topLeftCell="B1" workbookViewId="0">
      <selection activeCell="R51" sqref="R51"/>
    </sheetView>
  </sheetViews>
  <sheetFormatPr defaultColWidth="9" defaultRowHeight="14.15" x14ac:dyDescent="0.35"/>
  <cols>
    <col min="1" max="1" width="11.640625" customWidth="1"/>
    <col min="2" max="2" width="20.85546875" customWidth="1"/>
    <col min="3" max="3" width="13" customWidth="1"/>
    <col min="4" max="4" width="10.140625" customWidth="1"/>
    <col min="5" max="5" width="11.640625" customWidth="1"/>
    <col min="8" max="8" width="3.140625" customWidth="1"/>
    <col min="9" max="9" width="9" hidden="1" customWidth="1"/>
    <col min="10" max="10" width="13.640625" hidden="1" customWidth="1"/>
    <col min="11" max="11" width="11.640625" customWidth="1"/>
    <col min="12" max="12" width="16.140625" customWidth="1"/>
    <col min="13" max="13" width="13.140625" customWidth="1"/>
    <col min="14" max="14" width="12.640625" customWidth="1"/>
    <col min="15" max="16" width="10.640625" customWidth="1"/>
  </cols>
  <sheetData>
    <row r="1" spans="1:18" x14ac:dyDescent="0.35">
      <c r="A1" t="s">
        <v>0</v>
      </c>
      <c r="B1" t="s">
        <v>1</v>
      </c>
      <c r="C1" s="6" t="s">
        <v>580</v>
      </c>
      <c r="D1" s="6" t="s">
        <v>577</v>
      </c>
      <c r="E1" s="6" t="s">
        <v>578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s="6" t="s">
        <v>589</v>
      </c>
      <c r="L1" s="6" t="s">
        <v>590</v>
      </c>
      <c r="M1" s="6" t="s">
        <v>596</v>
      </c>
      <c r="N1" s="6" t="s">
        <v>597</v>
      </c>
      <c r="O1" s="6" t="s">
        <v>608</v>
      </c>
      <c r="P1" s="6" t="s">
        <v>609</v>
      </c>
    </row>
    <row r="2" spans="1:18" x14ac:dyDescent="0.35">
      <c r="A2" t="s">
        <v>562</v>
      </c>
      <c r="B2" t="s">
        <v>490</v>
      </c>
      <c r="C2">
        <v>1</v>
      </c>
      <c r="D2">
        <v>240</v>
      </c>
      <c r="E2">
        <v>10</v>
      </c>
      <c r="F2">
        <v>23.49</v>
      </c>
      <c r="G2">
        <v>17.010000000000002</v>
      </c>
      <c r="H2">
        <v>10.56</v>
      </c>
      <c r="I2">
        <v>0.53059999999999996</v>
      </c>
      <c r="J2">
        <v>9.7799999999999998E-2</v>
      </c>
      <c r="K2">
        <v>17.433479803766399</v>
      </c>
      <c r="L2">
        <v>73.765019752260798</v>
      </c>
      <c r="M2">
        <f>K2*30/1000/J2</f>
        <v>5.3476931913393875</v>
      </c>
      <c r="N2">
        <f>L2/1000*30/J2</f>
        <v>22.627306672472638</v>
      </c>
      <c r="O2">
        <f>M2*0.6917</f>
        <v>3.6989993804494543</v>
      </c>
      <c r="P2">
        <f>N2*0.3083</f>
        <v>6.9759986471233146</v>
      </c>
      <c r="Q2">
        <f>(N2-M2)*0.3083</f>
        <v>5.327304836233381</v>
      </c>
    </row>
    <row r="3" spans="1:18" x14ac:dyDescent="0.35">
      <c r="A3" t="s">
        <v>562</v>
      </c>
      <c r="B3" t="s">
        <v>491</v>
      </c>
      <c r="C3">
        <v>1</v>
      </c>
      <c r="D3">
        <v>240</v>
      </c>
      <c r="E3">
        <v>10</v>
      </c>
      <c r="F3">
        <v>22.09</v>
      </c>
      <c r="G3">
        <v>16.04</v>
      </c>
      <c r="H3">
        <v>9.4499999999999993</v>
      </c>
      <c r="I3">
        <v>0.44590000000000002</v>
      </c>
      <c r="J3">
        <v>8.5500000000000007E-2</v>
      </c>
      <c r="K3">
        <v>15.3328861432138</v>
      </c>
      <c r="L3">
        <v>58.584039877329303</v>
      </c>
      <c r="M3">
        <f t="shared" ref="M3:M51" si="0">K3*30/1000/J3</f>
        <v>5.3799600502504559</v>
      </c>
      <c r="N3">
        <f t="shared" ref="N3:N51" si="1">L3/1000*30/J3</f>
        <v>20.555803465729579</v>
      </c>
      <c r="O3">
        <f t="shared" ref="O3:O51" si="2">M3*0.6917</f>
        <v>3.7213183667582403</v>
      </c>
      <c r="P3">
        <f t="shared" ref="P3:P51" si="3">N3*0.3083</f>
        <v>6.3373542084844292</v>
      </c>
      <c r="Q3">
        <f t="shared" ref="Q3:Q51" si="4">(N3-M3)*0.3083</f>
        <v>4.6787125249922132</v>
      </c>
    </row>
    <row r="4" spans="1:18" x14ac:dyDescent="0.35">
      <c r="A4" t="s">
        <v>562</v>
      </c>
      <c r="B4" t="s">
        <v>492</v>
      </c>
      <c r="C4">
        <v>1</v>
      </c>
      <c r="D4">
        <v>240</v>
      </c>
      <c r="E4">
        <v>10</v>
      </c>
      <c r="F4">
        <v>23.8</v>
      </c>
      <c r="G4">
        <v>17.55</v>
      </c>
      <c r="H4">
        <v>10.84</v>
      </c>
      <c r="I4">
        <v>0.51470000000000005</v>
      </c>
      <c r="J4">
        <v>9.0399999999999994E-2</v>
      </c>
      <c r="K4">
        <v>15.9037819636722</v>
      </c>
      <c r="L4">
        <v>67.215724232121701</v>
      </c>
      <c r="M4">
        <f t="shared" si="0"/>
        <v>5.277803749006261</v>
      </c>
      <c r="N4">
        <f t="shared" si="1"/>
        <v>22.306103174376673</v>
      </c>
      <c r="O4">
        <f t="shared" si="2"/>
        <v>3.6506568531876304</v>
      </c>
      <c r="P4">
        <f t="shared" si="3"/>
        <v>6.8769716086603285</v>
      </c>
      <c r="Q4">
        <f t="shared" si="4"/>
        <v>5.2498247128416988</v>
      </c>
    </row>
    <row r="5" spans="1:18" x14ac:dyDescent="0.35">
      <c r="A5" t="s">
        <v>562</v>
      </c>
      <c r="B5" t="s">
        <v>493</v>
      </c>
      <c r="C5">
        <v>1</v>
      </c>
      <c r="D5">
        <v>240</v>
      </c>
      <c r="E5">
        <v>10</v>
      </c>
      <c r="F5">
        <v>21.81</v>
      </c>
      <c r="G5">
        <v>15.97</v>
      </c>
      <c r="H5">
        <v>9.39</v>
      </c>
      <c r="I5">
        <v>0.43059999999999998</v>
      </c>
      <c r="J5">
        <v>8.09E-2</v>
      </c>
      <c r="K5">
        <v>14.2276823823091</v>
      </c>
      <c r="L5">
        <v>61.276246708157998</v>
      </c>
      <c r="M5">
        <f t="shared" si="0"/>
        <v>5.2760256053062173</v>
      </c>
      <c r="N5">
        <f t="shared" si="1"/>
        <v>22.722959224286029</v>
      </c>
      <c r="O5">
        <f t="shared" si="2"/>
        <v>3.6494269111903104</v>
      </c>
      <c r="P5">
        <f t="shared" si="3"/>
        <v>7.0054883288473828</v>
      </c>
      <c r="Q5">
        <f t="shared" si="4"/>
        <v>5.3788896347314763</v>
      </c>
    </row>
    <row r="6" spans="1:18" x14ac:dyDescent="0.35">
      <c r="A6" t="s">
        <v>562</v>
      </c>
      <c r="B6" t="s">
        <v>494</v>
      </c>
      <c r="C6">
        <v>1</v>
      </c>
      <c r="D6">
        <v>240</v>
      </c>
      <c r="E6">
        <v>10</v>
      </c>
      <c r="F6">
        <v>23.09</v>
      </c>
      <c r="G6">
        <v>16.93</v>
      </c>
      <c r="H6">
        <v>10.23</v>
      </c>
      <c r="I6">
        <v>0.44550000000000001</v>
      </c>
      <c r="J6">
        <v>7.8899999999999998E-2</v>
      </c>
      <c r="K6">
        <v>10.855298169718701</v>
      </c>
      <c r="L6">
        <v>43.209040228674603</v>
      </c>
      <c r="M6">
        <f t="shared" si="0"/>
        <v>4.1274897983721299</v>
      </c>
      <c r="N6">
        <f t="shared" si="1"/>
        <v>16.42929286261392</v>
      </c>
      <c r="O6">
        <f t="shared" si="2"/>
        <v>2.8549846935340022</v>
      </c>
      <c r="P6">
        <f t="shared" si="3"/>
        <v>5.0651509895438718</v>
      </c>
      <c r="Q6">
        <f t="shared" si="4"/>
        <v>3.792645884705744</v>
      </c>
    </row>
    <row r="7" spans="1:18" x14ac:dyDescent="0.35">
      <c r="A7" t="s">
        <v>562</v>
      </c>
      <c r="B7" t="s">
        <v>495</v>
      </c>
      <c r="C7">
        <v>1</v>
      </c>
      <c r="D7">
        <v>240</v>
      </c>
      <c r="E7">
        <v>10</v>
      </c>
      <c r="F7">
        <v>22.58</v>
      </c>
      <c r="G7">
        <v>15.67</v>
      </c>
      <c r="H7">
        <v>9.66</v>
      </c>
      <c r="I7">
        <v>0.43890000000000001</v>
      </c>
      <c r="J7">
        <v>8.3099999999999993E-2</v>
      </c>
      <c r="K7">
        <v>12.197481515423901</v>
      </c>
      <c r="L7">
        <v>44.251135158344503</v>
      </c>
      <c r="M7">
        <f t="shared" si="0"/>
        <v>4.4034229297559211</v>
      </c>
      <c r="N7">
        <f t="shared" si="1"/>
        <v>15.975139046333755</v>
      </c>
      <c r="O7">
        <f t="shared" si="2"/>
        <v>3.0458476405121706</v>
      </c>
      <c r="P7">
        <f t="shared" si="3"/>
        <v>4.925135367984697</v>
      </c>
      <c r="Q7">
        <f t="shared" si="4"/>
        <v>3.5675600787409465</v>
      </c>
    </row>
    <row r="8" spans="1:18" x14ac:dyDescent="0.35">
      <c r="A8" t="s">
        <v>562</v>
      </c>
      <c r="B8" t="s">
        <v>496</v>
      </c>
      <c r="C8">
        <v>1</v>
      </c>
      <c r="D8">
        <v>240</v>
      </c>
      <c r="E8">
        <v>10</v>
      </c>
      <c r="F8">
        <v>22.61</v>
      </c>
      <c r="G8">
        <v>16.079999999999998</v>
      </c>
      <c r="H8">
        <v>9.5299999999999994</v>
      </c>
      <c r="I8">
        <v>0.40289999999999998</v>
      </c>
      <c r="J8">
        <v>7.1800000000000003E-2</v>
      </c>
      <c r="K8">
        <v>12.6310248124897</v>
      </c>
      <c r="L8">
        <v>56.811122523737403</v>
      </c>
      <c r="M8">
        <f t="shared" si="0"/>
        <v>5.2775869690068387</v>
      </c>
      <c r="N8">
        <f t="shared" si="1"/>
        <v>23.737237823288609</v>
      </c>
      <c r="O8">
        <f t="shared" si="2"/>
        <v>3.6505069064620304</v>
      </c>
      <c r="P8">
        <f t="shared" si="3"/>
        <v>7.3181904209198789</v>
      </c>
      <c r="Q8">
        <f t="shared" si="4"/>
        <v>5.6911103583750693</v>
      </c>
    </row>
    <row r="9" spans="1:18" x14ac:dyDescent="0.35">
      <c r="A9" t="s">
        <v>562</v>
      </c>
      <c r="B9" t="s">
        <v>497</v>
      </c>
      <c r="C9">
        <v>1</v>
      </c>
      <c r="D9">
        <v>240</v>
      </c>
      <c r="E9">
        <v>10</v>
      </c>
      <c r="F9">
        <v>21.51</v>
      </c>
      <c r="G9">
        <v>15.71</v>
      </c>
      <c r="H9">
        <v>9.66</v>
      </c>
      <c r="I9">
        <v>0.3911</v>
      </c>
      <c r="J9">
        <v>7.4399999999999994E-2</v>
      </c>
      <c r="K9">
        <v>16.004217313401899</v>
      </c>
      <c r="L9">
        <v>67.144730120412504</v>
      </c>
      <c r="M9">
        <f t="shared" si="0"/>
        <v>6.4533134328233466</v>
      </c>
      <c r="N9">
        <f t="shared" si="1"/>
        <v>27.074487951779236</v>
      </c>
      <c r="O9">
        <f t="shared" si="2"/>
        <v>4.4637569014839089</v>
      </c>
      <c r="P9">
        <f t="shared" si="3"/>
        <v>8.3470646355335383</v>
      </c>
      <c r="Q9">
        <f t="shared" si="4"/>
        <v>6.3575081041941015</v>
      </c>
    </row>
    <row r="10" spans="1:18" x14ac:dyDescent="0.35">
      <c r="A10" t="s">
        <v>562</v>
      </c>
      <c r="B10" t="s">
        <v>498</v>
      </c>
      <c r="C10">
        <v>1</v>
      </c>
      <c r="D10">
        <v>240</v>
      </c>
      <c r="E10">
        <v>10</v>
      </c>
      <c r="F10">
        <v>22.86</v>
      </c>
      <c r="G10">
        <v>16.649999999999999</v>
      </c>
      <c r="H10">
        <v>10.38</v>
      </c>
      <c r="I10">
        <v>0.5202</v>
      </c>
      <c r="J10">
        <v>9.1300000000000006E-2</v>
      </c>
      <c r="K10">
        <v>14.677658681882599</v>
      </c>
      <c r="L10">
        <v>47.546689133305399</v>
      </c>
      <c r="M10">
        <f t="shared" si="0"/>
        <v>4.8228889425682144</v>
      </c>
      <c r="N10">
        <f t="shared" si="1"/>
        <v>15.623227535587754</v>
      </c>
      <c r="O10">
        <f t="shared" si="2"/>
        <v>3.3359922815744336</v>
      </c>
      <c r="P10">
        <f t="shared" si="3"/>
        <v>4.8166410492217047</v>
      </c>
      <c r="Q10">
        <f t="shared" si="4"/>
        <v>3.3297443882279243</v>
      </c>
    </row>
    <row r="11" spans="1:18" x14ac:dyDescent="0.35">
      <c r="A11" t="s">
        <v>562</v>
      </c>
      <c r="B11" t="s">
        <v>499</v>
      </c>
      <c r="C11">
        <v>1</v>
      </c>
      <c r="D11">
        <v>240</v>
      </c>
      <c r="E11">
        <v>10</v>
      </c>
      <c r="F11">
        <v>23.78</v>
      </c>
      <c r="G11">
        <v>16.93</v>
      </c>
      <c r="H11">
        <v>10.38</v>
      </c>
      <c r="I11">
        <v>0.50990000000000002</v>
      </c>
      <c r="J11">
        <v>9.4100000000000003E-2</v>
      </c>
      <c r="K11">
        <v>19.2028287455658</v>
      </c>
      <c r="L11">
        <v>82.780746816919105</v>
      </c>
      <c r="M11">
        <f t="shared" si="0"/>
        <v>6.1220495469391496</v>
      </c>
      <c r="N11">
        <f t="shared" si="1"/>
        <v>26.391311418783985</v>
      </c>
      <c r="O11">
        <f t="shared" si="2"/>
        <v>4.23462167161781</v>
      </c>
      <c r="P11">
        <f t="shared" si="3"/>
        <v>8.1364413104111026</v>
      </c>
      <c r="Q11">
        <f t="shared" si="4"/>
        <v>6.249013435089763</v>
      </c>
      <c r="R11">
        <f>AVERAGE(Q2:Q11)</f>
        <v>4.962231395813232</v>
      </c>
    </row>
    <row r="12" spans="1:18" x14ac:dyDescent="0.35">
      <c r="A12" t="s">
        <v>562</v>
      </c>
      <c r="B12" t="s">
        <v>500</v>
      </c>
      <c r="C12">
        <v>2</v>
      </c>
      <c r="D12">
        <v>240</v>
      </c>
      <c r="E12">
        <v>10</v>
      </c>
      <c r="F12">
        <v>22.61</v>
      </c>
      <c r="G12">
        <v>15.96</v>
      </c>
      <c r="H12">
        <v>9.33</v>
      </c>
      <c r="I12">
        <v>0.39279999999999998</v>
      </c>
      <c r="J12">
        <v>7.7700000000000005E-2</v>
      </c>
      <c r="K12">
        <v>9.8978315823231107</v>
      </c>
      <c r="L12">
        <v>30.921407180027298</v>
      </c>
      <c r="M12">
        <f t="shared" si="0"/>
        <v>3.8215565954915487</v>
      </c>
      <c r="N12">
        <f t="shared" si="1"/>
        <v>11.93876725097579</v>
      </c>
      <c r="O12">
        <f t="shared" si="2"/>
        <v>2.6433706971015041</v>
      </c>
      <c r="P12">
        <f t="shared" si="3"/>
        <v>3.6807219434758363</v>
      </c>
      <c r="Q12">
        <f t="shared" si="4"/>
        <v>2.5025360450857916</v>
      </c>
    </row>
    <row r="13" spans="1:18" x14ac:dyDescent="0.35">
      <c r="A13" t="s">
        <v>562</v>
      </c>
      <c r="B13" t="s">
        <v>501</v>
      </c>
      <c r="C13">
        <v>2</v>
      </c>
      <c r="D13">
        <v>240</v>
      </c>
      <c r="E13">
        <v>10</v>
      </c>
      <c r="F13">
        <v>22.52</v>
      </c>
      <c r="G13">
        <v>15.88</v>
      </c>
      <c r="H13">
        <v>10.44</v>
      </c>
      <c r="I13">
        <v>0.33489999999999998</v>
      </c>
      <c r="J13">
        <v>6.0600000000000001E-2</v>
      </c>
      <c r="K13">
        <v>9.9202156799588792</v>
      </c>
      <c r="L13">
        <v>46.045435361592197</v>
      </c>
      <c r="M13">
        <f t="shared" si="0"/>
        <v>4.9109978613657814</v>
      </c>
      <c r="N13">
        <f t="shared" si="1"/>
        <v>22.794769980986235</v>
      </c>
      <c r="O13">
        <f t="shared" si="2"/>
        <v>3.396937220706711</v>
      </c>
      <c r="P13">
        <f t="shared" si="3"/>
        <v>7.027627585138057</v>
      </c>
      <c r="Q13">
        <f t="shared" si="4"/>
        <v>5.5135669444789857</v>
      </c>
    </row>
    <row r="14" spans="1:18" x14ac:dyDescent="0.35">
      <c r="A14" t="s">
        <v>562</v>
      </c>
      <c r="B14" t="s">
        <v>502</v>
      </c>
      <c r="C14">
        <v>2</v>
      </c>
      <c r="D14">
        <v>240</v>
      </c>
      <c r="E14">
        <v>10</v>
      </c>
      <c r="F14">
        <v>23.14</v>
      </c>
      <c r="G14">
        <v>16.29</v>
      </c>
      <c r="H14">
        <v>10</v>
      </c>
      <c r="I14">
        <v>0.43259999999999998</v>
      </c>
      <c r="J14">
        <v>7.8700000000000006E-2</v>
      </c>
      <c r="K14">
        <v>12.941518249457401</v>
      </c>
      <c r="L14">
        <v>49.530461121029397</v>
      </c>
      <c r="M14">
        <f t="shared" si="0"/>
        <v>4.9332344025885897</v>
      </c>
      <c r="N14">
        <f t="shared" si="1"/>
        <v>18.880734861891764</v>
      </c>
      <c r="O14">
        <f t="shared" si="2"/>
        <v>3.4123182362705275</v>
      </c>
      <c r="P14">
        <f t="shared" si="3"/>
        <v>5.8209305579212307</v>
      </c>
      <c r="Q14">
        <f t="shared" si="4"/>
        <v>4.3000143916031695</v>
      </c>
    </row>
    <row r="15" spans="1:18" x14ac:dyDescent="0.35">
      <c r="A15" t="s">
        <v>562</v>
      </c>
      <c r="B15" t="s">
        <v>503</v>
      </c>
      <c r="C15">
        <v>2</v>
      </c>
      <c r="D15">
        <v>240</v>
      </c>
      <c r="E15">
        <v>10</v>
      </c>
      <c r="F15">
        <v>22.16</v>
      </c>
      <c r="G15">
        <v>14.62</v>
      </c>
      <c r="H15">
        <v>8.69</v>
      </c>
      <c r="I15">
        <v>0.33689999999999998</v>
      </c>
      <c r="J15">
        <v>6.08E-2</v>
      </c>
      <c r="K15">
        <v>12.768787457506001</v>
      </c>
      <c r="L15">
        <v>51.963641448861701</v>
      </c>
      <c r="M15">
        <f t="shared" si="0"/>
        <v>6.3003885481115143</v>
      </c>
      <c r="N15">
        <f t="shared" si="1"/>
        <v>25.639954662267289</v>
      </c>
      <c r="O15">
        <f t="shared" si="2"/>
        <v>4.3579787587287342</v>
      </c>
      <c r="P15">
        <f t="shared" si="3"/>
        <v>7.9047980223770056</v>
      </c>
      <c r="Q15">
        <f t="shared" si="4"/>
        <v>5.9623882329942264</v>
      </c>
    </row>
    <row r="16" spans="1:18" x14ac:dyDescent="0.35">
      <c r="A16" t="s">
        <v>562</v>
      </c>
      <c r="B16" t="s">
        <v>504</v>
      </c>
      <c r="C16">
        <v>2</v>
      </c>
      <c r="D16">
        <v>240</v>
      </c>
      <c r="E16">
        <v>10</v>
      </c>
      <c r="F16">
        <v>21.23</v>
      </c>
      <c r="G16">
        <v>14.74</v>
      </c>
      <c r="H16">
        <v>9.32</v>
      </c>
      <c r="I16">
        <v>0.378</v>
      </c>
      <c r="J16" s="1">
        <v>6.9000000000000006E-2</v>
      </c>
      <c r="K16">
        <v>13.1977589705177</v>
      </c>
      <c r="L16">
        <v>48.6803458620738</v>
      </c>
      <c r="M16">
        <f t="shared" si="0"/>
        <v>5.7381560741381294</v>
      </c>
      <c r="N16">
        <f t="shared" si="1"/>
        <v>21.16536776611904</v>
      </c>
      <c r="O16">
        <f t="shared" si="2"/>
        <v>3.9690825564813439</v>
      </c>
      <c r="P16">
        <f t="shared" si="3"/>
        <v>6.5252828822945004</v>
      </c>
      <c r="Q16">
        <f t="shared" si="4"/>
        <v>4.7562093646377157</v>
      </c>
    </row>
    <row r="17" spans="1:18" x14ac:dyDescent="0.35">
      <c r="A17" t="s">
        <v>562</v>
      </c>
      <c r="B17" t="s">
        <v>505</v>
      </c>
      <c r="C17">
        <v>2</v>
      </c>
      <c r="D17">
        <v>240</v>
      </c>
      <c r="E17">
        <v>10</v>
      </c>
      <c r="F17">
        <v>21.75</v>
      </c>
      <c r="G17">
        <v>15.23</v>
      </c>
      <c r="H17">
        <v>8.94</v>
      </c>
      <c r="I17">
        <v>0.39129999999999998</v>
      </c>
      <c r="J17">
        <v>7.4800000000000005E-2</v>
      </c>
      <c r="K17">
        <v>10.0373373473517</v>
      </c>
      <c r="L17">
        <v>41.672012944714197</v>
      </c>
      <c r="M17">
        <f t="shared" si="0"/>
        <v>4.0256700590982755</v>
      </c>
      <c r="N17">
        <f t="shared" si="1"/>
        <v>16.713374175687509</v>
      </c>
      <c r="O17">
        <f t="shared" si="2"/>
        <v>2.7845559798782769</v>
      </c>
      <c r="P17">
        <f t="shared" si="3"/>
        <v>5.1527332583644592</v>
      </c>
      <c r="Q17">
        <f t="shared" si="4"/>
        <v>3.911619179144461</v>
      </c>
    </row>
    <row r="18" spans="1:18" x14ac:dyDescent="0.35">
      <c r="A18" t="s">
        <v>562</v>
      </c>
      <c r="B18" t="s">
        <v>506</v>
      </c>
      <c r="C18">
        <v>2</v>
      </c>
      <c r="D18">
        <v>240</v>
      </c>
      <c r="E18">
        <v>10</v>
      </c>
      <c r="F18">
        <v>23.31</v>
      </c>
      <c r="G18">
        <v>15.33</v>
      </c>
      <c r="H18">
        <v>9.9700000000000006</v>
      </c>
      <c r="I18">
        <v>0.49080000000000001</v>
      </c>
      <c r="J18">
        <v>9.64E-2</v>
      </c>
      <c r="K18">
        <v>13.822634244753401</v>
      </c>
      <c r="L18">
        <v>52.463564424398101</v>
      </c>
      <c r="M18">
        <f t="shared" si="0"/>
        <v>4.3016496612303117</v>
      </c>
      <c r="N18">
        <f t="shared" si="1"/>
        <v>16.32683540178364</v>
      </c>
      <c r="O18">
        <f t="shared" si="2"/>
        <v>2.9754510706730066</v>
      </c>
      <c r="P18">
        <f t="shared" si="3"/>
        <v>5.033563354369897</v>
      </c>
      <c r="Q18">
        <f t="shared" si="4"/>
        <v>3.7073647638125915</v>
      </c>
    </row>
    <row r="19" spans="1:18" x14ac:dyDescent="0.35">
      <c r="A19" t="s">
        <v>562</v>
      </c>
      <c r="B19" t="s">
        <v>507</v>
      </c>
      <c r="C19">
        <v>2</v>
      </c>
      <c r="D19">
        <v>240</v>
      </c>
      <c r="E19">
        <v>10</v>
      </c>
      <c r="F19">
        <v>20.9</v>
      </c>
      <c r="G19">
        <v>15.18</v>
      </c>
      <c r="H19">
        <v>9.61</v>
      </c>
      <c r="I19">
        <v>0.28660000000000002</v>
      </c>
      <c r="J19">
        <v>5.1499999999999997E-2</v>
      </c>
      <c r="K19">
        <v>11.010100064711001</v>
      </c>
      <c r="L19">
        <v>42.687520765366202</v>
      </c>
      <c r="M19">
        <f t="shared" si="0"/>
        <v>6.4136505231326213</v>
      </c>
      <c r="N19">
        <f t="shared" si="1"/>
        <v>24.86651695069876</v>
      </c>
      <c r="O19">
        <f t="shared" si="2"/>
        <v>4.4363220668508339</v>
      </c>
      <c r="P19">
        <f t="shared" si="3"/>
        <v>7.6663471759004285</v>
      </c>
      <c r="Q19">
        <f t="shared" si="4"/>
        <v>5.689018719618641</v>
      </c>
    </row>
    <row r="20" spans="1:18" x14ac:dyDescent="0.35">
      <c r="A20" t="s">
        <v>562</v>
      </c>
      <c r="B20" t="s">
        <v>508</v>
      </c>
      <c r="C20">
        <v>2</v>
      </c>
      <c r="D20">
        <v>240</v>
      </c>
      <c r="E20">
        <v>10</v>
      </c>
      <c r="F20">
        <v>25.04</v>
      </c>
      <c r="G20">
        <v>17.27</v>
      </c>
      <c r="H20">
        <v>9.81</v>
      </c>
      <c r="I20">
        <v>0.55189999999999995</v>
      </c>
      <c r="J20" s="1">
        <v>0.11</v>
      </c>
      <c r="K20">
        <v>14.821806713937599</v>
      </c>
      <c r="L20">
        <v>65.896190916110001</v>
      </c>
      <c r="M20">
        <f t="shared" si="0"/>
        <v>4.0423109219829811</v>
      </c>
      <c r="N20">
        <f t="shared" si="1"/>
        <v>17.971688431666365</v>
      </c>
      <c r="O20">
        <f t="shared" si="2"/>
        <v>2.7960664647356279</v>
      </c>
      <c r="P20">
        <f t="shared" si="3"/>
        <v>5.5406715434827412</v>
      </c>
      <c r="Q20">
        <f t="shared" si="4"/>
        <v>4.2944270862353875</v>
      </c>
    </row>
    <row r="21" spans="1:18" x14ac:dyDescent="0.35">
      <c r="A21" t="s">
        <v>562</v>
      </c>
      <c r="B21" t="s">
        <v>509</v>
      </c>
      <c r="C21">
        <v>2</v>
      </c>
      <c r="D21">
        <v>240</v>
      </c>
      <c r="E21">
        <v>10</v>
      </c>
      <c r="F21">
        <v>21.92</v>
      </c>
      <c r="G21">
        <v>15.82</v>
      </c>
      <c r="H21">
        <v>9.5</v>
      </c>
      <c r="I21">
        <v>0.3906</v>
      </c>
      <c r="J21">
        <v>7.1400000000000005E-2</v>
      </c>
      <c r="K21">
        <v>10.614700541438699</v>
      </c>
      <c r="L21">
        <v>54.105899728137601</v>
      </c>
      <c r="M21">
        <f t="shared" si="0"/>
        <v>4.4599582106885283</v>
      </c>
      <c r="N21">
        <f t="shared" si="1"/>
        <v>22.733571314343525</v>
      </c>
      <c r="O21">
        <f t="shared" si="2"/>
        <v>3.084953094333255</v>
      </c>
      <c r="P21">
        <f t="shared" si="3"/>
        <v>7.0087600362121094</v>
      </c>
      <c r="Q21">
        <f t="shared" si="4"/>
        <v>5.6337549198568349</v>
      </c>
      <c r="R21">
        <f>AVERAGE(Q12:Q21)</f>
        <v>4.6270899647467809</v>
      </c>
    </row>
    <row r="22" spans="1:18" x14ac:dyDescent="0.35">
      <c r="A22" t="s">
        <v>562</v>
      </c>
      <c r="B22" t="s">
        <v>510</v>
      </c>
      <c r="C22">
        <v>3</v>
      </c>
      <c r="D22">
        <v>240</v>
      </c>
      <c r="E22">
        <v>10</v>
      </c>
      <c r="F22">
        <v>21.98</v>
      </c>
      <c r="G22">
        <v>15.9</v>
      </c>
      <c r="H22">
        <v>10</v>
      </c>
      <c r="I22">
        <v>0.4894</v>
      </c>
      <c r="J22">
        <v>8.8099999999999998E-2</v>
      </c>
      <c r="K22">
        <v>13.4495664254085</v>
      </c>
      <c r="L22">
        <v>53.900942159995502</v>
      </c>
      <c r="M22">
        <f t="shared" si="0"/>
        <v>4.5798750597304769</v>
      </c>
      <c r="N22">
        <f t="shared" si="1"/>
        <v>18.354463845628434</v>
      </c>
      <c r="O22">
        <f t="shared" si="2"/>
        <v>3.1678995788155708</v>
      </c>
      <c r="P22">
        <f t="shared" si="3"/>
        <v>5.6586812036072462</v>
      </c>
      <c r="Q22">
        <f t="shared" si="4"/>
        <v>4.246705722692341</v>
      </c>
    </row>
    <row r="23" spans="1:18" x14ac:dyDescent="0.35">
      <c r="A23" t="s">
        <v>562</v>
      </c>
      <c r="B23" t="s">
        <v>511</v>
      </c>
      <c r="C23">
        <v>3</v>
      </c>
      <c r="D23">
        <v>240</v>
      </c>
      <c r="E23">
        <v>10</v>
      </c>
      <c r="F23">
        <v>24.91</v>
      </c>
      <c r="G23">
        <v>16.73</v>
      </c>
      <c r="H23">
        <v>10.9</v>
      </c>
      <c r="I23">
        <v>0.55049999999999999</v>
      </c>
      <c r="J23">
        <v>0.1003</v>
      </c>
      <c r="K23">
        <v>16.9234804620341</v>
      </c>
      <c r="L23">
        <v>62.483905689360697</v>
      </c>
      <c r="M23">
        <f t="shared" si="0"/>
        <v>5.0618585629214659</v>
      </c>
      <c r="N23">
        <f t="shared" si="1"/>
        <v>18.689104393627328</v>
      </c>
      <c r="O23">
        <f t="shared" si="2"/>
        <v>3.5012875679727777</v>
      </c>
      <c r="P23">
        <f t="shared" si="3"/>
        <v>5.7618508845553054</v>
      </c>
      <c r="Q23">
        <f t="shared" si="4"/>
        <v>4.2012798896066181</v>
      </c>
    </row>
    <row r="24" spans="1:18" x14ac:dyDescent="0.35">
      <c r="A24" t="s">
        <v>562</v>
      </c>
      <c r="B24" t="s">
        <v>512</v>
      </c>
      <c r="C24">
        <v>3</v>
      </c>
      <c r="D24">
        <v>240</v>
      </c>
      <c r="E24">
        <v>10</v>
      </c>
      <c r="F24">
        <v>22.09</v>
      </c>
      <c r="G24">
        <v>16.2</v>
      </c>
      <c r="H24">
        <v>10.54</v>
      </c>
      <c r="I24">
        <v>0.4637</v>
      </c>
      <c r="J24">
        <v>8.8300000000000003E-2</v>
      </c>
      <c r="K24">
        <v>13.025204218902401</v>
      </c>
      <c r="L24">
        <v>45.1917988581176</v>
      </c>
      <c r="M24">
        <f t="shared" si="0"/>
        <v>4.425324196682582</v>
      </c>
      <c r="N24">
        <f t="shared" si="1"/>
        <v>15.353952046925572</v>
      </c>
      <c r="O24">
        <f t="shared" si="2"/>
        <v>3.0609967468453418</v>
      </c>
      <c r="P24">
        <f t="shared" si="3"/>
        <v>4.7336234160671546</v>
      </c>
      <c r="Q24">
        <f t="shared" si="4"/>
        <v>3.369295966229914</v>
      </c>
    </row>
    <row r="25" spans="1:18" x14ac:dyDescent="0.35">
      <c r="A25" t="s">
        <v>562</v>
      </c>
      <c r="B25" t="s">
        <v>513</v>
      </c>
      <c r="C25">
        <v>3</v>
      </c>
      <c r="D25">
        <v>240</v>
      </c>
      <c r="E25">
        <v>10</v>
      </c>
      <c r="F25">
        <v>21.88</v>
      </c>
      <c r="G25">
        <v>14.7</v>
      </c>
      <c r="H25">
        <v>9.1</v>
      </c>
      <c r="I25">
        <v>0.2893</v>
      </c>
      <c r="J25">
        <v>5.1799999999999999E-2</v>
      </c>
      <c r="K25">
        <v>9.3002060839847793</v>
      </c>
      <c r="L25">
        <v>42.462682936475503</v>
      </c>
      <c r="M25">
        <f t="shared" si="0"/>
        <v>5.3862197397595244</v>
      </c>
      <c r="N25">
        <f t="shared" si="1"/>
        <v>24.592287414947204</v>
      </c>
      <c r="O25">
        <f t="shared" si="2"/>
        <v>3.7256481939916628</v>
      </c>
      <c r="P25">
        <f t="shared" si="3"/>
        <v>7.5818022100282239</v>
      </c>
      <c r="Q25">
        <f t="shared" si="4"/>
        <v>5.9212306642603618</v>
      </c>
    </row>
    <row r="26" spans="1:18" x14ac:dyDescent="0.35">
      <c r="A26" t="s">
        <v>562</v>
      </c>
      <c r="B26" t="s">
        <v>514</v>
      </c>
      <c r="C26">
        <v>3</v>
      </c>
      <c r="D26">
        <v>240</v>
      </c>
      <c r="E26">
        <v>10</v>
      </c>
      <c r="F26">
        <v>24.97</v>
      </c>
      <c r="G26">
        <v>17.510000000000002</v>
      </c>
      <c r="H26">
        <v>11.77</v>
      </c>
      <c r="I26">
        <v>0.39560000000000001</v>
      </c>
      <c r="J26">
        <v>6.6699999999999995E-2</v>
      </c>
      <c r="K26">
        <v>30.1903559263821</v>
      </c>
      <c r="L26">
        <v>46.687540764798797</v>
      </c>
      <c r="M26">
        <f t="shared" si="0"/>
        <v>13.578870731506193</v>
      </c>
      <c r="N26">
        <f t="shared" si="1"/>
        <v>20.998893897210859</v>
      </c>
      <c r="O26">
        <f t="shared" si="2"/>
        <v>9.3925048849828325</v>
      </c>
      <c r="P26">
        <f t="shared" si="3"/>
        <v>6.4739589885101081</v>
      </c>
      <c r="Q26">
        <f t="shared" si="4"/>
        <v>2.2875931419867488</v>
      </c>
    </row>
    <row r="27" spans="1:18" x14ac:dyDescent="0.35">
      <c r="A27" t="s">
        <v>562</v>
      </c>
      <c r="B27" t="s">
        <v>515</v>
      </c>
      <c r="C27">
        <v>3</v>
      </c>
      <c r="D27">
        <v>240</v>
      </c>
      <c r="E27">
        <v>10</v>
      </c>
      <c r="F27">
        <v>22.3</v>
      </c>
      <c r="G27">
        <v>15.98</v>
      </c>
      <c r="H27">
        <v>9.86</v>
      </c>
      <c r="I27">
        <v>0.4864</v>
      </c>
      <c r="J27">
        <v>9.1700000000000004E-2</v>
      </c>
      <c r="K27">
        <v>11.9385199564259</v>
      </c>
      <c r="L27">
        <v>51.320941652862302</v>
      </c>
      <c r="M27">
        <f t="shared" si="0"/>
        <v>3.9057317196595092</v>
      </c>
      <c r="N27">
        <f t="shared" si="1"/>
        <v>16.789839144884066</v>
      </c>
      <c r="O27">
        <f t="shared" si="2"/>
        <v>2.7015946304884824</v>
      </c>
      <c r="P27">
        <f t="shared" si="3"/>
        <v>5.1763074083677578</v>
      </c>
      <c r="Q27">
        <f t="shared" si="4"/>
        <v>3.972170319196731</v>
      </c>
    </row>
    <row r="28" spans="1:18" x14ac:dyDescent="0.35">
      <c r="A28" t="s">
        <v>562</v>
      </c>
      <c r="B28" t="s">
        <v>516</v>
      </c>
      <c r="C28">
        <v>3</v>
      </c>
      <c r="D28">
        <v>240</v>
      </c>
      <c r="E28">
        <v>10</v>
      </c>
      <c r="F28">
        <v>21.93</v>
      </c>
      <c r="G28">
        <v>15.68</v>
      </c>
      <c r="H28">
        <v>10.44</v>
      </c>
      <c r="I28">
        <v>0.48820000000000002</v>
      </c>
      <c r="J28" s="1">
        <v>0.09</v>
      </c>
      <c r="K28">
        <v>13.826666297780999</v>
      </c>
      <c r="L28">
        <v>47.570138233793898</v>
      </c>
      <c r="M28">
        <f t="shared" si="0"/>
        <v>4.6088887659269995</v>
      </c>
      <c r="N28">
        <f t="shared" si="1"/>
        <v>15.856712744597967</v>
      </c>
      <c r="O28">
        <f t="shared" si="2"/>
        <v>3.1879683593917054</v>
      </c>
      <c r="P28">
        <f t="shared" si="3"/>
        <v>4.8886245391595535</v>
      </c>
      <c r="Q28">
        <f t="shared" si="4"/>
        <v>3.4677041326242599</v>
      </c>
    </row>
    <row r="29" spans="1:18" x14ac:dyDescent="0.35">
      <c r="A29" t="s">
        <v>562</v>
      </c>
      <c r="B29" t="s">
        <v>517</v>
      </c>
      <c r="C29">
        <v>3</v>
      </c>
      <c r="D29">
        <v>240</v>
      </c>
      <c r="E29">
        <v>10</v>
      </c>
      <c r="F29">
        <v>22.43</v>
      </c>
      <c r="G29">
        <v>16.27</v>
      </c>
      <c r="H29">
        <v>10.119999999999999</v>
      </c>
      <c r="I29">
        <v>0.47399999999999998</v>
      </c>
      <c r="J29">
        <v>8.8099999999999998E-2</v>
      </c>
      <c r="K29">
        <v>13.3368498612418</v>
      </c>
      <c r="L29">
        <v>51.632007248640903</v>
      </c>
      <c r="M29">
        <f t="shared" si="0"/>
        <v>4.5414925747701931</v>
      </c>
      <c r="N29">
        <f t="shared" si="1"/>
        <v>17.581841287845936</v>
      </c>
      <c r="O29">
        <f t="shared" si="2"/>
        <v>3.1413504139685426</v>
      </c>
      <c r="P29">
        <f t="shared" si="3"/>
        <v>5.4204816690429025</v>
      </c>
      <c r="Q29">
        <f t="shared" si="4"/>
        <v>4.0203395082412525</v>
      </c>
    </row>
    <row r="30" spans="1:18" x14ac:dyDescent="0.35">
      <c r="A30" t="s">
        <v>562</v>
      </c>
      <c r="B30" t="s">
        <v>518</v>
      </c>
      <c r="C30">
        <v>3</v>
      </c>
      <c r="D30">
        <v>240</v>
      </c>
      <c r="E30">
        <v>10</v>
      </c>
      <c r="F30">
        <v>25.71</v>
      </c>
      <c r="G30">
        <v>17.02</v>
      </c>
      <c r="H30">
        <v>10.47</v>
      </c>
      <c r="I30">
        <v>0.53549999999999998</v>
      </c>
      <c r="J30">
        <v>9.5899999999999999E-2</v>
      </c>
      <c r="K30">
        <v>14.722378000575301</v>
      </c>
      <c r="L30">
        <v>50.510599839819797</v>
      </c>
      <c r="M30">
        <f t="shared" si="0"/>
        <v>4.6055405632665174</v>
      </c>
      <c r="N30">
        <f t="shared" si="1"/>
        <v>15.801021847701712</v>
      </c>
      <c r="O30">
        <f t="shared" si="2"/>
        <v>3.1856524076114501</v>
      </c>
      <c r="P30">
        <f t="shared" si="3"/>
        <v>4.8714550356464379</v>
      </c>
      <c r="Q30">
        <f t="shared" si="4"/>
        <v>3.4515668799913706</v>
      </c>
    </row>
    <row r="31" spans="1:18" x14ac:dyDescent="0.35">
      <c r="A31" t="s">
        <v>562</v>
      </c>
      <c r="B31" t="s">
        <v>519</v>
      </c>
      <c r="C31">
        <v>3</v>
      </c>
      <c r="D31">
        <v>240</v>
      </c>
      <c r="E31">
        <v>10</v>
      </c>
      <c r="F31">
        <v>21.75</v>
      </c>
      <c r="G31">
        <v>14.65</v>
      </c>
      <c r="H31">
        <v>9.4499999999999993</v>
      </c>
      <c r="I31">
        <v>0.41520000000000001</v>
      </c>
      <c r="J31">
        <v>7.7100000000000002E-2</v>
      </c>
      <c r="K31">
        <v>12.603495816115</v>
      </c>
      <c r="L31">
        <v>48.732758901829797</v>
      </c>
      <c r="M31">
        <f t="shared" si="0"/>
        <v>4.9040839751420231</v>
      </c>
      <c r="N31">
        <f t="shared" si="1"/>
        <v>18.962162996820933</v>
      </c>
      <c r="O31">
        <f t="shared" si="2"/>
        <v>3.3921548856057373</v>
      </c>
      <c r="P31">
        <f t="shared" si="3"/>
        <v>5.8460348519198941</v>
      </c>
      <c r="Q31">
        <f t="shared" si="4"/>
        <v>4.3341057623836088</v>
      </c>
      <c r="R31">
        <f>AVERAGE(Q22:Q31)</f>
        <v>3.9271991987213206</v>
      </c>
    </row>
    <row r="32" spans="1:18" x14ac:dyDescent="0.35">
      <c r="A32" t="s">
        <v>562</v>
      </c>
      <c r="B32" t="s">
        <v>520</v>
      </c>
      <c r="C32">
        <v>4</v>
      </c>
      <c r="D32">
        <v>240</v>
      </c>
      <c r="E32">
        <v>10</v>
      </c>
      <c r="F32">
        <v>26.17</v>
      </c>
      <c r="G32">
        <v>18.39</v>
      </c>
      <c r="H32">
        <v>11.26</v>
      </c>
      <c r="I32">
        <v>0.50919999999999999</v>
      </c>
      <c r="J32" s="1">
        <v>8.4000000000000005E-2</v>
      </c>
      <c r="K32">
        <v>13.7445818629584</v>
      </c>
      <c r="L32">
        <v>56.348185485898</v>
      </c>
      <c r="M32">
        <f t="shared" si="0"/>
        <v>4.9087792367708563</v>
      </c>
      <c r="N32">
        <f t="shared" si="1"/>
        <v>20.124351959249282</v>
      </c>
      <c r="O32">
        <f t="shared" si="2"/>
        <v>3.3954025980744014</v>
      </c>
      <c r="P32">
        <f t="shared" si="3"/>
        <v>6.2043377090365537</v>
      </c>
      <c r="Q32">
        <f t="shared" si="4"/>
        <v>4.6909610703400988</v>
      </c>
    </row>
    <row r="33" spans="1:18" x14ac:dyDescent="0.35">
      <c r="A33" t="s">
        <v>562</v>
      </c>
      <c r="B33" t="s">
        <v>521</v>
      </c>
      <c r="C33">
        <v>4</v>
      </c>
      <c r="D33">
        <v>240</v>
      </c>
      <c r="E33">
        <v>10</v>
      </c>
      <c r="F33">
        <v>25.68</v>
      </c>
      <c r="G33">
        <v>18.27</v>
      </c>
      <c r="H33">
        <v>11.58</v>
      </c>
      <c r="I33">
        <v>0.62219999999999998</v>
      </c>
      <c r="J33">
        <v>0.1077</v>
      </c>
      <c r="K33">
        <v>20.3036977924463</v>
      </c>
      <c r="L33">
        <v>78.395698307899707</v>
      </c>
      <c r="M33">
        <f t="shared" si="0"/>
        <v>5.6556261260296097</v>
      </c>
      <c r="N33">
        <f t="shared" si="1"/>
        <v>21.837241868495738</v>
      </c>
      <c r="O33">
        <f t="shared" si="2"/>
        <v>3.911996591374681</v>
      </c>
      <c r="P33">
        <f t="shared" si="3"/>
        <v>6.7324216680572366</v>
      </c>
      <c r="Q33">
        <f t="shared" si="4"/>
        <v>4.988792133402308</v>
      </c>
    </row>
    <row r="34" spans="1:18" x14ac:dyDescent="0.35">
      <c r="A34" t="s">
        <v>562</v>
      </c>
      <c r="B34" t="s">
        <v>522</v>
      </c>
      <c r="C34">
        <v>4</v>
      </c>
      <c r="D34">
        <v>240</v>
      </c>
      <c r="E34">
        <v>10</v>
      </c>
      <c r="F34">
        <v>22.06</v>
      </c>
      <c r="G34">
        <v>16.04</v>
      </c>
      <c r="H34">
        <v>10.11</v>
      </c>
      <c r="I34">
        <v>0.42949999999999999</v>
      </c>
      <c r="J34" s="1">
        <v>7.8E-2</v>
      </c>
      <c r="K34">
        <v>14.930904047629801</v>
      </c>
      <c r="L34">
        <v>43.014571691678803</v>
      </c>
      <c r="M34">
        <f t="shared" si="0"/>
        <v>5.7426554029345382</v>
      </c>
      <c r="N34">
        <f t="shared" si="1"/>
        <v>16.544066035261078</v>
      </c>
      <c r="O34">
        <f t="shared" si="2"/>
        <v>3.9721947422098198</v>
      </c>
      <c r="P34">
        <f t="shared" si="3"/>
        <v>5.1005355586709911</v>
      </c>
      <c r="Q34">
        <f t="shared" si="4"/>
        <v>3.3300748979462726</v>
      </c>
    </row>
    <row r="35" spans="1:18" x14ac:dyDescent="0.35">
      <c r="A35" t="s">
        <v>562</v>
      </c>
      <c r="B35" t="s">
        <v>523</v>
      </c>
      <c r="C35">
        <v>4</v>
      </c>
      <c r="D35">
        <v>240</v>
      </c>
      <c r="E35">
        <v>10</v>
      </c>
      <c r="F35">
        <v>24.05</v>
      </c>
      <c r="G35">
        <v>16.18</v>
      </c>
      <c r="H35">
        <v>10.54</v>
      </c>
      <c r="I35">
        <v>0.53480000000000005</v>
      </c>
      <c r="J35">
        <v>9.8799999999999999E-2</v>
      </c>
      <c r="K35">
        <v>17.140702931528899</v>
      </c>
      <c r="L35">
        <v>58.157390861705203</v>
      </c>
      <c r="M35">
        <f t="shared" si="0"/>
        <v>5.2046668820431883</v>
      </c>
      <c r="N35">
        <f t="shared" si="1"/>
        <v>17.65912677987</v>
      </c>
      <c r="O35">
        <f t="shared" si="2"/>
        <v>3.6000680823092734</v>
      </c>
      <c r="P35">
        <f t="shared" si="3"/>
        <v>5.444308786233921</v>
      </c>
      <c r="Q35">
        <f t="shared" si="4"/>
        <v>3.8397099865000062</v>
      </c>
    </row>
    <row r="36" spans="1:18" x14ac:dyDescent="0.35">
      <c r="A36" t="s">
        <v>562</v>
      </c>
      <c r="B36" t="s">
        <v>524</v>
      </c>
      <c r="C36">
        <v>4</v>
      </c>
      <c r="D36">
        <v>240</v>
      </c>
      <c r="E36">
        <v>10</v>
      </c>
      <c r="F36">
        <v>15.17</v>
      </c>
      <c r="G36">
        <v>9.1300000000000008</v>
      </c>
      <c r="H36">
        <v>9.49</v>
      </c>
      <c r="I36">
        <v>0.34549999999999997</v>
      </c>
      <c r="J36">
        <v>6.2600000000000003E-2</v>
      </c>
      <c r="K36">
        <v>12.5032214240249</v>
      </c>
      <c r="L36">
        <v>48.0969779669202</v>
      </c>
      <c r="M36">
        <f t="shared" si="0"/>
        <v>5.9919591488937218</v>
      </c>
      <c r="N36">
        <f t="shared" si="1"/>
        <v>23.049669952198176</v>
      </c>
      <c r="O36">
        <f t="shared" si="2"/>
        <v>4.1446381432897876</v>
      </c>
      <c r="P36">
        <f t="shared" si="3"/>
        <v>7.1062132462626977</v>
      </c>
      <c r="Q36">
        <f t="shared" si="4"/>
        <v>5.2588922406587626</v>
      </c>
    </row>
    <row r="37" spans="1:18" x14ac:dyDescent="0.35">
      <c r="A37" t="s">
        <v>562</v>
      </c>
      <c r="B37" t="s">
        <v>525</v>
      </c>
      <c r="C37">
        <v>4</v>
      </c>
      <c r="D37">
        <v>240</v>
      </c>
      <c r="E37">
        <v>10</v>
      </c>
      <c r="F37">
        <v>24.49</v>
      </c>
      <c r="G37">
        <v>17</v>
      </c>
      <c r="H37">
        <v>10.08</v>
      </c>
      <c r="I37">
        <v>0.53139999999999998</v>
      </c>
      <c r="J37">
        <v>0.1048</v>
      </c>
      <c r="K37">
        <v>29.881541137507</v>
      </c>
      <c r="L37">
        <v>72.739159682904202</v>
      </c>
      <c r="M37">
        <f t="shared" si="0"/>
        <v>8.553876279820706</v>
      </c>
      <c r="N37">
        <f t="shared" si="1"/>
        <v>20.822278535182502</v>
      </c>
      <c r="O37">
        <f t="shared" si="2"/>
        <v>5.9167162227519823</v>
      </c>
      <c r="P37">
        <f t="shared" si="3"/>
        <v>6.4195084723967657</v>
      </c>
      <c r="Q37">
        <f t="shared" si="4"/>
        <v>3.782348415328042</v>
      </c>
    </row>
    <row r="38" spans="1:18" x14ac:dyDescent="0.35">
      <c r="A38" t="s">
        <v>562</v>
      </c>
      <c r="B38" t="s">
        <v>526</v>
      </c>
      <c r="C38">
        <v>4</v>
      </c>
      <c r="D38">
        <v>240</v>
      </c>
      <c r="E38">
        <v>10</v>
      </c>
      <c r="F38">
        <v>22.24</v>
      </c>
      <c r="G38">
        <v>15.78</v>
      </c>
      <c r="H38">
        <v>10.54</v>
      </c>
      <c r="I38">
        <v>0.45469999999999999</v>
      </c>
      <c r="J38">
        <v>7.8399999999999997E-2</v>
      </c>
      <c r="K38">
        <v>14.075622417728701</v>
      </c>
      <c r="L38">
        <v>47.219084133092103</v>
      </c>
      <c r="M38">
        <f t="shared" si="0"/>
        <v>5.3860800067839421</v>
      </c>
      <c r="N38">
        <f t="shared" si="1"/>
        <v>18.068527091744429</v>
      </c>
      <c r="O38">
        <f t="shared" si="2"/>
        <v>3.7255515406924524</v>
      </c>
      <c r="P38">
        <f t="shared" si="3"/>
        <v>5.5705269023848079</v>
      </c>
      <c r="Q38">
        <f t="shared" si="4"/>
        <v>3.9099984362933182</v>
      </c>
    </row>
    <row r="39" spans="1:18" x14ac:dyDescent="0.35">
      <c r="A39" t="s">
        <v>562</v>
      </c>
      <c r="B39" t="s">
        <v>527</v>
      </c>
      <c r="C39">
        <v>4</v>
      </c>
      <c r="D39">
        <v>240</v>
      </c>
      <c r="E39">
        <v>10</v>
      </c>
      <c r="F39">
        <v>21.7</v>
      </c>
      <c r="G39">
        <v>15.73</v>
      </c>
      <c r="H39">
        <v>10.130000000000001</v>
      </c>
      <c r="I39">
        <v>0.4304</v>
      </c>
      <c r="J39">
        <v>8.09E-2</v>
      </c>
      <c r="K39">
        <v>11.0246735736307</v>
      </c>
      <c r="L39">
        <v>38.0891998923044</v>
      </c>
      <c r="M39">
        <f t="shared" si="0"/>
        <v>4.0882596688370949</v>
      </c>
      <c r="N39">
        <f t="shared" si="1"/>
        <v>14.124548785774191</v>
      </c>
      <c r="O39">
        <f t="shared" si="2"/>
        <v>2.8278492129346184</v>
      </c>
      <c r="P39">
        <f t="shared" si="3"/>
        <v>4.3545983906541839</v>
      </c>
      <c r="Q39">
        <f t="shared" si="4"/>
        <v>3.0941879347517069</v>
      </c>
    </row>
    <row r="40" spans="1:18" x14ac:dyDescent="0.35">
      <c r="A40" t="s">
        <v>562</v>
      </c>
      <c r="B40" t="s">
        <v>528</v>
      </c>
      <c r="C40">
        <v>4</v>
      </c>
      <c r="D40">
        <v>240</v>
      </c>
      <c r="E40">
        <v>10</v>
      </c>
      <c r="F40">
        <v>23.62</v>
      </c>
      <c r="G40">
        <v>16.96</v>
      </c>
      <c r="H40">
        <v>10.17</v>
      </c>
      <c r="I40">
        <v>0.42909999999999998</v>
      </c>
      <c r="J40" s="1">
        <v>7.6999999999999999E-2</v>
      </c>
      <c r="K40">
        <v>11.9240982015071</v>
      </c>
      <c r="L40">
        <v>48.190238234681402</v>
      </c>
      <c r="M40">
        <f t="shared" si="0"/>
        <v>4.6457525460417273</v>
      </c>
      <c r="N40">
        <f t="shared" si="1"/>
        <v>18.775417494031718</v>
      </c>
      <c r="O40">
        <f t="shared" si="2"/>
        <v>3.2134670360970627</v>
      </c>
      <c r="P40">
        <f t="shared" si="3"/>
        <v>5.7884612134099793</v>
      </c>
      <c r="Q40">
        <f t="shared" si="4"/>
        <v>4.3561757034653139</v>
      </c>
    </row>
    <row r="41" spans="1:18" x14ac:dyDescent="0.35">
      <c r="A41" t="s">
        <v>562</v>
      </c>
      <c r="B41" t="s">
        <v>529</v>
      </c>
      <c r="C41">
        <v>4</v>
      </c>
      <c r="D41">
        <v>240</v>
      </c>
      <c r="E41">
        <v>10</v>
      </c>
      <c r="F41">
        <v>23.83</v>
      </c>
      <c r="G41">
        <v>16.68</v>
      </c>
      <c r="H41">
        <v>9.75</v>
      </c>
      <c r="I41">
        <v>0.50290000000000001</v>
      </c>
      <c r="J41">
        <v>8.6800000000000002E-2</v>
      </c>
      <c r="K41">
        <v>12.6629066303298</v>
      </c>
      <c r="L41">
        <v>45.721332319347603</v>
      </c>
      <c r="M41">
        <f t="shared" si="0"/>
        <v>4.3765806326024652</v>
      </c>
      <c r="N41">
        <f t="shared" si="1"/>
        <v>15.802303797009539</v>
      </c>
      <c r="O41">
        <f t="shared" si="2"/>
        <v>3.0272808235711253</v>
      </c>
      <c r="P41">
        <f t="shared" si="3"/>
        <v>4.8718502606180412</v>
      </c>
      <c r="Q41">
        <f t="shared" si="4"/>
        <v>3.5225504515867012</v>
      </c>
      <c r="R41">
        <f>AVERAGE(Q32:Q41)</f>
        <v>4.0773691270272527</v>
      </c>
    </row>
    <row r="42" spans="1:18" x14ac:dyDescent="0.35">
      <c r="A42" t="s">
        <v>562</v>
      </c>
      <c r="B42" t="s">
        <v>530</v>
      </c>
      <c r="C42">
        <v>5</v>
      </c>
      <c r="D42">
        <v>240</v>
      </c>
      <c r="E42">
        <v>10</v>
      </c>
      <c r="F42">
        <v>22.26</v>
      </c>
      <c r="G42">
        <v>15.75</v>
      </c>
      <c r="H42">
        <v>10.220000000000001</v>
      </c>
      <c r="I42">
        <v>0.33250000000000002</v>
      </c>
      <c r="J42">
        <v>6.0600000000000001E-2</v>
      </c>
      <c r="K42">
        <v>9.0383753229039598</v>
      </c>
      <c r="L42">
        <v>30.556329147950301</v>
      </c>
      <c r="M42">
        <f t="shared" si="0"/>
        <v>4.474443229160376</v>
      </c>
      <c r="N42">
        <f t="shared" si="1"/>
        <v>15.126895617797178</v>
      </c>
      <c r="O42">
        <f t="shared" si="2"/>
        <v>3.0949723816102321</v>
      </c>
      <c r="P42">
        <f t="shared" si="3"/>
        <v>4.6636219189668706</v>
      </c>
      <c r="Q42">
        <f t="shared" si="4"/>
        <v>3.2841510714167264</v>
      </c>
    </row>
    <row r="43" spans="1:18" x14ac:dyDescent="0.35">
      <c r="A43" t="s">
        <v>562</v>
      </c>
      <c r="B43" t="s">
        <v>531</v>
      </c>
      <c r="C43">
        <v>5</v>
      </c>
      <c r="D43">
        <v>240</v>
      </c>
      <c r="E43">
        <v>10</v>
      </c>
      <c r="F43">
        <v>24.66</v>
      </c>
      <c r="G43">
        <v>17.13</v>
      </c>
      <c r="H43">
        <v>10.44</v>
      </c>
      <c r="I43">
        <v>0.48299999999999998</v>
      </c>
      <c r="J43">
        <v>8.5800000000000001E-2</v>
      </c>
      <c r="K43">
        <v>12.077024714826001</v>
      </c>
      <c r="L43">
        <v>37.752957367612503</v>
      </c>
      <c r="M43">
        <f t="shared" si="0"/>
        <v>4.2227359142748258</v>
      </c>
      <c r="N43">
        <f t="shared" si="1"/>
        <v>13.200334743920454</v>
      </c>
      <c r="O43">
        <f t="shared" si="2"/>
        <v>2.9208664319038968</v>
      </c>
      <c r="P43">
        <f t="shared" si="3"/>
        <v>4.069663201550676</v>
      </c>
      <c r="Q43">
        <f t="shared" si="4"/>
        <v>2.7677937191797475</v>
      </c>
    </row>
    <row r="44" spans="1:18" x14ac:dyDescent="0.35">
      <c r="A44" t="s">
        <v>562</v>
      </c>
      <c r="B44" t="s">
        <v>532</v>
      </c>
      <c r="C44">
        <v>5</v>
      </c>
      <c r="D44">
        <v>240</v>
      </c>
      <c r="E44">
        <v>10</v>
      </c>
      <c r="F44">
        <v>21.69</v>
      </c>
      <c r="G44">
        <v>15.04</v>
      </c>
      <c r="H44">
        <v>9.74</v>
      </c>
      <c r="I44">
        <v>0.29699999999999999</v>
      </c>
      <c r="J44">
        <v>5.1900000000000002E-2</v>
      </c>
      <c r="K44">
        <v>8.2950590317055699</v>
      </c>
      <c r="L44">
        <v>33.846971141661903</v>
      </c>
      <c r="M44">
        <f t="shared" si="0"/>
        <v>4.7948318102344336</v>
      </c>
      <c r="N44">
        <f t="shared" si="1"/>
        <v>19.564723203272774</v>
      </c>
      <c r="O44">
        <f t="shared" si="2"/>
        <v>3.3165851631391576</v>
      </c>
      <c r="P44">
        <f t="shared" si="3"/>
        <v>6.0318041635689967</v>
      </c>
      <c r="Q44">
        <f t="shared" si="4"/>
        <v>4.5535575164737203</v>
      </c>
    </row>
    <row r="45" spans="1:18" x14ac:dyDescent="0.35">
      <c r="A45" t="s">
        <v>562</v>
      </c>
      <c r="B45" t="s">
        <v>533</v>
      </c>
      <c r="C45">
        <v>5</v>
      </c>
      <c r="D45">
        <v>240</v>
      </c>
      <c r="E45">
        <v>10</v>
      </c>
      <c r="F45">
        <v>21.5</v>
      </c>
      <c r="G45">
        <v>15.15</v>
      </c>
      <c r="H45">
        <v>9.0500000000000007</v>
      </c>
      <c r="I45">
        <v>0.39300000000000002</v>
      </c>
      <c r="J45">
        <v>7.0499999999999993E-2</v>
      </c>
      <c r="K45">
        <v>9.8101868304570701</v>
      </c>
      <c r="L45">
        <v>41.0151440142238</v>
      </c>
      <c r="M45">
        <f t="shared" si="0"/>
        <v>4.1745475874285409</v>
      </c>
      <c r="N45">
        <f t="shared" si="1"/>
        <v>17.453252772010128</v>
      </c>
      <c r="O45">
        <f t="shared" si="2"/>
        <v>2.8875345662243217</v>
      </c>
      <c r="P45">
        <f t="shared" si="3"/>
        <v>5.3808378296107229</v>
      </c>
      <c r="Q45">
        <f t="shared" si="4"/>
        <v>4.0938248084065032</v>
      </c>
    </row>
    <row r="46" spans="1:18" x14ac:dyDescent="0.35">
      <c r="A46" t="s">
        <v>562</v>
      </c>
      <c r="B46" t="s">
        <v>534</v>
      </c>
      <c r="C46">
        <v>5</v>
      </c>
      <c r="D46">
        <v>240</v>
      </c>
      <c r="E46">
        <v>10</v>
      </c>
      <c r="F46">
        <v>22.85</v>
      </c>
      <c r="G46">
        <v>15.78</v>
      </c>
      <c r="H46">
        <v>9.42</v>
      </c>
      <c r="I46">
        <v>0.38669999999999999</v>
      </c>
      <c r="J46">
        <v>6.5199999999999994E-2</v>
      </c>
      <c r="K46">
        <v>10.1590974739992</v>
      </c>
      <c r="L46">
        <v>41.533871134920197</v>
      </c>
      <c r="M46">
        <f t="shared" si="0"/>
        <v>4.6744313530671171</v>
      </c>
      <c r="N46">
        <f t="shared" si="1"/>
        <v>19.110676902570646</v>
      </c>
      <c r="O46">
        <f t="shared" si="2"/>
        <v>3.233304166916525</v>
      </c>
      <c r="P46">
        <f t="shared" si="3"/>
        <v>5.8918216890625308</v>
      </c>
      <c r="Q46">
        <f t="shared" si="4"/>
        <v>4.4506945029119382</v>
      </c>
    </row>
    <row r="47" spans="1:18" x14ac:dyDescent="0.35">
      <c r="A47" t="s">
        <v>562</v>
      </c>
      <c r="B47" t="s">
        <v>535</v>
      </c>
      <c r="C47">
        <v>5</v>
      </c>
      <c r="D47">
        <v>240</v>
      </c>
      <c r="E47">
        <v>10</v>
      </c>
      <c r="F47">
        <v>21.16</v>
      </c>
      <c r="G47">
        <v>14.85</v>
      </c>
      <c r="H47">
        <v>8.9700000000000006</v>
      </c>
      <c r="I47">
        <v>0.32590000000000002</v>
      </c>
      <c r="J47">
        <v>5.7099999999999998E-2</v>
      </c>
      <c r="K47">
        <v>11.4672767006782</v>
      </c>
      <c r="L47">
        <v>40.6404042283135</v>
      </c>
      <c r="M47">
        <f t="shared" si="0"/>
        <v>6.0248388970288262</v>
      </c>
      <c r="N47">
        <f t="shared" si="1"/>
        <v>21.352226389656831</v>
      </c>
      <c r="O47">
        <f t="shared" si="2"/>
        <v>4.1673810650748386</v>
      </c>
      <c r="P47">
        <f t="shared" si="3"/>
        <v>6.5828913959312017</v>
      </c>
      <c r="Q47">
        <f t="shared" si="4"/>
        <v>4.725433563977214</v>
      </c>
    </row>
    <row r="48" spans="1:18" x14ac:dyDescent="0.35">
      <c r="A48" t="s">
        <v>562</v>
      </c>
      <c r="B48" t="s">
        <v>536</v>
      </c>
      <c r="C48">
        <v>5</v>
      </c>
      <c r="D48">
        <v>240</v>
      </c>
      <c r="E48">
        <v>10</v>
      </c>
      <c r="F48">
        <v>22.41</v>
      </c>
      <c r="G48">
        <v>15.84</v>
      </c>
      <c r="H48">
        <v>10.28</v>
      </c>
      <c r="I48">
        <v>0.46179999999999999</v>
      </c>
      <c r="J48">
        <v>8.3699999999999997E-2</v>
      </c>
      <c r="K48">
        <v>15.235788560568199</v>
      </c>
      <c r="L48">
        <v>52.349576659731497</v>
      </c>
      <c r="M48">
        <f t="shared" si="0"/>
        <v>5.4608561148989967</v>
      </c>
      <c r="N48">
        <f t="shared" si="1"/>
        <v>18.76328912535179</v>
      </c>
      <c r="O48">
        <f t="shared" si="2"/>
        <v>3.777274174675636</v>
      </c>
      <c r="P48">
        <f t="shared" si="3"/>
        <v>5.7847220373459569</v>
      </c>
      <c r="Q48">
        <f t="shared" si="4"/>
        <v>4.1011400971225962</v>
      </c>
    </row>
    <row r="49" spans="1:18" x14ac:dyDescent="0.35">
      <c r="A49" t="s">
        <v>562</v>
      </c>
      <c r="B49" t="s">
        <v>537</v>
      </c>
      <c r="C49">
        <v>5</v>
      </c>
      <c r="D49">
        <v>240</v>
      </c>
      <c r="E49">
        <v>10</v>
      </c>
      <c r="F49">
        <v>21.62</v>
      </c>
      <c r="G49">
        <v>15.21</v>
      </c>
      <c r="H49">
        <v>9.8699999999999992</v>
      </c>
      <c r="I49">
        <v>0.36559999999999998</v>
      </c>
      <c r="J49">
        <v>6.3700000000000007E-2</v>
      </c>
      <c r="K49">
        <v>13.487895362349899</v>
      </c>
      <c r="L49">
        <v>37.510630997083702</v>
      </c>
      <c r="M49">
        <f t="shared" si="0"/>
        <v>6.3522270152354308</v>
      </c>
      <c r="N49">
        <f t="shared" si="1"/>
        <v>17.665917267072384</v>
      </c>
      <c r="O49">
        <f t="shared" si="2"/>
        <v>4.393835426438347</v>
      </c>
      <c r="P49">
        <f t="shared" si="3"/>
        <v>5.4464022934384166</v>
      </c>
      <c r="Q49">
        <f t="shared" si="4"/>
        <v>3.4880107046413324</v>
      </c>
    </row>
    <row r="50" spans="1:18" ht="14.8" customHeight="1" x14ac:dyDescent="0.35">
      <c r="A50" t="s">
        <v>562</v>
      </c>
      <c r="B50" t="s">
        <v>538</v>
      </c>
      <c r="C50">
        <v>5</v>
      </c>
      <c r="D50">
        <v>240</v>
      </c>
      <c r="E50">
        <v>10</v>
      </c>
      <c r="F50">
        <v>25.64</v>
      </c>
      <c r="G50">
        <v>16.940000000000001</v>
      </c>
      <c r="H50">
        <v>10.84</v>
      </c>
      <c r="I50">
        <v>0.55610000000000004</v>
      </c>
      <c r="J50">
        <v>0.10249999999999999</v>
      </c>
      <c r="K50">
        <v>13.420758657542899</v>
      </c>
      <c r="L50">
        <v>39.775744849288003</v>
      </c>
      <c r="M50">
        <f t="shared" si="0"/>
        <v>3.9280269241588974</v>
      </c>
      <c r="N50">
        <f t="shared" si="1"/>
        <v>11.641681419303806</v>
      </c>
      <c r="O50">
        <f t="shared" si="2"/>
        <v>2.7170162234407091</v>
      </c>
      <c r="P50">
        <f t="shared" si="3"/>
        <v>3.5891303815713638</v>
      </c>
      <c r="Q50">
        <f t="shared" si="4"/>
        <v>2.3781196808531755</v>
      </c>
    </row>
    <row r="51" spans="1:18" x14ac:dyDescent="0.35">
      <c r="A51" t="s">
        <v>562</v>
      </c>
      <c r="B51" t="s">
        <v>539</v>
      </c>
      <c r="C51">
        <v>5</v>
      </c>
      <c r="D51">
        <v>240</v>
      </c>
      <c r="E51">
        <v>10</v>
      </c>
      <c r="F51">
        <v>21.35</v>
      </c>
      <c r="G51">
        <v>15.56</v>
      </c>
      <c r="H51" s="2">
        <v>9.39</v>
      </c>
      <c r="I51">
        <v>0.34239999999999998</v>
      </c>
      <c r="J51">
        <v>5.7799999999999997E-2</v>
      </c>
      <c r="K51">
        <v>7.4166733287931397</v>
      </c>
      <c r="L51">
        <v>24.056737617895699</v>
      </c>
      <c r="M51">
        <f t="shared" si="0"/>
        <v>3.8494844267092421</v>
      </c>
      <c r="N51">
        <f t="shared" si="1"/>
        <v>12.486195995447595</v>
      </c>
      <c r="O51">
        <f t="shared" si="2"/>
        <v>2.6626883779547827</v>
      </c>
      <c r="P51">
        <f t="shared" si="3"/>
        <v>3.8494942253964939</v>
      </c>
      <c r="Q51">
        <f t="shared" si="4"/>
        <v>2.6626981766420341</v>
      </c>
      <c r="R51">
        <f>AVERAGE(Q42:Q51)</f>
        <v>3.650542384162498</v>
      </c>
    </row>
  </sheetData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FECD3-1D1B-4E23-8194-0C3168BA9032}">
  <dimension ref="A1:H22"/>
  <sheetViews>
    <sheetView topLeftCell="A13" workbookViewId="0">
      <selection activeCell="A20" sqref="A20:F22"/>
    </sheetView>
  </sheetViews>
  <sheetFormatPr defaultRowHeight="14.15" x14ac:dyDescent="0.35"/>
  <sheetData>
    <row r="1" spans="1:8" x14ac:dyDescent="0.35">
      <c r="A1" s="6" t="s">
        <v>619</v>
      </c>
      <c r="B1" s="6" t="s">
        <v>620</v>
      </c>
      <c r="C1" s="6" t="s">
        <v>621</v>
      </c>
      <c r="D1" s="6" t="s">
        <v>622</v>
      </c>
      <c r="E1" s="6" t="s">
        <v>623</v>
      </c>
      <c r="F1" s="6" t="s">
        <v>624</v>
      </c>
    </row>
    <row r="2" spans="1:8" x14ac:dyDescent="0.35">
      <c r="A2">
        <v>0</v>
      </c>
      <c r="B2">
        <v>4.9622310000000001</v>
      </c>
      <c r="C2">
        <v>4.6270899999999999</v>
      </c>
      <c r="D2">
        <v>3.9271989999999999</v>
      </c>
      <c r="E2">
        <v>4.077369</v>
      </c>
      <c r="F2">
        <v>3.6505420000000002</v>
      </c>
      <c r="H2">
        <v>0</v>
      </c>
    </row>
    <row r="3" spans="1:8" x14ac:dyDescent="0.35">
      <c r="A3">
        <v>2</v>
      </c>
      <c r="B3">
        <v>2.8265850000000001</v>
      </c>
      <c r="C3">
        <v>2.7846600000000001</v>
      </c>
      <c r="D3">
        <v>2.7377690000000001</v>
      </c>
      <c r="E3">
        <v>2.192898</v>
      </c>
      <c r="F3">
        <v>2.370587</v>
      </c>
    </row>
    <row r="8" spans="1:8" x14ac:dyDescent="0.35">
      <c r="A8" s="6" t="s">
        <v>619</v>
      </c>
      <c r="B8" s="6" t="s">
        <v>620</v>
      </c>
      <c r="C8" s="6" t="s">
        <v>621</v>
      </c>
      <c r="D8" s="6" t="s">
        <v>622</v>
      </c>
      <c r="E8" s="6" t="s">
        <v>623</v>
      </c>
      <c r="F8" s="6" t="s">
        <v>624</v>
      </c>
    </row>
    <row r="9" spans="1:8" x14ac:dyDescent="0.35">
      <c r="A9">
        <v>0</v>
      </c>
      <c r="B9">
        <v>4.9622310000000001</v>
      </c>
      <c r="C9">
        <v>4.6270899999999999</v>
      </c>
      <c r="D9">
        <v>3.9271989999999999</v>
      </c>
      <c r="E9">
        <v>4.077369</v>
      </c>
      <c r="F9">
        <v>3.6505420000000002</v>
      </c>
      <c r="H9">
        <v>400</v>
      </c>
    </row>
    <row r="10" spans="1:8" x14ac:dyDescent="0.35">
      <c r="A10">
        <v>2</v>
      </c>
      <c r="B10">
        <v>2.0080269999999998</v>
      </c>
      <c r="C10">
        <v>1.8242149999999999</v>
      </c>
      <c r="D10">
        <v>1.731225</v>
      </c>
      <c r="E10">
        <v>1.6485590000000001</v>
      </c>
      <c r="F10">
        <v>1.7112830000000001</v>
      </c>
    </row>
    <row r="13" spans="1:8" x14ac:dyDescent="0.35">
      <c r="A13" s="6" t="s">
        <v>619</v>
      </c>
      <c r="B13" s="6" t="s">
        <v>620</v>
      </c>
      <c r="C13" s="6" t="s">
        <v>621</v>
      </c>
      <c r="D13" s="6" t="s">
        <v>622</v>
      </c>
      <c r="E13" s="6" t="s">
        <v>623</v>
      </c>
      <c r="F13" s="6" t="s">
        <v>624</v>
      </c>
    </row>
    <row r="14" spans="1:8" x14ac:dyDescent="0.35">
      <c r="A14">
        <v>0</v>
      </c>
      <c r="B14">
        <v>4.9622310000000001</v>
      </c>
      <c r="C14">
        <v>4.6270899999999999</v>
      </c>
      <c r="D14">
        <v>3.9271989999999999</v>
      </c>
      <c r="E14">
        <v>4.077369</v>
      </c>
      <c r="F14">
        <v>3.6505420000000002</v>
      </c>
      <c r="H14">
        <v>800</v>
      </c>
    </row>
    <row r="15" spans="1:8" x14ac:dyDescent="0.35">
      <c r="A15">
        <v>2</v>
      </c>
      <c r="B15">
        <v>2.4050729999999998</v>
      </c>
      <c r="C15">
        <v>2.739147</v>
      </c>
      <c r="D15">
        <v>2.7117550000000001</v>
      </c>
      <c r="E15">
        <v>2.035301</v>
      </c>
      <c r="F15">
        <v>2.0402100000000001</v>
      </c>
    </row>
    <row r="20" spans="1:8" x14ac:dyDescent="0.35">
      <c r="A20" s="6" t="s">
        <v>619</v>
      </c>
      <c r="B20" s="6" t="s">
        <v>620</v>
      </c>
      <c r="C20" s="6" t="s">
        <v>621</v>
      </c>
      <c r="D20" s="6" t="s">
        <v>622</v>
      </c>
      <c r="E20" s="6" t="s">
        <v>623</v>
      </c>
      <c r="F20" s="6" t="s">
        <v>624</v>
      </c>
    </row>
    <row r="21" spans="1:8" x14ac:dyDescent="0.35">
      <c r="A21">
        <v>0</v>
      </c>
      <c r="B21">
        <v>3.630611</v>
      </c>
      <c r="C21">
        <v>3.385704</v>
      </c>
      <c r="D21">
        <v>3.8457059999999998</v>
      </c>
      <c r="E21">
        <v>3.7735159999999999</v>
      </c>
      <c r="F21">
        <v>3.3171460000000002</v>
      </c>
      <c r="H21" s="6" t="s">
        <v>625</v>
      </c>
    </row>
    <row r="22" spans="1:8" x14ac:dyDescent="0.35">
      <c r="A22">
        <v>2</v>
      </c>
      <c r="B22">
        <v>3.6525150000000002</v>
      </c>
      <c r="C22">
        <v>3.2573249999999998</v>
      </c>
      <c r="D22">
        <v>3.4202520000000001</v>
      </c>
      <c r="E22">
        <v>3.407457</v>
      </c>
      <c r="F22">
        <v>3.6053459999999999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Background</vt:lpstr>
      <vt:lpstr>合并表格</vt:lpstr>
      <vt:lpstr>TK-bioa</vt:lpstr>
      <vt:lpstr>TK-water</vt:lpstr>
      <vt:lpstr>TD-acc</vt:lpstr>
      <vt:lpstr>TD-death</vt:lpstr>
      <vt:lpstr>TD-water</vt:lpstr>
      <vt:lpstr>sed-label</vt:lpstr>
      <vt:lpstr>Sheet1</vt:lpstr>
      <vt:lpstr>sed-acc</vt:lpstr>
      <vt:lpstr>sed-ow</vt:lpstr>
      <vt:lpstr>sed-death</vt:lpstr>
      <vt:lpstr>sed_DGT</vt:lpstr>
      <vt:lpstr>water_label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Wenze Xiao</dc:creator>
  <cp:lastModifiedBy>Wenze Xiao</cp:lastModifiedBy>
  <dcterms:created xsi:type="dcterms:W3CDTF">2015-06-05T18:19:00Z</dcterms:created>
  <dcterms:modified xsi:type="dcterms:W3CDTF">2025-09-25T08:35:09Z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D1931EC001564E42ADDB5532D94403D2_12</vt:lpwstr>
  </property>
  <property fmtid="{D5CDD505-2E9C-101B-9397-08002B2CF9AE}" pid="3" name="KSOProductBuildVer">
    <vt:lpwstr>2052-12.1.0.16120</vt:lpwstr>
  </property>
  <property fmtid="{D5CDD505-2E9C-101B-9397-08002B2CF9AE}" pid="4" name="WorkbookGuid">
    <vt:lpwstr>bdcabea8-290c-4921-8cc7-5b2250dac58d</vt:lpwstr>
  </property>
</Properties>
</file>